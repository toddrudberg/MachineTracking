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theme/themeOverride2.xml" ContentType="application/vnd.openxmlformats-officedocument.themeOverrid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charts/chart7.xml" ContentType="application/vnd.openxmlformats-officedocument.drawingml.chart+xml"/>
  <Override PartName="/xl/theme/themeOverride5.xml" ContentType="application/vnd.openxmlformats-officedocument.themeOverride+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theme/themeOverride7.xml" ContentType="application/vnd.openxmlformats-officedocument.themeOverride+xml"/>
  <Override PartName="/xl/charts/chart10.xml" ContentType="application/vnd.openxmlformats-officedocument.drawingml.chart+xml"/>
  <Override PartName="/xl/theme/themeOverride8.xml" ContentType="application/vnd.openxmlformats-officedocument.themeOverride+xml"/>
  <Override PartName="/xl/charts/chart11.xml" ContentType="application/vnd.openxmlformats-officedocument.drawingml.chart+xml"/>
  <Override PartName="/xl/theme/themeOverride9.xml" ContentType="application/vnd.openxmlformats-officedocument.themeOverride+xml"/>
  <Override PartName="/xl/charts/chart12.xml" ContentType="application/vnd.openxmlformats-officedocument.drawingml.chart+xml"/>
  <Override PartName="/xl/theme/themeOverride10.xml" ContentType="application/vnd.openxmlformats-officedocument.themeOverride+xml"/>
  <Override PartName="/xl/charts/chart13.xml" ContentType="application/vnd.openxmlformats-officedocument.drawingml.chart+xml"/>
  <Override PartName="/xl/theme/themeOverride11.xml" ContentType="application/vnd.openxmlformats-officedocument.themeOverride+xml"/>
  <Override PartName="/xl/charts/chart14.xml" ContentType="application/vnd.openxmlformats-officedocument.drawingml.chart+xml"/>
  <Override PartName="/xl/theme/themeOverride12.xml" ContentType="application/vnd.openxmlformats-officedocument.themeOverride+xml"/>
  <Override PartName="/xl/charts/chart15.xml" ContentType="application/vnd.openxmlformats-officedocument.drawingml.chart+xml"/>
  <Override PartName="/xl/theme/themeOverride13.xml" ContentType="application/vnd.openxmlformats-officedocument.themeOverride+xml"/>
  <Override PartName="/xl/charts/chart16.xml" ContentType="application/vnd.openxmlformats-officedocument.drawingml.chart+xml"/>
  <Override PartName="/xl/theme/themeOverride14.xml" ContentType="application/vnd.openxmlformats-officedocument.themeOverride+xml"/>
  <Override PartName="/xl/charts/chart17.xml" ContentType="application/vnd.openxmlformats-officedocument.drawingml.chart+xml"/>
  <Override PartName="/xl/theme/themeOverride15.xml" ContentType="application/vnd.openxmlformats-officedocument.themeOverride+xml"/>
  <Override PartName="/xl/charts/chart18.xml" ContentType="application/vnd.openxmlformats-officedocument.drawingml.chart+xml"/>
  <Override PartName="/xl/theme/themeOverride16.xml" ContentType="application/vnd.openxmlformats-officedocument.themeOverride+xml"/>
  <Override PartName="/xl/charts/chart19.xml" ContentType="application/vnd.openxmlformats-officedocument.drawingml.chart+xml"/>
  <Override PartName="/xl/theme/themeOverride17.xml" ContentType="application/vnd.openxmlformats-officedocument.themeOverride+xml"/>
  <Override PartName="/xl/charts/chart20.xml" ContentType="application/vnd.openxmlformats-officedocument.drawingml.chart+xml"/>
  <Override PartName="/xl/theme/themeOverride18.xml" ContentType="application/vnd.openxmlformats-officedocument.themeOverride+xml"/>
  <Override PartName="/xl/charts/chart21.xml" ContentType="application/vnd.openxmlformats-officedocument.drawingml.chart+xml"/>
  <Override PartName="/xl/theme/themeOverride19.xml" ContentType="application/vnd.openxmlformats-officedocument.themeOverride+xml"/>
  <Override PartName="/xl/charts/chart22.xml" ContentType="application/vnd.openxmlformats-officedocument.drawingml.chart+xml"/>
  <Override PartName="/xl/theme/themeOverride20.xml" ContentType="application/vnd.openxmlformats-officedocument.themeOverride+xml"/>
  <Override PartName="/xl/charts/chart23.xml" ContentType="application/vnd.openxmlformats-officedocument.drawingml.chart+xml"/>
  <Override PartName="/xl/theme/themeOverride21.xml" ContentType="application/vnd.openxmlformats-officedocument.themeOverride+xml"/>
  <Override PartName="/xl/charts/chart24.xml" ContentType="application/vnd.openxmlformats-officedocument.drawingml.chart+xml"/>
  <Override PartName="/xl/theme/themeOverride22.xml" ContentType="application/vnd.openxmlformats-officedocument.themeOverride+xml"/>
  <Override PartName="/xl/charts/chart25.xml" ContentType="application/vnd.openxmlformats-officedocument.drawingml.chart+xml"/>
  <Override PartName="/xl/theme/themeOverride23.xml" ContentType="application/vnd.openxmlformats-officedocument.themeOverride+xml"/>
  <Override PartName="/xl/charts/chart26.xml" ContentType="application/vnd.openxmlformats-officedocument.drawingml.chart+xml"/>
  <Override PartName="/xl/theme/themeOverride24.xml" ContentType="application/vnd.openxmlformats-officedocument.themeOverride+xml"/>
  <Override PartName="/xl/charts/chart27.xml" ContentType="application/vnd.openxmlformats-officedocument.drawingml.chart+xml"/>
  <Override PartName="/xl/theme/themeOverride25.xml" ContentType="application/vnd.openxmlformats-officedocument.themeOverride+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3.xml" ContentType="application/vnd.openxmlformats-officedocument.spreadsheetml.comments+xml"/>
  <Override PartName="/xl/charts/chart28.xml" ContentType="application/vnd.openxmlformats-officedocument.drawingml.chart+xml"/>
  <Override PartName="/xl/charts/chart29.xml" ContentType="application/vnd.openxmlformats-officedocument.drawingml.chart+xml"/>
  <Override PartName="/xl/theme/themeOverride26.xml" ContentType="application/vnd.openxmlformats-officedocument.themeOverride+xml"/>
  <Override PartName="/xl/charts/chart30.xml" ContentType="application/vnd.openxmlformats-officedocument.drawingml.chart+xml"/>
  <Override PartName="/xl/theme/themeOverride27.xml" ContentType="application/vnd.openxmlformats-officedocument.themeOverride+xml"/>
  <Override PartName="/xl/charts/chart31.xml" ContentType="application/vnd.openxmlformats-officedocument.drawingml.chart+xml"/>
  <Override PartName="/xl/theme/themeOverride28.xml" ContentType="application/vnd.openxmlformats-officedocument.themeOverride+xml"/>
  <Override PartName="/xl/charts/chart32.xml" ContentType="application/vnd.openxmlformats-officedocument.drawingml.chart+xml"/>
  <Override PartName="/xl/theme/themeOverride29.xml" ContentType="application/vnd.openxmlformats-officedocument.themeOverride+xml"/>
  <Override PartName="/xl/charts/chart33.xml" ContentType="application/vnd.openxmlformats-officedocument.drawingml.chart+xml"/>
  <Override PartName="/xl/theme/themeOverride30.xml" ContentType="application/vnd.openxmlformats-officedocument.themeOverride+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drawings/drawing6.xml" ContentType="application/vnd.openxmlformats-officedocument.drawing+xml"/>
  <Override PartName="/xl/charts/chart46.xml" ContentType="application/vnd.openxmlformats-officedocument.drawingml.chart+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2.xml" ContentType="application/vnd.openxmlformats-officedocument.spreadsheetml.table+xml"/>
  <Override PartName="/xl/comments5.xml" ContentType="application/vnd.openxmlformats-officedocument.spreadsheetml.comments+xml"/>
  <Override PartName="/xl/charts/chart47.xml" ContentType="application/vnd.openxmlformats-officedocument.drawingml.chart+xml"/>
  <Override PartName="/xl/charts/chart4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LocalDev\MachineTracking\ATTKuka\Solver Files\"/>
    </mc:Choice>
  </mc:AlternateContent>
  <bookViews>
    <workbookView xWindow="0" yWindow="0" windowWidth="28545" windowHeight="9270" tabRatio="743" activeTab="2"/>
  </bookViews>
  <sheets>
    <sheet name="Instructions" sheetId="32" r:id="rId1"/>
    <sheet name="Sheet2" sheetId="38" r:id="rId2"/>
    <sheet name="Data" sheetId="1" r:id="rId3"/>
    <sheet name="24-03-18" sheetId="37" r:id="rId4"/>
    <sheet name="Friday Data" sheetId="36" r:id="rId5"/>
    <sheet name="Sheet1" sheetId="34" r:id="rId6"/>
    <sheet name="DataPaste" sheetId="33" r:id="rId7"/>
    <sheet name="ScatterCharts" sheetId="18" r:id="rId8"/>
    <sheet name="LineCharts" sheetId="28" r:id="rId9"/>
    <sheet name="LineChartAll" sheetId="31" r:id="rId10"/>
    <sheet name="CompStations" sheetId="17" r:id="rId11"/>
    <sheet name="ProbeValues" sheetId="29" r:id="rId12"/>
    <sheet name="CompTableCheck" sheetId="30" r:id="rId13"/>
  </sheets>
  <functionGroups builtInGroupCount="18"/>
  <definedNames>
    <definedName name="_xlnm._FilterDatabase" localSheetId="2" hidden="1">Data!$O$1:$O$48</definedName>
    <definedName name="_xlnm._FilterDatabase" localSheetId="6" hidden="1">DataPaste!$A$2:$G$2</definedName>
    <definedName name="_xlnm._FilterDatabase" localSheetId="7" hidden="1">ScatterCharts!$AE$61</definedName>
    <definedName name="Aerr">OFFSET(Data!$AD$2,0,0,COUNTA(Data!$AD:$AD),1)</definedName>
    <definedName name="AllSheets" localSheetId="12">CompTableCheck!$G$30</definedName>
    <definedName name="AllSheets" localSheetId="8">LineCharts!$G$62</definedName>
    <definedName name="AllSheets" localSheetId="7">ScatterCharts!$G$59</definedName>
    <definedName name="Atp">OFFSET(Data!$X$2,0,0,COUNTA(Data!$X:$X),1)</definedName>
    <definedName name="Axis">OFFSET(Data!$F$2,0,0,COUNTA(Data!$F:$F),1)</definedName>
    <definedName name="Berr">OFFSET(Data!$AE$2,0,0,COUNTA(Data!$AE:$AE),1)</definedName>
    <definedName name="Btp">OFFSET(Data!$Y$2,0,0,COUNTA(Data!$Y:$Y),1)</definedName>
    <definedName name="Cerr">OFFSET(Data!$AF$2,0,0,COUNTA(Data!$AF:$AF),1)</definedName>
    <definedName name="ChartMax" localSheetId="12">CompTableCheck!$G$29</definedName>
    <definedName name="ChartMax" localSheetId="8">LineCharts!$G$61</definedName>
    <definedName name="ChartMax" localSheetId="7">ScatterCharts!$G$58</definedName>
    <definedName name="ChartRangeCharts" localSheetId="7">ScatterCharts!$H$62:$S$62</definedName>
    <definedName name="ChartRangeGroups" localSheetId="7">ScatterCharts!$G$63:$G$82</definedName>
    <definedName name="ChartRangeSeriesBy">ScatterCharts!$W$58</definedName>
    <definedName name="ChartRangeTable" localSheetId="7">ScatterCharts!$H$63:$S$82</definedName>
    <definedName name="CompTableOut">CompStations!$G$7</definedName>
    <definedName name="CompTableOutManual">CompStations!$C$7</definedName>
    <definedName name="Cpm">OFFSET(Data!#REF!,0,0,COUNTA(Data!#REF!),1)</definedName>
    <definedName name="Ctp">OFFSET(Data!$Z$2,0,0,COUNTA(Data!$Z:$Z),1)</definedName>
    <definedName name="Data_Out">Data!$H$1:$T$1</definedName>
    <definedName name="FileName" localSheetId="12">CompTableCheck!$F$25</definedName>
    <definedName name="J1m">OFFSET(Data!$H$2,0,0,COUNTA(Data!$H:$H),1)</definedName>
    <definedName name="J2m">OFFSET(Data!$I$2,0,0,COUNTA(Data!$I:$I),1)</definedName>
    <definedName name="J3m">OFFSET(Data!$J$2,0,0,COUNTA(Data!$J:$J),1)</definedName>
    <definedName name="J4m">OFFSET(Data!$K$2,0,0,COUNTA(Data!$K:$K),1)</definedName>
    <definedName name="J5m">OFFSET(Data!$L$2,0,0,COUNTA(Data!$L:$L),1)</definedName>
    <definedName name="J6m">OFFSET(Data!$M$2,0,0,COUNTA(Data!$M:$M),1)</definedName>
    <definedName name="PointName">OFFSET(Data!#REF!,0,0,COUNTA(Data!#REF!),1)</definedName>
    <definedName name="ReadDataFile">Data!$AP$28</definedName>
    <definedName name="ReadDataTime">Data!$AP$27</definedName>
    <definedName name="Rerr">OFFSET(Data!$AG$2,0,0,COUNTA(Data!$AG:$AG),1)</definedName>
    <definedName name="Roerr">OFFSET(Data!$AH$2,0,0,COUNTA(Data!$AH:$AH),1)</definedName>
    <definedName name="Row">OFFSET(Data!$G$2,0,0,COUNTA(Data!$G:$G),1)</definedName>
    <definedName name="rXmeas">OFFSET(Data!$R$2,0,0,COUNTA(Data!$R:$R),1)</definedName>
    <definedName name="rYmeas">OFFSET(Data!$S$2,0,0,COUNTA(Data!$S:$S),1)</definedName>
    <definedName name="rZmeas">OFFSET(Data!$T$2,0,0,COUNTA(Data!$T:$T),1)</definedName>
    <definedName name="SendDataFile">Data!$AP$25</definedName>
    <definedName name="SendDataTime">Data!$AP$24</definedName>
    <definedName name="ToolpointsRange" localSheetId="7">ScatterCharts!$U$63:$U$82</definedName>
    <definedName name="TP">OFFSET(Data!$N$2,0,0,COUNTA(Data!$N:$N),1)</definedName>
    <definedName name="TP_Output">ProbeValues!$N$4</definedName>
    <definedName name="UnitsErr" localSheetId="2">Data!$AX$2</definedName>
    <definedName name="UnitsErr" localSheetId="5">Sheet1!$AQ$2</definedName>
    <definedName name="Xerr">OFFSET(Data!$AA$2,0,0,COUNTA(Data!$AA:$AA),1)</definedName>
    <definedName name="Xmeas">OFFSET(Data!$O$2,0,0,COUNTA(Data!$O:$O),1)</definedName>
    <definedName name="Xtp">OFFSET(Data!$U$2,0,0,COUNTA(Data!$U:$U),1)</definedName>
    <definedName name="Yerr">OFFSET(Data!$AB$2,0,0,COUNTA(Data!$AB:$AB),1)</definedName>
    <definedName name="Ymeas">OFFSET(Data!$P$2,0,0,COUNTA(Data!$P:$P),1)</definedName>
    <definedName name="Ytp">OFFSET(Data!$V$2,0,0,COUNTA(Data!$V:$V),1)</definedName>
    <definedName name="Zerr">OFFSET(Data!$AC$2,0,0,COUNTA(Data!$AC:$AC),1)</definedName>
    <definedName name="Zmeas">OFFSET(Data!$Q$2,0,0,COUNTA(Data!$Q:$Q),1)</definedName>
    <definedName name="Ztp">OFFSET(Data!$W$2,0,0,COUNTA(Data!$W:$W),1)</definedName>
  </definedNames>
  <calcPr calcId="152511"/>
</workbook>
</file>

<file path=xl/calcChain.xml><?xml version="1.0" encoding="utf-8"?>
<calcChain xmlns="http://schemas.openxmlformats.org/spreadsheetml/2006/main">
  <c r="AD49" i="1" l="1"/>
  <c r="AE49" i="1"/>
  <c r="AF49" i="1"/>
  <c r="AD50" i="1"/>
  <c r="AE50" i="1"/>
  <c r="AF50" i="1"/>
  <c r="AD51" i="1"/>
  <c r="AE51" i="1"/>
  <c r="AF51" i="1"/>
  <c r="AD52" i="1"/>
  <c r="AE52" i="1"/>
  <c r="AF52" i="1"/>
  <c r="AD53" i="1"/>
  <c r="AE53" i="1"/>
  <c r="AF53" i="1"/>
  <c r="AD54" i="1"/>
  <c r="AE54" i="1"/>
  <c r="AF54" i="1"/>
  <c r="AD55" i="1"/>
  <c r="AE55" i="1"/>
  <c r="AF55" i="1"/>
  <c r="AD56" i="1"/>
  <c r="AE56" i="1"/>
  <c r="AF56" i="1"/>
  <c r="AD57" i="1"/>
  <c r="AE57" i="1"/>
  <c r="AF57" i="1"/>
  <c r="AD58" i="1"/>
  <c r="AE58" i="1"/>
  <c r="AF58" i="1"/>
  <c r="AD59" i="1"/>
  <c r="AE59" i="1"/>
  <c r="AF59" i="1"/>
  <c r="AD60" i="1"/>
  <c r="AE60" i="1"/>
  <c r="AF60" i="1"/>
  <c r="AD61" i="1"/>
  <c r="AE61" i="1"/>
  <c r="AF61" i="1"/>
  <c r="AD62" i="1"/>
  <c r="AE62" i="1"/>
  <c r="AF62" i="1"/>
  <c r="AD63" i="1"/>
  <c r="AE63" i="1"/>
  <c r="AF63" i="1"/>
  <c r="AD64" i="1"/>
  <c r="AE64" i="1"/>
  <c r="AF64" i="1"/>
  <c r="AD65" i="1"/>
  <c r="AE65" i="1"/>
  <c r="AF65" i="1"/>
  <c r="AD66" i="1"/>
  <c r="AE66" i="1"/>
  <c r="AF66" i="1"/>
  <c r="AD67" i="1"/>
  <c r="AE67" i="1"/>
  <c r="AF67" i="1"/>
  <c r="AD68" i="1"/>
  <c r="AE68" i="1"/>
  <c r="AF68" i="1"/>
  <c r="AD69" i="1"/>
  <c r="AE69" i="1"/>
  <c r="AF69" i="1"/>
  <c r="AD70" i="1"/>
  <c r="AE70" i="1"/>
  <c r="AF70" i="1"/>
  <c r="AD71" i="1"/>
  <c r="AE71" i="1"/>
  <c r="AF71" i="1"/>
  <c r="AD72" i="1"/>
  <c r="AE72" i="1"/>
  <c r="AF72" i="1"/>
  <c r="AD73" i="1"/>
  <c r="AE73" i="1"/>
  <c r="AF73" i="1"/>
  <c r="AD74" i="1"/>
  <c r="AE74" i="1"/>
  <c r="AF74" i="1"/>
  <c r="AD75" i="1"/>
  <c r="AE75" i="1"/>
  <c r="AF75" i="1"/>
  <c r="AD76" i="1"/>
  <c r="AE76" i="1"/>
  <c r="AF76" i="1"/>
  <c r="AD77" i="1"/>
  <c r="AE77" i="1"/>
  <c r="AF77" i="1"/>
  <c r="AD78" i="1"/>
  <c r="AE78" i="1"/>
  <c r="AF78" i="1"/>
  <c r="AD79" i="1"/>
  <c r="AE79" i="1"/>
  <c r="AF79" i="1"/>
  <c r="AD80" i="1"/>
  <c r="AE80" i="1"/>
  <c r="AF80" i="1"/>
  <c r="AD81" i="1"/>
  <c r="AE81" i="1"/>
  <c r="AF81" i="1"/>
  <c r="AD82" i="1"/>
  <c r="AE82" i="1"/>
  <c r="AF82" i="1"/>
  <c r="AD83" i="1"/>
  <c r="AE83" i="1"/>
  <c r="AF83" i="1"/>
  <c r="AD84" i="1"/>
  <c r="AE84" i="1"/>
  <c r="AF84" i="1"/>
  <c r="AD85" i="1"/>
  <c r="AE85" i="1"/>
  <c r="AF85" i="1"/>
  <c r="AD86" i="1"/>
  <c r="AE86" i="1"/>
  <c r="AF86" i="1"/>
  <c r="AD87" i="1"/>
  <c r="AE87" i="1"/>
  <c r="AF87" i="1"/>
  <c r="AD88" i="1"/>
  <c r="AE88" i="1"/>
  <c r="AF88" i="1"/>
  <c r="AD89" i="1"/>
  <c r="AE89" i="1"/>
  <c r="AF89" i="1"/>
  <c r="AD90" i="1"/>
  <c r="AE90" i="1"/>
  <c r="AF90" i="1"/>
  <c r="AD91" i="1"/>
  <c r="AE91" i="1"/>
  <c r="AF91" i="1"/>
  <c r="AD92" i="1"/>
  <c r="AE92" i="1"/>
  <c r="AF92" i="1"/>
  <c r="AD93" i="1"/>
  <c r="AE93" i="1"/>
  <c r="AF93" i="1"/>
  <c r="AD94" i="1"/>
  <c r="AE94" i="1"/>
  <c r="AF94" i="1"/>
  <c r="AD95" i="1"/>
  <c r="AE95" i="1"/>
  <c r="AF95" i="1"/>
  <c r="AD96" i="1"/>
  <c r="AE96" i="1"/>
  <c r="AF96" i="1"/>
  <c r="AD97" i="1"/>
  <c r="AE97" i="1"/>
  <c r="AF97" i="1"/>
  <c r="AD98" i="1"/>
  <c r="AE98" i="1"/>
  <c r="AF98" i="1"/>
  <c r="AD99" i="1"/>
  <c r="AE99" i="1"/>
  <c r="AF99" i="1"/>
  <c r="AD100" i="1"/>
  <c r="AE100" i="1"/>
  <c r="AF100" i="1"/>
  <c r="AD101" i="1"/>
  <c r="AE101" i="1"/>
  <c r="AF101" i="1"/>
  <c r="AD102" i="1"/>
  <c r="AE102" i="1"/>
  <c r="AF102" i="1"/>
  <c r="AD103" i="1"/>
  <c r="AE103" i="1"/>
  <c r="AF103" i="1"/>
  <c r="AD104" i="1"/>
  <c r="AE104" i="1"/>
  <c r="AF104" i="1"/>
  <c r="AD105" i="1"/>
  <c r="AE105" i="1"/>
  <c r="AF105" i="1"/>
  <c r="AD106" i="1"/>
  <c r="AE106" i="1"/>
  <c r="AF106" i="1"/>
  <c r="AD107" i="1"/>
  <c r="AE107" i="1"/>
  <c r="AF107" i="1"/>
  <c r="AD108" i="1"/>
  <c r="AE108" i="1"/>
  <c r="AF108" i="1"/>
  <c r="AD109" i="1"/>
  <c r="AE109" i="1"/>
  <c r="AF109" i="1"/>
  <c r="AD110" i="1"/>
  <c r="AE110" i="1"/>
  <c r="AF110" i="1"/>
  <c r="AD111" i="1"/>
  <c r="AE111" i="1"/>
  <c r="AF111" i="1"/>
  <c r="AD112" i="1"/>
  <c r="AE112" i="1"/>
  <c r="AF112" i="1"/>
  <c r="AD113" i="1"/>
  <c r="AE113" i="1"/>
  <c r="AF113" i="1"/>
  <c r="AD114" i="1"/>
  <c r="AE114" i="1"/>
  <c r="AF114" i="1"/>
  <c r="AD115" i="1"/>
  <c r="AE115" i="1"/>
  <c r="AF115"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2" i="1"/>
  <c r="AH101" i="1" l="1"/>
  <c r="AH61" i="1"/>
  <c r="AH112" i="1"/>
  <c r="AH62" i="1"/>
  <c r="AH114" i="1"/>
  <c r="AH58" i="1"/>
  <c r="AH104" i="1"/>
  <c r="AH88" i="1"/>
  <c r="AH84" i="1"/>
  <c r="AH80" i="1"/>
  <c r="AH76" i="1"/>
  <c r="AH68" i="1"/>
  <c r="AH60" i="1"/>
  <c r="AH56" i="1"/>
  <c r="AH52" i="1"/>
  <c r="AH115" i="1"/>
  <c r="AH98" i="1"/>
  <c r="AH90" i="1"/>
  <c r="AH74" i="1"/>
  <c r="AH54" i="1"/>
  <c r="AH108" i="1"/>
  <c r="AH106" i="1"/>
  <c r="AH64" i="1"/>
  <c r="AH51" i="1"/>
  <c r="AH81" i="1"/>
  <c r="AH82" i="1"/>
  <c r="AH70" i="1"/>
  <c r="AH95" i="1"/>
  <c r="AH91" i="1"/>
  <c r="AH66" i="1"/>
  <c r="AH50" i="1"/>
  <c r="AH49" i="1"/>
  <c r="AH100" i="1"/>
  <c r="AH92" i="1"/>
  <c r="AH71" i="1"/>
  <c r="AH105" i="1"/>
  <c r="AH96" i="1"/>
  <c r="AH72" i="1"/>
  <c r="AH102" i="1"/>
  <c r="AH67" i="1"/>
  <c r="AH57" i="1"/>
  <c r="AH107" i="1"/>
  <c r="AH97" i="1"/>
  <c r="AH87" i="1"/>
  <c r="AH78" i="1"/>
  <c r="AH53" i="1"/>
  <c r="AH93" i="1"/>
  <c r="AH83" i="1"/>
  <c r="AH73" i="1"/>
  <c r="AH63" i="1"/>
  <c r="AH111" i="1"/>
  <c r="AH113" i="1"/>
  <c r="AH103" i="1"/>
  <c r="AH94" i="1"/>
  <c r="AH69" i="1"/>
  <c r="AH59" i="1"/>
  <c r="AH77" i="1"/>
  <c r="AH109" i="1"/>
  <c r="AH99" i="1"/>
  <c r="AH89" i="1"/>
  <c r="AH79" i="1"/>
  <c r="AH110" i="1"/>
  <c r="AH85" i="1"/>
  <c r="AH75" i="1"/>
  <c r="AH65" i="1"/>
  <c r="AH55" i="1"/>
  <c r="AH86" i="1"/>
  <c r="J2" i="38"/>
  <c r="K2" i="38"/>
  <c r="L2" i="38"/>
  <c r="N2" i="38"/>
  <c r="O2" i="38"/>
  <c r="P2" i="38"/>
  <c r="J3" i="38"/>
  <c r="K3" i="38"/>
  <c r="L3" i="38"/>
  <c r="N3" i="38"/>
  <c r="O3" i="38"/>
  <c r="P3" i="38"/>
  <c r="J4" i="38"/>
  <c r="K4" i="38"/>
  <c r="L4" i="38"/>
  <c r="N4" i="38"/>
  <c r="O4" i="38"/>
  <c r="P4" i="38"/>
  <c r="J5" i="38"/>
  <c r="K5" i="38"/>
  <c r="L5" i="38"/>
  <c r="N5" i="38"/>
  <c r="O5" i="38"/>
  <c r="P5" i="38"/>
  <c r="J6" i="38"/>
  <c r="K6" i="38"/>
  <c r="L6" i="38"/>
  <c r="N6" i="38"/>
  <c r="O6" i="38"/>
  <c r="P6" i="38"/>
  <c r="J7" i="38"/>
  <c r="K7" i="38"/>
  <c r="L7" i="38"/>
  <c r="N7" i="38"/>
  <c r="O7" i="38"/>
  <c r="P7" i="38"/>
  <c r="J8" i="38"/>
  <c r="K8" i="38"/>
  <c r="L8" i="38"/>
  <c r="N8" i="38"/>
  <c r="O8" i="38"/>
  <c r="P8" i="38"/>
  <c r="J9" i="38"/>
  <c r="K9" i="38"/>
  <c r="L9" i="38"/>
  <c r="N9" i="38"/>
  <c r="O9" i="38"/>
  <c r="P9" i="38"/>
  <c r="J10" i="38"/>
  <c r="K10" i="38"/>
  <c r="L10" i="38"/>
  <c r="N10" i="38"/>
  <c r="O10" i="38"/>
  <c r="P10" i="38"/>
  <c r="J11" i="38"/>
  <c r="K11" i="38"/>
  <c r="L11" i="38"/>
  <c r="N11" i="38"/>
  <c r="O11" i="38"/>
  <c r="P11" i="38"/>
  <c r="J12" i="38"/>
  <c r="K12" i="38"/>
  <c r="L12" i="38"/>
  <c r="N12" i="38"/>
  <c r="O12" i="38"/>
  <c r="P12" i="38"/>
  <c r="J13" i="38"/>
  <c r="K13" i="38"/>
  <c r="L13" i="38"/>
  <c r="N13" i="38"/>
  <c r="O13" i="38"/>
  <c r="P13" i="38"/>
  <c r="J14" i="38"/>
  <c r="K14" i="38"/>
  <c r="L14" i="38"/>
  <c r="N14" i="38"/>
  <c r="O14" i="38"/>
  <c r="P14" i="38"/>
  <c r="J15" i="38"/>
  <c r="K15" i="38"/>
  <c r="L15" i="38"/>
  <c r="N15" i="38"/>
  <c r="O15" i="38"/>
  <c r="P15" i="38"/>
  <c r="J16" i="38"/>
  <c r="K16" i="38"/>
  <c r="L16" i="38"/>
  <c r="N16" i="38"/>
  <c r="O16" i="38"/>
  <c r="P16" i="38"/>
  <c r="J17" i="38"/>
  <c r="K17" i="38"/>
  <c r="L17" i="38"/>
  <c r="N17" i="38"/>
  <c r="O17" i="38"/>
  <c r="P17" i="38"/>
  <c r="J18" i="38"/>
  <c r="K18" i="38"/>
  <c r="L18" i="38"/>
  <c r="N18" i="38"/>
  <c r="O18" i="38"/>
  <c r="P18" i="38"/>
  <c r="J19" i="38"/>
  <c r="K19" i="38"/>
  <c r="L19" i="38"/>
  <c r="N19" i="38"/>
  <c r="O19" i="38"/>
  <c r="P19" i="38"/>
  <c r="J20" i="38"/>
  <c r="K20" i="38"/>
  <c r="L20" i="38"/>
  <c r="N20" i="38"/>
  <c r="O20" i="38"/>
  <c r="P20" i="38"/>
  <c r="J21" i="38"/>
  <c r="K21" i="38"/>
  <c r="L21" i="38"/>
  <c r="N21" i="38"/>
  <c r="O21" i="38"/>
  <c r="P21" i="38"/>
  <c r="J22" i="38"/>
  <c r="K22" i="38"/>
  <c r="L22" i="38"/>
  <c r="N22" i="38"/>
  <c r="O22" i="38"/>
  <c r="P22" i="38"/>
  <c r="J23" i="38"/>
  <c r="K23" i="38"/>
  <c r="L23" i="38"/>
  <c r="N23" i="38"/>
  <c r="O23" i="38"/>
  <c r="P23" i="38"/>
  <c r="J24" i="38"/>
  <c r="K24" i="38"/>
  <c r="L24" i="38"/>
  <c r="N24" i="38"/>
  <c r="O24" i="38"/>
  <c r="P24" i="38"/>
  <c r="J25" i="38"/>
  <c r="K25" i="38"/>
  <c r="L25" i="38"/>
  <c r="N25" i="38"/>
  <c r="O25" i="38"/>
  <c r="P25" i="38"/>
  <c r="J26" i="38"/>
  <c r="K26" i="38"/>
  <c r="L26" i="38"/>
  <c r="N26" i="38"/>
  <c r="O26" i="38"/>
  <c r="P26" i="38"/>
  <c r="J27" i="38"/>
  <c r="K27" i="38"/>
  <c r="L27" i="38"/>
  <c r="N27" i="38"/>
  <c r="O27" i="38"/>
  <c r="P27" i="38"/>
  <c r="J28" i="38"/>
  <c r="K28" i="38"/>
  <c r="L28" i="38"/>
  <c r="N28" i="38"/>
  <c r="O28" i="38"/>
  <c r="P28" i="38"/>
  <c r="J29" i="38"/>
  <c r="K29" i="38"/>
  <c r="L29" i="38"/>
  <c r="N29" i="38"/>
  <c r="O29" i="38"/>
  <c r="P29" i="38"/>
  <c r="J30" i="38"/>
  <c r="K30" i="38"/>
  <c r="L30" i="38"/>
  <c r="N30" i="38"/>
  <c r="O30" i="38"/>
  <c r="P30" i="38"/>
  <c r="J31" i="38"/>
  <c r="K31" i="38"/>
  <c r="L31" i="38"/>
  <c r="N31" i="38"/>
  <c r="O31" i="38"/>
  <c r="P31" i="38"/>
  <c r="J32" i="38"/>
  <c r="K32" i="38"/>
  <c r="L32" i="38"/>
  <c r="N32" i="38"/>
  <c r="O32" i="38"/>
  <c r="P32" i="38"/>
  <c r="J33" i="38"/>
  <c r="K33" i="38"/>
  <c r="L33" i="38"/>
  <c r="N33" i="38"/>
  <c r="O33" i="38"/>
  <c r="P33" i="38"/>
  <c r="M23" i="38" l="1"/>
  <c r="M29" i="38"/>
  <c r="M32" i="38"/>
  <c r="Q21" i="38"/>
  <c r="M20" i="38"/>
  <c r="Q17" i="38"/>
  <c r="Q13" i="38"/>
  <c r="Q27" i="38"/>
  <c r="M26" i="38"/>
  <c r="Q15" i="38"/>
  <c r="Q3" i="38"/>
  <c r="Q33" i="38"/>
  <c r="Q29" i="38"/>
  <c r="Q6" i="38"/>
  <c r="Q30" i="38"/>
  <c r="Q26" i="38"/>
  <c r="M25" i="38"/>
  <c r="Q22" i="38"/>
  <c r="Q18" i="38"/>
  <c r="M17" i="38"/>
  <c r="Q14" i="38"/>
  <c r="Q7" i="38"/>
  <c r="Q23" i="38"/>
  <c r="Q31" i="38"/>
  <c r="Q24" i="38"/>
  <c r="Q32" i="38"/>
  <c r="Q20" i="38"/>
  <c r="Q28" i="38"/>
  <c r="Q25" i="38"/>
  <c r="Q19" i="38"/>
  <c r="Q16" i="38"/>
  <c r="Q10" i="38"/>
  <c r="M9" i="38"/>
  <c r="Q5" i="38"/>
  <c r="M4" i="38"/>
  <c r="Q34" i="38"/>
  <c r="Q11" i="38"/>
  <c r="Q8" i="38"/>
  <c r="Q2" i="38"/>
  <c r="M15" i="38"/>
  <c r="Q12" i="38"/>
  <c r="M7" i="38"/>
  <c r="Q4" i="38"/>
  <c r="M12" i="38"/>
  <c r="Q9" i="38"/>
  <c r="M30" i="38"/>
  <c r="M21" i="38"/>
  <c r="M13" i="38"/>
  <c r="M5" i="38"/>
  <c r="M31" i="38"/>
  <c r="M22" i="38"/>
  <c r="M14" i="38"/>
  <c r="M6" i="38"/>
  <c r="M33" i="38"/>
  <c r="M24" i="38"/>
  <c r="M16" i="38"/>
  <c r="M8" i="38"/>
  <c r="M27" i="38"/>
  <c r="M18" i="38"/>
  <c r="M10" i="38"/>
  <c r="M34" i="38"/>
  <c r="M28" i="38"/>
  <c r="M19" i="38"/>
  <c r="M11" i="38"/>
  <c r="M3" i="38"/>
  <c r="M2" i="38"/>
  <c r="AD47" i="1"/>
  <c r="AE44" i="1"/>
  <c r="AF41" i="1"/>
  <c r="AD39" i="1"/>
  <c r="AE36" i="1"/>
  <c r="AF33" i="1"/>
  <c r="AD31" i="1"/>
  <c r="AE28" i="1"/>
  <c r="AF25" i="1"/>
  <c r="AD23" i="1"/>
  <c r="AF17" i="1"/>
  <c r="AD15" i="1"/>
  <c r="AE12" i="1"/>
  <c r="AF9" i="1"/>
  <c r="AD7" i="1"/>
  <c r="AE4" i="1"/>
  <c r="AD38" i="1"/>
  <c r="AE38" i="1"/>
  <c r="AF38" i="1"/>
  <c r="AE39" i="1"/>
  <c r="AF39" i="1"/>
  <c r="AD40" i="1"/>
  <c r="AE40" i="1"/>
  <c r="AF40" i="1"/>
  <c r="AD41" i="1"/>
  <c r="AE41" i="1"/>
  <c r="AD42" i="1"/>
  <c r="AE42" i="1"/>
  <c r="AF42" i="1"/>
  <c r="AD43" i="1"/>
  <c r="AE43" i="1"/>
  <c r="AF43" i="1"/>
  <c r="AD44" i="1"/>
  <c r="AF44" i="1"/>
  <c r="AD45" i="1"/>
  <c r="AE45" i="1"/>
  <c r="AF45" i="1"/>
  <c r="AD46" i="1"/>
  <c r="AE46" i="1"/>
  <c r="AF46" i="1"/>
  <c r="AE47" i="1"/>
  <c r="AF47" i="1"/>
  <c r="AD48" i="1"/>
  <c r="AE48" i="1"/>
  <c r="AF48" i="1"/>
  <c r="AD5" i="1"/>
  <c r="AE5" i="1"/>
  <c r="AF5" i="1"/>
  <c r="AD6" i="1"/>
  <c r="AE6" i="1"/>
  <c r="AF6" i="1"/>
  <c r="AE7" i="1"/>
  <c r="AF7" i="1"/>
  <c r="AD8" i="1"/>
  <c r="AE8" i="1"/>
  <c r="AF8" i="1"/>
  <c r="AD9" i="1"/>
  <c r="AE9" i="1"/>
  <c r="AD10" i="1"/>
  <c r="AE10" i="1"/>
  <c r="AF10" i="1"/>
  <c r="AD11" i="1"/>
  <c r="AE11" i="1"/>
  <c r="AF11" i="1"/>
  <c r="AD12" i="1"/>
  <c r="AF12" i="1"/>
  <c r="AD13" i="1"/>
  <c r="AE13" i="1"/>
  <c r="AF13" i="1"/>
  <c r="AD14" i="1"/>
  <c r="AE14" i="1"/>
  <c r="AF14" i="1"/>
  <c r="AE15" i="1"/>
  <c r="AF15" i="1"/>
  <c r="AD16" i="1"/>
  <c r="AE16" i="1"/>
  <c r="AF16" i="1"/>
  <c r="AD17" i="1"/>
  <c r="AE17" i="1"/>
  <c r="AD18" i="1"/>
  <c r="AE18" i="1"/>
  <c r="AF18" i="1"/>
  <c r="AD19" i="1"/>
  <c r="AE19" i="1"/>
  <c r="AF19" i="1"/>
  <c r="AD20" i="1"/>
  <c r="AE20" i="1"/>
  <c r="AF20" i="1"/>
  <c r="AD21" i="1"/>
  <c r="AE21" i="1"/>
  <c r="AF21" i="1"/>
  <c r="AD22" i="1"/>
  <c r="AE22" i="1"/>
  <c r="AF22" i="1"/>
  <c r="AE23" i="1"/>
  <c r="AF23" i="1"/>
  <c r="AD24" i="1"/>
  <c r="AE24" i="1"/>
  <c r="AF24" i="1"/>
  <c r="AD25" i="1"/>
  <c r="AE25" i="1"/>
  <c r="AD26" i="1"/>
  <c r="AE26" i="1"/>
  <c r="AF26" i="1"/>
  <c r="AD27" i="1"/>
  <c r="AE27" i="1"/>
  <c r="AF27" i="1"/>
  <c r="AD28" i="1"/>
  <c r="AF28" i="1"/>
  <c r="AD29" i="1"/>
  <c r="AE29" i="1"/>
  <c r="AF29" i="1"/>
  <c r="AD30" i="1"/>
  <c r="AE30" i="1"/>
  <c r="AF30" i="1"/>
  <c r="AE31" i="1"/>
  <c r="AF31" i="1"/>
  <c r="AD32" i="1"/>
  <c r="AE32" i="1"/>
  <c r="AF32" i="1"/>
  <c r="AD33" i="1"/>
  <c r="AE33" i="1"/>
  <c r="AD34" i="1"/>
  <c r="AE34" i="1"/>
  <c r="AF34" i="1"/>
  <c r="AD35" i="1"/>
  <c r="AE35" i="1"/>
  <c r="AF35" i="1"/>
  <c r="AD36" i="1"/>
  <c r="AF36" i="1"/>
  <c r="AD37" i="1"/>
  <c r="AE37" i="1"/>
  <c r="AF37" i="1"/>
  <c r="AD3" i="1"/>
  <c r="AE3" i="1"/>
  <c r="AF3" i="1"/>
  <c r="AD4" i="1"/>
  <c r="AF4" i="1"/>
  <c r="AH20" i="1" l="1"/>
  <c r="AH17" i="1"/>
  <c r="AH14" i="1"/>
  <c r="AH11" i="1"/>
  <c r="AH8" i="1"/>
  <c r="AH5" i="1"/>
  <c r="AH36" i="1"/>
  <c r="AH12" i="1"/>
  <c r="AH29" i="1"/>
  <c r="AH3" i="1"/>
  <c r="AH26" i="1"/>
  <c r="AH32" i="1"/>
  <c r="AH48" i="1"/>
  <c r="AH45" i="1"/>
  <c r="AH42" i="1"/>
  <c r="AH35" i="1"/>
  <c r="AH33" i="1"/>
  <c r="AH47" i="1"/>
  <c r="AH27" i="1"/>
  <c r="AH24" i="1"/>
  <c r="AH21" i="1"/>
  <c r="AH9" i="1"/>
  <c r="AH30" i="1"/>
  <c r="AH6" i="1"/>
  <c r="AH46" i="1"/>
  <c r="AH43" i="1"/>
  <c r="AH40" i="1"/>
  <c r="AH22" i="1"/>
  <c r="AH44" i="1"/>
  <c r="AH41" i="1"/>
  <c r="AH38" i="1"/>
  <c r="AH7" i="1"/>
  <c r="AH31" i="1"/>
  <c r="AH25" i="1"/>
  <c r="AH37" i="1"/>
  <c r="AH34" i="1"/>
  <c r="AH19" i="1"/>
  <c r="AH16" i="1"/>
  <c r="AH13" i="1"/>
  <c r="AH10" i="1"/>
  <c r="AH28" i="1"/>
  <c r="AH4" i="1"/>
  <c r="AH15" i="1"/>
  <c r="AH39" i="1"/>
  <c r="AH18" i="1"/>
  <c r="AH23" i="1"/>
  <c r="AF2" i="1"/>
  <c r="AE2" i="1"/>
  <c r="AD2" i="1"/>
  <c r="AK42" i="1"/>
  <c r="AH2" i="1" l="1"/>
  <c r="I10" i="37"/>
  <c r="J10" i="37"/>
  <c r="H10" i="37"/>
  <c r="AQ7" i="1"/>
  <c r="AR7" i="1"/>
  <c r="AR5" i="1"/>
  <c r="I5" i="37" l="1"/>
  <c r="J5" i="37"/>
  <c r="H5" i="37"/>
  <c r="AE35" i="34"/>
  <c r="AD35" i="34"/>
  <c r="AC35" i="34"/>
  <c r="AE34" i="34"/>
  <c r="AD34" i="34"/>
  <c r="AC34" i="34"/>
  <c r="AE33" i="34"/>
  <c r="AD33" i="34"/>
  <c r="AC33" i="34"/>
  <c r="AF33" i="34" s="1"/>
  <c r="AF34" i="34" l="1"/>
  <c r="AF35" i="34"/>
  <c r="L26" i="34"/>
  <c r="M26" i="34"/>
  <c r="K26" i="34"/>
  <c r="T24" i="34"/>
  <c r="S24" i="34"/>
  <c r="R24" i="34"/>
  <c r="Q24" i="34"/>
  <c r="Q2" i="34"/>
  <c r="R2" i="34"/>
  <c r="P2" i="34"/>
  <c r="K4" i="29" l="1"/>
  <c r="J5" i="29"/>
  <c r="K5" i="29" s="1"/>
  <c r="M5" i="29" s="1"/>
  <c r="J6" i="29"/>
  <c r="K6" i="29" s="1"/>
  <c r="M6" i="29" s="1"/>
  <c r="N6" i="29" s="1"/>
  <c r="K7" i="29"/>
  <c r="M7" i="29" s="1"/>
  <c r="J8" i="29"/>
  <c r="K8" i="29" s="1"/>
  <c r="M8" i="29" s="1"/>
  <c r="J9" i="29"/>
  <c r="K9" i="29" s="1"/>
  <c r="M9" i="29" s="1"/>
  <c r="K10" i="29"/>
  <c r="M10" i="29" s="1"/>
  <c r="N9" i="29" l="1"/>
  <c r="N8" i="29"/>
  <c r="N5" i="29"/>
  <c r="M4" i="29"/>
  <c r="N4" i="29" s="1"/>
  <c r="N7" i="29"/>
  <c r="J12" i="29"/>
  <c r="K12" i="29" s="1"/>
  <c r="M12" i="29" s="1"/>
  <c r="J11" i="29"/>
  <c r="K11" i="29" s="1"/>
  <c r="M11" i="29" s="1"/>
  <c r="N10" i="29"/>
  <c r="N11" i="29" l="1"/>
  <c r="N12" i="29"/>
  <c r="J15" i="29"/>
  <c r="K15" i="29" s="1"/>
  <c r="M15" i="29" s="1"/>
  <c r="J14" i="29"/>
  <c r="K14" i="29" s="1"/>
  <c r="M14" i="29" s="1"/>
  <c r="K13" i="29"/>
  <c r="M13" i="29" s="1"/>
  <c r="J16" i="29"/>
  <c r="J18" i="29" l="1"/>
  <c r="K18" i="29" s="1"/>
  <c r="M18" i="29" s="1"/>
  <c r="J17" i="29"/>
  <c r="K17" i="29" s="1"/>
  <c r="M17" i="29" s="1"/>
  <c r="K16" i="29"/>
  <c r="M16" i="29" s="1"/>
  <c r="J19" i="29"/>
  <c r="N13" i="29"/>
  <c r="N14" i="29"/>
  <c r="N15" i="29"/>
  <c r="J21" i="29" l="1"/>
  <c r="K21" i="29" s="1"/>
  <c r="M21" i="29" s="1"/>
  <c r="J20" i="29"/>
  <c r="K20" i="29" s="1"/>
  <c r="M20" i="29" s="1"/>
  <c r="J22" i="29"/>
  <c r="K19" i="29"/>
  <c r="M19" i="29" s="1"/>
  <c r="N16" i="29"/>
  <c r="N17" i="29"/>
  <c r="N18" i="29"/>
  <c r="J24" i="29" l="1"/>
  <c r="K24" i="29" s="1"/>
  <c r="M24" i="29" s="1"/>
  <c r="J23" i="29"/>
  <c r="K23" i="29" s="1"/>
  <c r="M23" i="29" s="1"/>
  <c r="J25" i="29"/>
  <c r="K22" i="29"/>
  <c r="M22" i="29" s="1"/>
  <c r="N19" i="29"/>
  <c r="N20" i="29"/>
  <c r="N21" i="29"/>
  <c r="N22" i="29" l="1"/>
  <c r="J27" i="29"/>
  <c r="K27" i="29" s="1"/>
  <c r="M27" i="29" s="1"/>
  <c r="J26" i="29"/>
  <c r="K26" i="29" s="1"/>
  <c r="M26" i="29" s="1"/>
  <c r="K25" i="29"/>
  <c r="M25" i="29" s="1"/>
  <c r="J28" i="29"/>
  <c r="N23" i="29"/>
  <c r="N24" i="29"/>
  <c r="N25" i="29" l="1"/>
  <c r="J30" i="29"/>
  <c r="K30" i="29" s="1"/>
  <c r="M30" i="29" s="1"/>
  <c r="J29" i="29"/>
  <c r="K29" i="29" s="1"/>
  <c r="M29" i="29" s="1"/>
  <c r="K28" i="29"/>
  <c r="M28" i="29" s="1"/>
  <c r="J31" i="29"/>
  <c r="N26" i="29"/>
  <c r="N27" i="29"/>
  <c r="N29" i="29" l="1"/>
  <c r="J33" i="29"/>
  <c r="K33" i="29" s="1"/>
  <c r="M33" i="29" s="1"/>
  <c r="J32" i="29"/>
  <c r="K32" i="29" s="1"/>
  <c r="M32" i="29" s="1"/>
  <c r="K31" i="29"/>
  <c r="M31" i="29" s="1"/>
  <c r="N28" i="29"/>
  <c r="N30" i="29"/>
  <c r="N32" i="29" l="1"/>
  <c r="N33" i="29"/>
  <c r="N31" i="29"/>
  <c r="AQ5" i="1"/>
  <c r="Q4" i="33" l="1"/>
  <c r="Q5" i="33"/>
  <c r="Q6" i="33"/>
  <c r="Q7" i="33"/>
  <c r="Q8" i="33"/>
  <c r="Q9" i="33"/>
  <c r="Q10" i="33"/>
  <c r="Q11" i="33"/>
  <c r="Q12" i="33"/>
  <c r="Q13" i="33"/>
  <c r="Q14" i="33"/>
  <c r="Q15" i="33"/>
  <c r="Q16" i="33"/>
  <c r="Q17" i="33"/>
  <c r="Q18" i="33"/>
  <c r="Q19" i="33"/>
  <c r="Q20" i="33"/>
  <c r="Q21" i="33"/>
  <c r="Q22" i="33"/>
  <c r="Q23" i="33"/>
  <c r="Q24" i="33"/>
  <c r="Q25" i="33"/>
  <c r="Q26" i="33"/>
  <c r="Q27" i="33"/>
  <c r="Q28" i="33"/>
  <c r="Q29" i="33"/>
  <c r="Q30" i="33"/>
  <c r="Q31" i="33"/>
  <c r="Q32" i="33"/>
  <c r="Q33" i="33"/>
  <c r="Q34" i="33"/>
  <c r="Q35" i="33"/>
  <c r="Q36" i="33"/>
  <c r="Q37" i="33"/>
  <c r="Q38" i="33"/>
  <c r="Q39" i="33"/>
  <c r="Q40" i="33"/>
  <c r="Q41" i="33"/>
  <c r="Q42" i="33"/>
  <c r="Q43" i="33"/>
  <c r="Q44" i="33"/>
  <c r="Q45" i="33"/>
  <c r="Q46" i="33"/>
  <c r="Q47" i="33"/>
  <c r="Q48" i="33"/>
  <c r="Q49" i="33"/>
  <c r="Q50" i="33"/>
  <c r="Q51" i="33"/>
  <c r="Q52" i="33"/>
  <c r="Q53" i="33"/>
  <c r="Q54" i="33"/>
  <c r="Q55" i="33"/>
  <c r="Q56" i="33"/>
  <c r="Q57" i="33"/>
  <c r="Q58" i="33"/>
  <c r="Q59" i="33"/>
  <c r="Q60" i="33"/>
  <c r="Q61" i="33"/>
  <c r="Q62" i="33"/>
  <c r="Q63" i="33"/>
  <c r="Q64" i="33"/>
  <c r="Q65" i="33"/>
  <c r="Q66" i="33"/>
  <c r="Q67" i="33"/>
  <c r="Q68" i="33"/>
  <c r="Q69" i="33"/>
  <c r="Q70" i="33"/>
  <c r="Q71" i="33"/>
  <c r="Q72" i="33"/>
  <c r="Q73" i="33"/>
  <c r="Q74" i="33"/>
  <c r="Q75" i="33"/>
  <c r="Q76" i="33"/>
  <c r="Q77" i="33"/>
  <c r="Q78" i="33"/>
  <c r="Q79" i="33"/>
  <c r="Q80" i="33"/>
  <c r="Q81" i="33"/>
  <c r="Q82" i="33"/>
  <c r="Q83" i="33"/>
  <c r="Q84" i="33"/>
  <c r="Q85" i="33"/>
  <c r="Q86" i="33"/>
  <c r="Q87" i="33"/>
  <c r="Q88" i="33"/>
  <c r="Q89" i="33"/>
  <c r="Q90" i="33"/>
  <c r="Q91" i="33"/>
  <c r="Q92" i="33"/>
  <c r="Q93" i="33"/>
  <c r="Q94" i="33"/>
  <c r="Q95" i="33"/>
  <c r="Q96" i="33"/>
  <c r="Q97" i="33"/>
  <c r="Q98" i="33"/>
  <c r="Q99" i="33"/>
  <c r="Q100" i="33"/>
  <c r="Q101" i="33"/>
  <c r="Q102" i="33"/>
  <c r="Q103" i="33"/>
  <c r="Q104" i="33"/>
  <c r="Q105" i="33"/>
  <c r="Q106" i="33"/>
  <c r="Q107" i="33"/>
  <c r="Q108" i="33"/>
  <c r="Q109" i="33"/>
  <c r="Q110" i="33"/>
  <c r="Q111" i="33"/>
  <c r="Q112" i="33"/>
  <c r="Q113" i="33"/>
  <c r="Q114" i="33"/>
  <c r="Q115" i="33"/>
  <c r="Q116" i="33"/>
  <c r="Q117" i="33"/>
  <c r="Q118" i="33"/>
  <c r="Q119" i="33"/>
  <c r="Q120" i="33"/>
  <c r="Q121" i="33"/>
  <c r="Q122" i="33"/>
  <c r="Q123" i="33"/>
  <c r="Q124" i="33"/>
  <c r="Q125" i="33"/>
  <c r="Q126" i="33"/>
  <c r="Q127" i="33"/>
  <c r="Q128" i="33"/>
  <c r="Q129" i="33"/>
  <c r="Q130" i="33"/>
  <c r="Q131" i="33"/>
  <c r="Q132" i="33"/>
  <c r="Q133" i="33"/>
  <c r="Q134" i="33"/>
  <c r="Q135" i="33"/>
  <c r="Q136" i="33"/>
  <c r="Q137" i="33"/>
  <c r="Q138" i="33"/>
  <c r="Q139" i="33"/>
  <c r="Q140" i="33"/>
  <c r="Q141" i="33"/>
  <c r="Q142" i="33"/>
  <c r="Q143" i="33"/>
  <c r="Q144" i="33"/>
  <c r="Q145" i="33"/>
  <c r="Q146" i="33"/>
  <c r="Q147" i="33"/>
  <c r="Q148" i="33"/>
  <c r="Q149" i="33"/>
  <c r="Q150" i="33"/>
  <c r="Q151" i="33"/>
  <c r="Q152" i="33"/>
  <c r="Q153" i="33"/>
  <c r="Q154" i="33"/>
  <c r="Q155" i="33"/>
  <c r="Q156" i="33"/>
  <c r="Q157" i="33"/>
  <c r="Q158" i="33"/>
  <c r="Q159" i="33"/>
  <c r="Q160" i="33"/>
  <c r="Q161" i="33"/>
  <c r="Q162" i="33"/>
  <c r="Q163" i="33"/>
  <c r="Q164" i="33"/>
  <c r="Q165" i="33"/>
  <c r="Q166" i="33"/>
  <c r="Q167" i="33"/>
  <c r="Q168" i="33"/>
  <c r="Q169" i="33"/>
  <c r="Q170" i="33"/>
  <c r="Q171" i="33"/>
  <c r="Q172" i="33"/>
  <c r="Q173" i="33"/>
  <c r="Q174" i="33"/>
  <c r="Q175" i="33"/>
  <c r="Q176" i="33"/>
  <c r="Q177" i="33"/>
  <c r="Q178" i="33"/>
  <c r="Q179" i="33"/>
  <c r="Q180" i="33"/>
  <c r="Q181" i="33"/>
  <c r="Q182" i="33"/>
  <c r="Q183" i="33"/>
  <c r="Q184" i="33"/>
  <c r="Q185" i="33"/>
  <c r="Q186" i="33"/>
  <c r="Q187" i="33"/>
  <c r="Q188" i="33"/>
  <c r="Q189" i="33"/>
  <c r="Q190" i="33"/>
  <c r="Q191" i="33"/>
  <c r="Q192" i="33"/>
  <c r="Q193" i="33"/>
  <c r="Q194" i="33"/>
  <c r="Q195" i="33"/>
  <c r="Q196" i="33"/>
  <c r="Q197" i="33"/>
  <c r="Q198" i="33"/>
  <c r="Q199" i="33"/>
  <c r="Q200" i="33"/>
  <c r="Q201" i="33"/>
  <c r="Q202" i="33"/>
  <c r="Q203" i="33"/>
  <c r="Q204" i="33"/>
  <c r="Q205" i="33"/>
  <c r="Q206" i="33"/>
  <c r="Q207" i="33"/>
  <c r="Q208" i="33"/>
  <c r="Q209" i="33"/>
  <c r="Q210" i="33"/>
  <c r="Q211" i="33"/>
  <c r="Q212" i="33"/>
  <c r="Q213" i="33"/>
  <c r="Q214" i="33"/>
  <c r="Q215" i="33"/>
  <c r="Q216" i="33"/>
  <c r="Q217" i="33"/>
  <c r="Q218" i="33"/>
  <c r="Q219" i="33"/>
  <c r="Q220" i="33"/>
  <c r="Q221" i="33"/>
  <c r="Q222" i="33"/>
  <c r="Q223" i="33"/>
  <c r="Q224" i="33"/>
  <c r="Q225" i="33"/>
  <c r="Q226" i="33"/>
  <c r="Q227" i="33"/>
  <c r="Q228" i="33"/>
  <c r="Q229" i="33"/>
  <c r="Q230" i="33"/>
  <c r="Q231" i="33"/>
  <c r="Q232" i="33"/>
  <c r="Q233" i="33"/>
  <c r="Q234" i="33"/>
  <c r="Q235" i="33"/>
  <c r="Q236" i="33"/>
  <c r="Q237" i="33"/>
  <c r="Q238" i="33"/>
  <c r="Q239" i="33"/>
  <c r="Q240" i="33"/>
  <c r="Q241" i="33"/>
  <c r="Q242" i="33"/>
  <c r="Q243" i="33"/>
  <c r="Q244" i="33"/>
  <c r="Q245" i="33"/>
  <c r="Q246" i="33"/>
  <c r="Q247" i="33"/>
  <c r="Q248" i="33"/>
  <c r="Q249" i="33"/>
  <c r="Q250" i="33"/>
  <c r="Q251" i="33"/>
  <c r="Q252" i="33"/>
  <c r="Q253" i="33"/>
  <c r="Q254" i="33"/>
  <c r="Q255" i="33"/>
  <c r="Q256" i="33"/>
  <c r="Q257" i="33"/>
  <c r="Q258" i="33"/>
  <c r="Q259" i="33"/>
  <c r="Q260" i="33"/>
  <c r="Q261" i="33"/>
  <c r="Q262" i="33"/>
  <c r="Q263" i="33"/>
  <c r="Q264" i="33"/>
  <c r="Q265" i="33"/>
  <c r="Q266" i="33"/>
  <c r="Q267" i="33"/>
  <c r="Q268" i="33"/>
  <c r="Q269" i="33"/>
  <c r="Q270" i="33"/>
  <c r="Q271" i="33"/>
  <c r="Q272" i="33"/>
  <c r="Q273" i="33"/>
  <c r="Q274" i="33"/>
  <c r="Q275" i="33"/>
  <c r="Q276" i="33"/>
  <c r="Q277" i="33"/>
  <c r="Q278" i="33"/>
  <c r="Q279" i="33"/>
  <c r="Q280" i="33"/>
  <c r="Q281" i="33"/>
  <c r="Q282" i="33"/>
  <c r="Q283" i="33"/>
  <c r="Q284" i="33"/>
  <c r="Q285" i="33"/>
  <c r="Q286" i="33"/>
  <c r="Q287" i="33"/>
  <c r="Q288" i="33"/>
  <c r="Q289" i="33"/>
  <c r="Q290" i="33"/>
  <c r="Q291" i="33"/>
  <c r="Q292" i="33"/>
  <c r="Q293" i="33"/>
  <c r="Q294" i="33"/>
  <c r="Q295" i="33"/>
  <c r="Q296" i="33"/>
  <c r="Q297" i="33"/>
  <c r="Q298" i="33"/>
  <c r="Q299" i="33"/>
  <c r="Q300" i="33"/>
  <c r="Q301" i="33"/>
  <c r="Q302" i="33"/>
  <c r="Q303" i="33"/>
  <c r="Q304" i="33"/>
  <c r="Q305" i="33"/>
  <c r="Q306" i="33"/>
  <c r="Q307" i="33"/>
  <c r="Q308" i="33"/>
  <c r="Q309" i="33"/>
  <c r="Q310" i="33"/>
  <c r="Q311" i="33"/>
  <c r="Q312" i="33"/>
  <c r="Q313" i="33"/>
  <c r="Q314" i="33"/>
  <c r="Q315" i="33"/>
  <c r="Q316" i="33"/>
  <c r="Q317" i="33"/>
  <c r="Q318" i="33"/>
  <c r="Q319" i="33"/>
  <c r="Q320" i="33"/>
  <c r="Q321" i="33"/>
  <c r="Q322" i="33"/>
  <c r="Q323" i="33"/>
  <c r="Q324" i="33"/>
  <c r="Q325" i="33"/>
  <c r="Q326" i="33"/>
  <c r="Q327" i="33"/>
  <c r="Q328" i="33"/>
  <c r="Q329" i="33"/>
  <c r="Q330" i="33"/>
  <c r="Q331" i="33"/>
  <c r="Q332" i="33"/>
  <c r="Q333" i="33"/>
  <c r="Q334" i="33"/>
  <c r="Q335" i="33"/>
  <c r="Q336" i="33"/>
  <c r="Q337" i="33"/>
  <c r="Q338" i="33"/>
  <c r="Q339" i="33"/>
  <c r="Q340" i="33"/>
  <c r="Q341" i="33"/>
  <c r="Q342" i="33"/>
  <c r="Q343" i="33"/>
  <c r="Q344" i="33"/>
  <c r="Q345" i="33"/>
  <c r="Q346" i="33"/>
  <c r="Q347" i="33"/>
  <c r="Q348" i="33"/>
  <c r="Q349" i="33"/>
  <c r="Q350" i="33"/>
  <c r="Q351" i="33"/>
  <c r="Q352" i="33"/>
  <c r="Q353" i="33"/>
  <c r="Q354" i="33"/>
  <c r="Q355" i="33"/>
  <c r="Q356" i="33"/>
  <c r="Q357" i="33"/>
  <c r="Q358" i="33"/>
  <c r="Q359" i="33"/>
  <c r="Q360" i="33"/>
  <c r="Q361" i="33"/>
  <c r="Q362" i="33"/>
  <c r="Q363" i="33"/>
  <c r="Q364" i="33"/>
  <c r="Q365" i="33"/>
  <c r="Q366" i="33"/>
  <c r="Q367" i="33"/>
  <c r="Q368" i="33"/>
  <c r="Q369" i="33"/>
  <c r="Q370" i="33"/>
  <c r="Q371" i="33"/>
  <c r="Q372" i="33"/>
  <c r="Q373" i="33"/>
  <c r="Q374" i="33"/>
  <c r="Q375" i="33"/>
  <c r="Q376" i="33"/>
  <c r="Q377" i="33"/>
  <c r="Q378" i="33"/>
  <c r="Q379" i="33"/>
  <c r="Q380" i="33"/>
  <c r="Q381" i="33"/>
  <c r="Q382" i="33"/>
  <c r="Q383" i="33"/>
  <c r="Q384" i="33"/>
  <c r="Q385" i="33"/>
  <c r="Q386" i="33"/>
  <c r="Q387" i="33"/>
  <c r="Q388" i="33"/>
  <c r="Q389" i="33"/>
  <c r="Q390" i="33"/>
  <c r="Q3" i="33"/>
  <c r="R3" i="33"/>
  <c r="S3" i="33"/>
  <c r="R4" i="33"/>
  <c r="S4" i="33"/>
  <c r="R5" i="33"/>
  <c r="S5" i="33"/>
  <c r="R6" i="33"/>
  <c r="S6" i="33"/>
  <c r="R7" i="33"/>
  <c r="S7" i="33"/>
  <c r="R8" i="33"/>
  <c r="S8" i="33"/>
  <c r="R9" i="33"/>
  <c r="S9" i="33"/>
  <c r="R10" i="33"/>
  <c r="S10" i="33"/>
  <c r="R11" i="33"/>
  <c r="S11" i="33"/>
  <c r="R12" i="33"/>
  <c r="S12" i="33"/>
  <c r="R13" i="33"/>
  <c r="S13" i="33"/>
  <c r="R14" i="33"/>
  <c r="S14" i="33"/>
  <c r="R15" i="33"/>
  <c r="S15" i="33"/>
  <c r="R16" i="33"/>
  <c r="S16" i="33"/>
  <c r="R17" i="33"/>
  <c r="S17" i="33"/>
  <c r="R18" i="33"/>
  <c r="S18" i="33"/>
  <c r="R19" i="33"/>
  <c r="S19" i="33"/>
  <c r="R20" i="33"/>
  <c r="S20" i="33"/>
  <c r="R21" i="33"/>
  <c r="S21" i="33"/>
  <c r="R22" i="33"/>
  <c r="S22" i="33"/>
  <c r="R23" i="33"/>
  <c r="S23" i="33"/>
  <c r="R24" i="33"/>
  <c r="S24" i="33"/>
  <c r="R25" i="33"/>
  <c r="S25" i="33"/>
  <c r="R26" i="33"/>
  <c r="S26" i="33"/>
  <c r="R27" i="33"/>
  <c r="S27" i="33"/>
  <c r="R28" i="33"/>
  <c r="S28" i="33"/>
  <c r="R29" i="33"/>
  <c r="S29" i="33"/>
  <c r="R30" i="33"/>
  <c r="S30" i="33"/>
  <c r="R31" i="33"/>
  <c r="S31" i="33"/>
  <c r="R32" i="33"/>
  <c r="S32" i="33"/>
  <c r="R33" i="33"/>
  <c r="S33" i="33"/>
  <c r="R34" i="33"/>
  <c r="S34" i="33"/>
  <c r="R35" i="33"/>
  <c r="S35" i="33"/>
  <c r="R36" i="33"/>
  <c r="S36" i="33"/>
  <c r="R37" i="33"/>
  <c r="S37" i="33"/>
  <c r="R38" i="33"/>
  <c r="S38" i="33"/>
  <c r="R39" i="33"/>
  <c r="S39" i="33"/>
  <c r="R40" i="33"/>
  <c r="S40" i="33"/>
  <c r="R41" i="33"/>
  <c r="S41" i="33"/>
  <c r="R42" i="33"/>
  <c r="S42" i="33"/>
  <c r="R43" i="33"/>
  <c r="S43" i="33"/>
  <c r="R44" i="33"/>
  <c r="S44" i="33"/>
  <c r="R45" i="33"/>
  <c r="S45" i="33"/>
  <c r="R46" i="33"/>
  <c r="S46" i="33"/>
  <c r="R47" i="33"/>
  <c r="S47" i="33"/>
  <c r="R48" i="33"/>
  <c r="S48" i="33"/>
  <c r="R49" i="33"/>
  <c r="S49" i="33"/>
  <c r="R50" i="33"/>
  <c r="S50" i="33"/>
  <c r="R51" i="33"/>
  <c r="S51" i="33"/>
  <c r="R52" i="33"/>
  <c r="S52" i="33"/>
  <c r="R53" i="33"/>
  <c r="S53" i="33"/>
  <c r="R54" i="33"/>
  <c r="S54" i="33"/>
  <c r="R55" i="33"/>
  <c r="S55" i="33"/>
  <c r="R56" i="33"/>
  <c r="S56" i="33"/>
  <c r="R57" i="33"/>
  <c r="S57" i="33"/>
  <c r="R58" i="33"/>
  <c r="S58" i="33"/>
  <c r="R59" i="33"/>
  <c r="S59" i="33"/>
  <c r="R60" i="33"/>
  <c r="S60" i="33"/>
  <c r="R61" i="33"/>
  <c r="S61" i="33"/>
  <c r="R62" i="33"/>
  <c r="S62" i="33"/>
  <c r="R63" i="33"/>
  <c r="S63" i="33"/>
  <c r="R64" i="33"/>
  <c r="S64" i="33"/>
  <c r="R65" i="33"/>
  <c r="S65" i="33"/>
  <c r="R66" i="33"/>
  <c r="S66" i="33"/>
  <c r="R67" i="33"/>
  <c r="S67" i="33"/>
  <c r="R68" i="33"/>
  <c r="S68" i="33"/>
  <c r="R69" i="33"/>
  <c r="S69" i="33"/>
  <c r="R70" i="33"/>
  <c r="S70" i="33"/>
  <c r="R71" i="33"/>
  <c r="S71" i="33"/>
  <c r="R72" i="33"/>
  <c r="S72" i="33"/>
  <c r="R73" i="33"/>
  <c r="S73" i="33"/>
  <c r="R74" i="33"/>
  <c r="S74" i="33"/>
  <c r="R75" i="33"/>
  <c r="S75" i="33"/>
  <c r="R76" i="33"/>
  <c r="S76" i="33"/>
  <c r="R77" i="33"/>
  <c r="S77" i="33"/>
  <c r="R78" i="33"/>
  <c r="S78" i="33"/>
  <c r="R79" i="33"/>
  <c r="S79" i="33"/>
  <c r="R80" i="33"/>
  <c r="S80" i="33"/>
  <c r="R81" i="33"/>
  <c r="S81" i="33"/>
  <c r="R82" i="33"/>
  <c r="S82" i="33"/>
  <c r="R83" i="33"/>
  <c r="S83" i="33"/>
  <c r="R84" i="33"/>
  <c r="S84" i="33"/>
  <c r="R85" i="33"/>
  <c r="S85" i="33"/>
  <c r="R86" i="33"/>
  <c r="S86" i="33"/>
  <c r="R87" i="33"/>
  <c r="S87" i="33"/>
  <c r="R88" i="33"/>
  <c r="S88" i="33"/>
  <c r="R89" i="33"/>
  <c r="S89" i="33"/>
  <c r="R90" i="33"/>
  <c r="S90" i="33"/>
  <c r="R91" i="33"/>
  <c r="S91" i="33"/>
  <c r="R92" i="33"/>
  <c r="S92" i="33"/>
  <c r="R93" i="33"/>
  <c r="S93" i="33"/>
  <c r="R94" i="33"/>
  <c r="S94" i="33"/>
  <c r="R95" i="33"/>
  <c r="S95" i="33"/>
  <c r="R96" i="33"/>
  <c r="S96" i="33"/>
  <c r="R97" i="33"/>
  <c r="S97" i="33"/>
  <c r="R98" i="33"/>
  <c r="S98" i="33"/>
  <c r="R99" i="33"/>
  <c r="S99" i="33"/>
  <c r="R100" i="33"/>
  <c r="S100" i="33"/>
  <c r="R101" i="33"/>
  <c r="S101" i="33"/>
  <c r="R102" i="33"/>
  <c r="S102" i="33"/>
  <c r="R103" i="33"/>
  <c r="S103" i="33"/>
  <c r="R104" i="33"/>
  <c r="S104" i="33"/>
  <c r="R105" i="33"/>
  <c r="S105" i="33"/>
  <c r="R106" i="33"/>
  <c r="S106" i="33"/>
  <c r="R107" i="33"/>
  <c r="S107" i="33"/>
  <c r="R108" i="33"/>
  <c r="S108" i="33"/>
  <c r="R109" i="33"/>
  <c r="S109" i="33"/>
  <c r="R110" i="33"/>
  <c r="S110" i="33"/>
  <c r="R111" i="33"/>
  <c r="S111" i="33"/>
  <c r="R112" i="33"/>
  <c r="S112" i="33"/>
  <c r="R113" i="33"/>
  <c r="S113" i="33"/>
  <c r="R114" i="33"/>
  <c r="S114" i="33"/>
  <c r="R115" i="33"/>
  <c r="S115" i="33"/>
  <c r="R116" i="33"/>
  <c r="S116" i="33"/>
  <c r="R117" i="33"/>
  <c r="S117" i="33"/>
  <c r="R118" i="33"/>
  <c r="S118" i="33"/>
  <c r="R119" i="33"/>
  <c r="S119" i="33"/>
  <c r="R120" i="33"/>
  <c r="S120" i="33"/>
  <c r="R121" i="33"/>
  <c r="S121" i="33"/>
  <c r="R122" i="33"/>
  <c r="S122" i="33"/>
  <c r="R123" i="33"/>
  <c r="S123" i="33"/>
  <c r="R124" i="33"/>
  <c r="S124" i="33"/>
  <c r="R125" i="33"/>
  <c r="S125" i="33"/>
  <c r="R126" i="33"/>
  <c r="S126" i="33"/>
  <c r="R127" i="33"/>
  <c r="S127" i="33"/>
  <c r="R128" i="33"/>
  <c r="S128" i="33"/>
  <c r="R129" i="33"/>
  <c r="S129" i="33"/>
  <c r="R130" i="33"/>
  <c r="S130" i="33"/>
  <c r="R131" i="33"/>
  <c r="S131" i="33"/>
  <c r="R132" i="33"/>
  <c r="S132" i="33"/>
  <c r="R133" i="33"/>
  <c r="S133" i="33"/>
  <c r="R134" i="33"/>
  <c r="S134" i="33"/>
  <c r="R135" i="33"/>
  <c r="S135" i="33"/>
  <c r="R136" i="33"/>
  <c r="S136" i="33"/>
  <c r="R137" i="33"/>
  <c r="S137" i="33"/>
  <c r="R138" i="33"/>
  <c r="S138" i="33"/>
  <c r="R139" i="33"/>
  <c r="S139" i="33"/>
  <c r="R140" i="33"/>
  <c r="S140" i="33"/>
  <c r="R141" i="33"/>
  <c r="S141" i="33"/>
  <c r="R142" i="33"/>
  <c r="S142" i="33"/>
  <c r="R143" i="33"/>
  <c r="S143" i="33"/>
  <c r="R144" i="33"/>
  <c r="S144" i="33"/>
  <c r="R145" i="33"/>
  <c r="S145" i="33"/>
  <c r="R146" i="33"/>
  <c r="S146" i="33"/>
  <c r="R147" i="33"/>
  <c r="S147" i="33"/>
  <c r="R148" i="33"/>
  <c r="S148" i="33"/>
  <c r="R149" i="33"/>
  <c r="S149" i="33"/>
  <c r="R150" i="33"/>
  <c r="S150" i="33"/>
  <c r="R151" i="33"/>
  <c r="S151" i="33"/>
  <c r="R152" i="33"/>
  <c r="S152" i="33"/>
  <c r="R153" i="33"/>
  <c r="S153" i="33"/>
  <c r="R154" i="33"/>
  <c r="S154" i="33"/>
  <c r="R155" i="33"/>
  <c r="S155" i="33"/>
  <c r="R156" i="33"/>
  <c r="S156" i="33"/>
  <c r="R157" i="33"/>
  <c r="S157" i="33"/>
  <c r="R158" i="33"/>
  <c r="S158" i="33"/>
  <c r="R159" i="33"/>
  <c r="S159" i="33"/>
  <c r="R160" i="33"/>
  <c r="S160" i="33"/>
  <c r="R161" i="33"/>
  <c r="S161" i="33"/>
  <c r="R162" i="33"/>
  <c r="S162" i="33"/>
  <c r="R163" i="33"/>
  <c r="S163" i="33"/>
  <c r="R164" i="33"/>
  <c r="S164" i="33"/>
  <c r="R165" i="33"/>
  <c r="S165" i="33"/>
  <c r="R166" i="33"/>
  <c r="S166" i="33"/>
  <c r="R167" i="33"/>
  <c r="S167" i="33"/>
  <c r="R168" i="33"/>
  <c r="S168" i="33"/>
  <c r="R169" i="33"/>
  <c r="S169" i="33"/>
  <c r="R170" i="33"/>
  <c r="S170" i="33"/>
  <c r="R171" i="33"/>
  <c r="S171" i="33"/>
  <c r="R172" i="33"/>
  <c r="S172" i="33"/>
  <c r="R173" i="33"/>
  <c r="S173" i="33"/>
  <c r="R174" i="33"/>
  <c r="S174" i="33"/>
  <c r="R175" i="33"/>
  <c r="S175" i="33"/>
  <c r="R176" i="33"/>
  <c r="S176" i="33"/>
  <c r="R177" i="33"/>
  <c r="S177" i="33"/>
  <c r="R178" i="33"/>
  <c r="S178" i="33"/>
  <c r="R179" i="33"/>
  <c r="S179" i="33"/>
  <c r="T4" i="33"/>
  <c r="T5" i="33"/>
  <c r="T6" i="33"/>
  <c r="T7" i="33"/>
  <c r="T8" i="33"/>
  <c r="T9" i="33"/>
  <c r="T10" i="33"/>
  <c r="T11" i="33"/>
  <c r="T12" i="33"/>
  <c r="T13" i="33"/>
  <c r="T14" i="33"/>
  <c r="T15" i="33"/>
  <c r="T16" i="33"/>
  <c r="T17" i="33"/>
  <c r="T18" i="33"/>
  <c r="T19" i="33"/>
  <c r="T20" i="33"/>
  <c r="T21" i="33"/>
  <c r="T22" i="33"/>
  <c r="T23" i="33"/>
  <c r="T24" i="33"/>
  <c r="T25" i="33"/>
  <c r="T26" i="33"/>
  <c r="T27" i="33"/>
  <c r="T28" i="33"/>
  <c r="T29" i="33"/>
  <c r="T30" i="33"/>
  <c r="T31" i="33"/>
  <c r="T32" i="33"/>
  <c r="T33" i="33"/>
  <c r="T34" i="33"/>
  <c r="T35" i="33"/>
  <c r="T36" i="33"/>
  <c r="T37" i="33"/>
  <c r="T38" i="33"/>
  <c r="T39" i="33"/>
  <c r="T40" i="33"/>
  <c r="T41" i="33"/>
  <c r="T42" i="33"/>
  <c r="T43" i="33"/>
  <c r="T44" i="33"/>
  <c r="T45" i="33"/>
  <c r="T46" i="33"/>
  <c r="T47" i="33"/>
  <c r="T48" i="33"/>
  <c r="T49" i="33"/>
  <c r="T50" i="33"/>
  <c r="T51" i="33"/>
  <c r="T52" i="33"/>
  <c r="T53" i="33"/>
  <c r="T54" i="33"/>
  <c r="T55" i="33"/>
  <c r="T56" i="33"/>
  <c r="T57" i="33"/>
  <c r="T58" i="33"/>
  <c r="T59" i="33"/>
  <c r="T60" i="33"/>
  <c r="T61" i="33"/>
  <c r="T62" i="33"/>
  <c r="T63" i="33"/>
  <c r="T64" i="33"/>
  <c r="T65" i="33"/>
  <c r="T66" i="33"/>
  <c r="T67" i="33"/>
  <c r="T68" i="33"/>
  <c r="T69" i="33"/>
  <c r="T70" i="33"/>
  <c r="T71" i="33"/>
  <c r="T72" i="33"/>
  <c r="T73" i="33"/>
  <c r="T74" i="33"/>
  <c r="T75" i="33"/>
  <c r="T76" i="33"/>
  <c r="T77" i="33"/>
  <c r="T78" i="33"/>
  <c r="T79" i="33"/>
  <c r="T80" i="33"/>
  <c r="T81" i="33"/>
  <c r="T82" i="33"/>
  <c r="T83" i="33"/>
  <c r="T84" i="33"/>
  <c r="T85" i="33"/>
  <c r="T86" i="33"/>
  <c r="T87" i="33"/>
  <c r="T88" i="33"/>
  <c r="T89" i="33"/>
  <c r="T90" i="33"/>
  <c r="T91" i="33"/>
  <c r="T92" i="33"/>
  <c r="T93" i="33"/>
  <c r="T94" i="33"/>
  <c r="T95" i="33"/>
  <c r="T96" i="33"/>
  <c r="T97" i="33"/>
  <c r="T98" i="33"/>
  <c r="T99" i="33"/>
  <c r="T100" i="33"/>
  <c r="T101" i="33"/>
  <c r="T102" i="33"/>
  <c r="T103" i="33"/>
  <c r="T104" i="33"/>
  <c r="T105" i="33"/>
  <c r="T106" i="33"/>
  <c r="T107" i="33"/>
  <c r="T108" i="33"/>
  <c r="T109" i="33"/>
  <c r="T110" i="33"/>
  <c r="T111" i="33"/>
  <c r="T112" i="33"/>
  <c r="T113" i="33"/>
  <c r="T114" i="33"/>
  <c r="T115" i="33"/>
  <c r="T116" i="33"/>
  <c r="T117" i="33"/>
  <c r="T118" i="33"/>
  <c r="T119" i="33"/>
  <c r="T120" i="33"/>
  <c r="T121" i="33"/>
  <c r="T122" i="33"/>
  <c r="T123" i="33"/>
  <c r="T124" i="33"/>
  <c r="T125" i="33"/>
  <c r="T126" i="33"/>
  <c r="T127" i="33"/>
  <c r="T128" i="33"/>
  <c r="T129" i="33"/>
  <c r="T130" i="33"/>
  <c r="T131" i="33"/>
  <c r="T132" i="33"/>
  <c r="T133" i="33"/>
  <c r="T134" i="33"/>
  <c r="T135" i="33"/>
  <c r="T136" i="33"/>
  <c r="T137" i="33"/>
  <c r="T138" i="33"/>
  <c r="T139" i="33"/>
  <c r="T140" i="33"/>
  <c r="T141" i="33"/>
  <c r="T142" i="33"/>
  <c r="T143" i="33"/>
  <c r="T144" i="33"/>
  <c r="T145" i="33"/>
  <c r="T146" i="33"/>
  <c r="T147" i="33"/>
  <c r="T148" i="33"/>
  <c r="T149" i="33"/>
  <c r="T150" i="33"/>
  <c r="T151" i="33"/>
  <c r="T152" i="33"/>
  <c r="T153" i="33"/>
  <c r="T154" i="33"/>
  <c r="T155" i="33"/>
  <c r="T156" i="33"/>
  <c r="T157" i="33"/>
  <c r="T158" i="33"/>
  <c r="T159" i="33"/>
  <c r="T160" i="33"/>
  <c r="T161" i="33"/>
  <c r="T162" i="33"/>
  <c r="T163" i="33"/>
  <c r="T164" i="33"/>
  <c r="T165" i="33"/>
  <c r="T166" i="33"/>
  <c r="T167" i="33"/>
  <c r="T168" i="33"/>
  <c r="T169" i="33"/>
  <c r="T170" i="33"/>
  <c r="T171" i="33"/>
  <c r="T172" i="33"/>
  <c r="T173" i="33"/>
  <c r="T174" i="33"/>
  <c r="T175" i="33"/>
  <c r="T176" i="33"/>
  <c r="T177" i="33"/>
  <c r="T178" i="33"/>
  <c r="T179" i="33"/>
  <c r="R181" i="33"/>
  <c r="S181" i="33"/>
  <c r="T181" i="33"/>
  <c r="R182" i="33"/>
  <c r="S182" i="33"/>
  <c r="T182" i="33"/>
  <c r="R183" i="33"/>
  <c r="S183" i="33"/>
  <c r="T183" i="33"/>
  <c r="R184" i="33"/>
  <c r="S184" i="33"/>
  <c r="T184" i="33"/>
  <c r="R185" i="33"/>
  <c r="S185" i="33"/>
  <c r="T185" i="33"/>
  <c r="R186" i="33"/>
  <c r="S186" i="33"/>
  <c r="T186" i="33"/>
  <c r="R187" i="33"/>
  <c r="S187" i="33"/>
  <c r="T187" i="33"/>
  <c r="R188" i="33"/>
  <c r="S188" i="33"/>
  <c r="T188" i="33"/>
  <c r="R189" i="33"/>
  <c r="S189" i="33"/>
  <c r="T189" i="33"/>
  <c r="R190" i="33"/>
  <c r="S190" i="33"/>
  <c r="T190" i="33"/>
  <c r="R191" i="33"/>
  <c r="S191" i="33"/>
  <c r="T191" i="33"/>
  <c r="R192" i="33"/>
  <c r="S192" i="33"/>
  <c r="T192" i="33"/>
  <c r="R193" i="33"/>
  <c r="S193" i="33"/>
  <c r="T193" i="33"/>
  <c r="R194" i="33"/>
  <c r="S194" i="33"/>
  <c r="T194" i="33"/>
  <c r="R195" i="33"/>
  <c r="S195" i="33"/>
  <c r="T195" i="33"/>
  <c r="R196" i="33"/>
  <c r="S196" i="33"/>
  <c r="T196" i="33"/>
  <c r="R197" i="33"/>
  <c r="S197" i="33"/>
  <c r="T197" i="33"/>
  <c r="R198" i="33"/>
  <c r="S198" i="33"/>
  <c r="T198" i="33"/>
  <c r="R199" i="33"/>
  <c r="S199" i="33"/>
  <c r="T199" i="33"/>
  <c r="R200" i="33"/>
  <c r="S200" i="33"/>
  <c r="T200" i="33"/>
  <c r="R201" i="33"/>
  <c r="S201" i="33"/>
  <c r="T201" i="33"/>
  <c r="R202" i="33"/>
  <c r="S202" i="33"/>
  <c r="T202" i="33"/>
  <c r="R203" i="33"/>
  <c r="S203" i="33"/>
  <c r="T203" i="33"/>
  <c r="R204" i="33"/>
  <c r="S204" i="33"/>
  <c r="T204" i="33"/>
  <c r="R205" i="33"/>
  <c r="S205" i="33"/>
  <c r="T205" i="33"/>
  <c r="R206" i="33"/>
  <c r="S206" i="33"/>
  <c r="T206" i="33"/>
  <c r="R207" i="33"/>
  <c r="S207" i="33"/>
  <c r="T207" i="33"/>
  <c r="R208" i="33"/>
  <c r="S208" i="33"/>
  <c r="T208" i="33"/>
  <c r="R209" i="33"/>
  <c r="S209" i="33"/>
  <c r="T209" i="33"/>
  <c r="R210" i="33"/>
  <c r="S210" i="33"/>
  <c r="T210" i="33"/>
  <c r="R211" i="33"/>
  <c r="S211" i="33"/>
  <c r="T211" i="33"/>
  <c r="R212" i="33"/>
  <c r="S212" i="33"/>
  <c r="T212" i="33"/>
  <c r="R213" i="33"/>
  <c r="S213" i="33"/>
  <c r="T213" i="33"/>
  <c r="R214" i="33"/>
  <c r="S214" i="33"/>
  <c r="T214" i="33"/>
  <c r="R215" i="33"/>
  <c r="S215" i="33"/>
  <c r="T215" i="33"/>
  <c r="R216" i="33"/>
  <c r="S216" i="33"/>
  <c r="T216" i="33"/>
  <c r="R217" i="33"/>
  <c r="S217" i="33"/>
  <c r="T217" i="33"/>
  <c r="R218" i="33"/>
  <c r="S218" i="33"/>
  <c r="T218" i="33"/>
  <c r="R219" i="33"/>
  <c r="S219" i="33"/>
  <c r="T219" i="33"/>
  <c r="R220" i="33"/>
  <c r="S220" i="33"/>
  <c r="T220" i="33"/>
  <c r="R221" i="33"/>
  <c r="S221" i="33"/>
  <c r="T221" i="33"/>
  <c r="R222" i="33"/>
  <c r="S222" i="33"/>
  <c r="T222" i="33"/>
  <c r="R223" i="33"/>
  <c r="S223" i="33"/>
  <c r="T223" i="33"/>
  <c r="R224" i="33"/>
  <c r="S224" i="33"/>
  <c r="T224" i="33"/>
  <c r="R225" i="33"/>
  <c r="S225" i="33"/>
  <c r="T225" i="33"/>
  <c r="R226" i="33"/>
  <c r="S226" i="33"/>
  <c r="T226" i="33"/>
  <c r="R227" i="33"/>
  <c r="S227" i="33"/>
  <c r="T227" i="33"/>
  <c r="R228" i="33"/>
  <c r="S228" i="33"/>
  <c r="T228" i="33"/>
  <c r="R229" i="33"/>
  <c r="S229" i="33"/>
  <c r="T229" i="33"/>
  <c r="R230" i="33"/>
  <c r="S230" i="33"/>
  <c r="T230" i="33"/>
  <c r="R231" i="33"/>
  <c r="S231" i="33"/>
  <c r="T231" i="33"/>
  <c r="R232" i="33"/>
  <c r="S232" i="33"/>
  <c r="T232" i="33"/>
  <c r="R233" i="33"/>
  <c r="S233" i="33"/>
  <c r="T233" i="33"/>
  <c r="R234" i="33"/>
  <c r="S234" i="33"/>
  <c r="T234" i="33"/>
  <c r="R235" i="33"/>
  <c r="S235" i="33"/>
  <c r="T235" i="33"/>
  <c r="R236" i="33"/>
  <c r="S236" i="33"/>
  <c r="T236" i="33"/>
  <c r="R237" i="33"/>
  <c r="S237" i="33"/>
  <c r="T237" i="33"/>
  <c r="R238" i="33"/>
  <c r="S238" i="33"/>
  <c r="T238" i="33"/>
  <c r="R239" i="33"/>
  <c r="S239" i="33"/>
  <c r="T239" i="33"/>
  <c r="R240" i="33"/>
  <c r="S240" i="33"/>
  <c r="T240" i="33"/>
  <c r="R241" i="33"/>
  <c r="S241" i="33"/>
  <c r="T241" i="33"/>
  <c r="R242" i="33"/>
  <c r="S242" i="33"/>
  <c r="T242" i="33"/>
  <c r="R243" i="33"/>
  <c r="S243" i="33"/>
  <c r="T243" i="33"/>
  <c r="R244" i="33"/>
  <c r="S244" i="33"/>
  <c r="T244" i="33"/>
  <c r="R245" i="33"/>
  <c r="S245" i="33"/>
  <c r="T245" i="33"/>
  <c r="R246" i="33"/>
  <c r="S246" i="33"/>
  <c r="T246" i="33"/>
  <c r="R247" i="33"/>
  <c r="S247" i="33"/>
  <c r="T247" i="33"/>
  <c r="R248" i="33"/>
  <c r="S248" i="33"/>
  <c r="T248" i="33"/>
  <c r="R249" i="33"/>
  <c r="S249" i="33"/>
  <c r="T249" i="33"/>
  <c r="R250" i="33"/>
  <c r="S250" i="33"/>
  <c r="T250" i="33"/>
  <c r="R251" i="33"/>
  <c r="S251" i="33"/>
  <c r="T251" i="33"/>
  <c r="R252" i="33"/>
  <c r="S252" i="33"/>
  <c r="T252" i="33"/>
  <c r="R253" i="33"/>
  <c r="S253" i="33"/>
  <c r="T253" i="33"/>
  <c r="R254" i="33"/>
  <c r="S254" i="33"/>
  <c r="T254" i="33"/>
  <c r="R255" i="33"/>
  <c r="S255" i="33"/>
  <c r="T255" i="33"/>
  <c r="R256" i="33"/>
  <c r="S256" i="33"/>
  <c r="T256" i="33"/>
  <c r="R257" i="33"/>
  <c r="S257" i="33"/>
  <c r="T257" i="33"/>
  <c r="R258" i="33"/>
  <c r="S258" i="33"/>
  <c r="T258" i="33"/>
  <c r="R259" i="33"/>
  <c r="S259" i="33"/>
  <c r="T259" i="33"/>
  <c r="R260" i="33"/>
  <c r="S260" i="33"/>
  <c r="T260" i="33"/>
  <c r="R261" i="33"/>
  <c r="S261" i="33"/>
  <c r="T261" i="33"/>
  <c r="R262" i="33"/>
  <c r="S262" i="33"/>
  <c r="T262" i="33"/>
  <c r="R263" i="33"/>
  <c r="S263" i="33"/>
  <c r="T263" i="33"/>
  <c r="R264" i="33"/>
  <c r="S264" i="33"/>
  <c r="T264" i="33"/>
  <c r="R265" i="33"/>
  <c r="S265" i="33"/>
  <c r="T265" i="33"/>
  <c r="R266" i="33"/>
  <c r="S266" i="33"/>
  <c r="T266" i="33"/>
  <c r="R267" i="33"/>
  <c r="S267" i="33"/>
  <c r="T267" i="33"/>
  <c r="R268" i="33"/>
  <c r="S268" i="33"/>
  <c r="T268" i="33"/>
  <c r="R269" i="33"/>
  <c r="S269" i="33"/>
  <c r="T269" i="33"/>
  <c r="R270" i="33"/>
  <c r="S270" i="33"/>
  <c r="T270" i="33"/>
  <c r="R271" i="33"/>
  <c r="S271" i="33"/>
  <c r="T271" i="33"/>
  <c r="R272" i="33"/>
  <c r="S272" i="33"/>
  <c r="T272" i="33"/>
  <c r="R273" i="33"/>
  <c r="S273" i="33"/>
  <c r="T273" i="33"/>
  <c r="R274" i="33"/>
  <c r="S274" i="33"/>
  <c r="T274" i="33"/>
  <c r="R275" i="33"/>
  <c r="S275" i="33"/>
  <c r="T275" i="33"/>
  <c r="R276" i="33"/>
  <c r="S276" i="33"/>
  <c r="T276" i="33"/>
  <c r="R277" i="33"/>
  <c r="S277" i="33"/>
  <c r="T277" i="33"/>
  <c r="R278" i="33"/>
  <c r="S278" i="33"/>
  <c r="T278" i="33"/>
  <c r="R279" i="33"/>
  <c r="S279" i="33"/>
  <c r="T279" i="33"/>
  <c r="R280" i="33"/>
  <c r="S280" i="33"/>
  <c r="T280" i="33"/>
  <c r="R281" i="33"/>
  <c r="S281" i="33"/>
  <c r="T281" i="33"/>
  <c r="R282" i="33"/>
  <c r="S282" i="33"/>
  <c r="T282" i="33"/>
  <c r="R283" i="33"/>
  <c r="S283" i="33"/>
  <c r="T283" i="33"/>
  <c r="R284" i="33"/>
  <c r="S284" i="33"/>
  <c r="T284" i="33"/>
  <c r="R285" i="33"/>
  <c r="S285" i="33"/>
  <c r="T285" i="33"/>
  <c r="R286" i="33"/>
  <c r="S286" i="33"/>
  <c r="T286" i="33"/>
  <c r="R287" i="33"/>
  <c r="S287" i="33"/>
  <c r="T287" i="33"/>
  <c r="R288" i="33"/>
  <c r="S288" i="33"/>
  <c r="T288" i="33"/>
  <c r="R289" i="33"/>
  <c r="S289" i="33"/>
  <c r="T289" i="33"/>
  <c r="R290" i="33"/>
  <c r="S290" i="33"/>
  <c r="T290" i="33"/>
  <c r="R291" i="33"/>
  <c r="S291" i="33"/>
  <c r="T291" i="33"/>
  <c r="R292" i="33"/>
  <c r="S292" i="33"/>
  <c r="T292" i="33"/>
  <c r="R293" i="33"/>
  <c r="S293" i="33"/>
  <c r="T293" i="33"/>
  <c r="R294" i="33"/>
  <c r="S294" i="33"/>
  <c r="T294" i="33"/>
  <c r="R295" i="33"/>
  <c r="S295" i="33"/>
  <c r="T295" i="33"/>
  <c r="R296" i="33"/>
  <c r="S296" i="33"/>
  <c r="T296" i="33"/>
  <c r="R297" i="33"/>
  <c r="S297" i="33"/>
  <c r="T297" i="33"/>
  <c r="R298" i="33"/>
  <c r="S298" i="33"/>
  <c r="T298" i="33"/>
  <c r="R299" i="33"/>
  <c r="S299" i="33"/>
  <c r="T299" i="33"/>
  <c r="R300" i="33"/>
  <c r="S300" i="33"/>
  <c r="T300" i="33"/>
  <c r="R301" i="33"/>
  <c r="S301" i="33"/>
  <c r="T301" i="33"/>
  <c r="R302" i="33"/>
  <c r="S302" i="33"/>
  <c r="T302" i="33"/>
  <c r="R303" i="33"/>
  <c r="S303" i="33"/>
  <c r="T303" i="33"/>
  <c r="R304" i="33"/>
  <c r="S304" i="33"/>
  <c r="T304" i="33"/>
  <c r="R305" i="33"/>
  <c r="S305" i="33"/>
  <c r="T305" i="33"/>
  <c r="R306" i="33"/>
  <c r="S306" i="33"/>
  <c r="T306" i="33"/>
  <c r="R307" i="33"/>
  <c r="S307" i="33"/>
  <c r="T307" i="33"/>
  <c r="R308" i="33"/>
  <c r="S308" i="33"/>
  <c r="T308" i="33"/>
  <c r="R309" i="33"/>
  <c r="S309" i="33"/>
  <c r="T309" i="33"/>
  <c r="R310" i="33"/>
  <c r="S310" i="33"/>
  <c r="T310" i="33"/>
  <c r="R311" i="33"/>
  <c r="S311" i="33"/>
  <c r="T311" i="33"/>
  <c r="R312" i="33"/>
  <c r="S312" i="33"/>
  <c r="T312" i="33"/>
  <c r="R313" i="33"/>
  <c r="S313" i="33"/>
  <c r="T313" i="33"/>
  <c r="R314" i="33"/>
  <c r="S314" i="33"/>
  <c r="T314" i="33"/>
  <c r="R315" i="33"/>
  <c r="S315" i="33"/>
  <c r="T315" i="33"/>
  <c r="R316" i="33"/>
  <c r="S316" i="33"/>
  <c r="T316" i="33"/>
  <c r="R317" i="33"/>
  <c r="S317" i="33"/>
  <c r="T317" i="33"/>
  <c r="R318" i="33"/>
  <c r="S318" i="33"/>
  <c r="T318" i="33"/>
  <c r="R319" i="33"/>
  <c r="S319" i="33"/>
  <c r="T319" i="33"/>
  <c r="R320" i="33"/>
  <c r="S320" i="33"/>
  <c r="T320" i="33"/>
  <c r="R321" i="33"/>
  <c r="S321" i="33"/>
  <c r="T321" i="33"/>
  <c r="R322" i="33"/>
  <c r="S322" i="33"/>
  <c r="T322" i="33"/>
  <c r="R323" i="33"/>
  <c r="S323" i="33"/>
  <c r="T323" i="33"/>
  <c r="R324" i="33"/>
  <c r="S324" i="33"/>
  <c r="T324" i="33"/>
  <c r="R325" i="33"/>
  <c r="S325" i="33"/>
  <c r="T325" i="33"/>
  <c r="R326" i="33"/>
  <c r="S326" i="33"/>
  <c r="T326" i="33"/>
  <c r="R327" i="33"/>
  <c r="S327" i="33"/>
  <c r="T327" i="33"/>
  <c r="R328" i="33"/>
  <c r="S328" i="33"/>
  <c r="T328" i="33"/>
  <c r="R329" i="33"/>
  <c r="S329" i="33"/>
  <c r="T329" i="33"/>
  <c r="R330" i="33"/>
  <c r="S330" i="33"/>
  <c r="T330" i="33"/>
  <c r="R331" i="33"/>
  <c r="S331" i="33"/>
  <c r="T331" i="33"/>
  <c r="R332" i="33"/>
  <c r="S332" i="33"/>
  <c r="T332" i="33"/>
  <c r="R333" i="33"/>
  <c r="S333" i="33"/>
  <c r="T333" i="33"/>
  <c r="R334" i="33"/>
  <c r="S334" i="33"/>
  <c r="T334" i="33"/>
  <c r="R335" i="33"/>
  <c r="S335" i="33"/>
  <c r="T335" i="33"/>
  <c r="R336" i="33"/>
  <c r="S336" i="33"/>
  <c r="T336" i="33"/>
  <c r="R337" i="33"/>
  <c r="S337" i="33"/>
  <c r="T337" i="33"/>
  <c r="R338" i="33"/>
  <c r="S338" i="33"/>
  <c r="T338" i="33"/>
  <c r="R339" i="33"/>
  <c r="S339" i="33"/>
  <c r="T339" i="33"/>
  <c r="R340" i="33"/>
  <c r="S340" i="33"/>
  <c r="T340" i="33"/>
  <c r="R341" i="33"/>
  <c r="S341" i="33"/>
  <c r="T341" i="33"/>
  <c r="R342" i="33"/>
  <c r="S342" i="33"/>
  <c r="T342" i="33"/>
  <c r="R343" i="33"/>
  <c r="S343" i="33"/>
  <c r="T343" i="33"/>
  <c r="R344" i="33"/>
  <c r="S344" i="33"/>
  <c r="T344" i="33"/>
  <c r="R345" i="33"/>
  <c r="S345" i="33"/>
  <c r="T345" i="33"/>
  <c r="R346" i="33"/>
  <c r="S346" i="33"/>
  <c r="T346" i="33"/>
  <c r="R347" i="33"/>
  <c r="S347" i="33"/>
  <c r="T347" i="33"/>
  <c r="R348" i="33"/>
  <c r="S348" i="33"/>
  <c r="T348" i="33"/>
  <c r="R349" i="33"/>
  <c r="S349" i="33"/>
  <c r="T349" i="33"/>
  <c r="R350" i="33"/>
  <c r="S350" i="33"/>
  <c r="T350" i="33"/>
  <c r="R351" i="33"/>
  <c r="S351" i="33"/>
  <c r="T351" i="33"/>
  <c r="R352" i="33"/>
  <c r="S352" i="33"/>
  <c r="T352" i="33"/>
  <c r="R353" i="33"/>
  <c r="S353" i="33"/>
  <c r="T353" i="33"/>
  <c r="R354" i="33"/>
  <c r="S354" i="33"/>
  <c r="T354" i="33"/>
  <c r="R355" i="33"/>
  <c r="S355" i="33"/>
  <c r="T355" i="33"/>
  <c r="R356" i="33"/>
  <c r="S356" i="33"/>
  <c r="T356" i="33"/>
  <c r="R357" i="33"/>
  <c r="S357" i="33"/>
  <c r="T357" i="33"/>
  <c r="R358" i="33"/>
  <c r="S358" i="33"/>
  <c r="T358" i="33"/>
  <c r="R359" i="33"/>
  <c r="S359" i="33"/>
  <c r="T359" i="33"/>
  <c r="R360" i="33"/>
  <c r="S360" i="33"/>
  <c r="T360" i="33"/>
  <c r="R361" i="33"/>
  <c r="S361" i="33"/>
  <c r="T361" i="33"/>
  <c r="R362" i="33"/>
  <c r="S362" i="33"/>
  <c r="T362" i="33"/>
  <c r="R363" i="33"/>
  <c r="S363" i="33"/>
  <c r="T363" i="33"/>
  <c r="R364" i="33"/>
  <c r="S364" i="33"/>
  <c r="T364" i="33"/>
  <c r="R365" i="33"/>
  <c r="S365" i="33"/>
  <c r="T365" i="33"/>
  <c r="R366" i="33"/>
  <c r="S366" i="33"/>
  <c r="T366" i="33"/>
  <c r="R367" i="33"/>
  <c r="S367" i="33"/>
  <c r="T367" i="33"/>
  <c r="R368" i="33"/>
  <c r="S368" i="33"/>
  <c r="T368" i="33"/>
  <c r="R369" i="33"/>
  <c r="S369" i="33"/>
  <c r="T369" i="33"/>
  <c r="R370" i="33"/>
  <c r="S370" i="33"/>
  <c r="T370" i="33"/>
  <c r="R371" i="33"/>
  <c r="S371" i="33"/>
  <c r="T371" i="33"/>
  <c r="R372" i="33"/>
  <c r="S372" i="33"/>
  <c r="T372" i="33"/>
  <c r="R373" i="33"/>
  <c r="S373" i="33"/>
  <c r="T373" i="33"/>
  <c r="R374" i="33"/>
  <c r="S374" i="33"/>
  <c r="T374" i="33"/>
  <c r="R375" i="33"/>
  <c r="S375" i="33"/>
  <c r="T375" i="33"/>
  <c r="R376" i="33"/>
  <c r="S376" i="33"/>
  <c r="T376" i="33"/>
  <c r="R377" i="33"/>
  <c r="S377" i="33"/>
  <c r="T377" i="33"/>
  <c r="R378" i="33"/>
  <c r="S378" i="33"/>
  <c r="T378" i="33"/>
  <c r="R379" i="33"/>
  <c r="S379" i="33"/>
  <c r="T379" i="33"/>
  <c r="R380" i="33"/>
  <c r="S380" i="33"/>
  <c r="T380" i="33"/>
  <c r="R381" i="33"/>
  <c r="S381" i="33"/>
  <c r="T381" i="33"/>
  <c r="R382" i="33"/>
  <c r="S382" i="33"/>
  <c r="T382" i="33"/>
  <c r="R383" i="33"/>
  <c r="S383" i="33"/>
  <c r="T383" i="33"/>
  <c r="R384" i="33"/>
  <c r="S384" i="33"/>
  <c r="T384" i="33"/>
  <c r="R385" i="33"/>
  <c r="S385" i="33"/>
  <c r="T385" i="33"/>
  <c r="R386" i="33"/>
  <c r="S386" i="33"/>
  <c r="T386" i="33"/>
  <c r="R387" i="33"/>
  <c r="S387" i="33"/>
  <c r="T387" i="33"/>
  <c r="R388" i="33"/>
  <c r="S388" i="33"/>
  <c r="T388" i="33"/>
  <c r="R389" i="33"/>
  <c r="S389" i="33"/>
  <c r="T389" i="33"/>
  <c r="R390" i="33"/>
  <c r="S390" i="33"/>
  <c r="T390" i="33"/>
  <c r="T3"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4"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3" i="33"/>
  <c r="O3" i="33" s="1"/>
  <c r="O220" i="33" l="1"/>
  <c r="O127" i="33"/>
  <c r="O162" i="33"/>
  <c r="O66" i="33"/>
  <c r="O247" i="33"/>
  <c r="O12" i="33"/>
  <c r="O198" i="33"/>
  <c r="O59" i="33"/>
  <c r="O11" i="33"/>
  <c r="O337" i="33"/>
  <c r="O325" i="33"/>
  <c r="O95" i="33"/>
  <c r="O39" i="33"/>
  <c r="O27" i="33"/>
  <c r="O254" i="33"/>
  <c r="O240" i="33"/>
  <c r="O376" i="33"/>
  <c r="O360" i="33"/>
  <c r="O340" i="33"/>
  <c r="O245" i="33"/>
  <c r="O229" i="33"/>
  <c r="O193" i="33"/>
  <c r="O149" i="33"/>
  <c r="O137" i="33"/>
  <c r="O204" i="33"/>
  <c r="O147" i="33"/>
  <c r="O63" i="33"/>
  <c r="O331" i="33"/>
  <c r="O214" i="33"/>
  <c r="O190" i="33"/>
  <c r="O157" i="33"/>
  <c r="O293" i="33"/>
  <c r="O236" i="33"/>
  <c r="O154" i="33"/>
  <c r="O375" i="33"/>
  <c r="O184" i="33"/>
  <c r="O91" i="33"/>
  <c r="O44" i="33"/>
  <c r="O252" i="33"/>
  <c r="O231" i="33"/>
  <c r="O182" i="33"/>
  <c r="O7" i="33"/>
  <c r="O386" i="33"/>
  <c r="O371" i="33"/>
  <c r="O347" i="33"/>
  <c r="O339" i="33"/>
  <c r="O308" i="33"/>
  <c r="O300" i="33"/>
  <c r="O268" i="33"/>
  <c r="O224" i="33"/>
  <c r="O191" i="33"/>
  <c r="O183" i="33"/>
  <c r="O107" i="33"/>
  <c r="O283" i="33"/>
  <c r="O267" i="33"/>
  <c r="O238" i="33"/>
  <c r="O171" i="33"/>
  <c r="O160" i="33"/>
  <c r="O144" i="33"/>
  <c r="O128" i="33"/>
  <c r="O120" i="33"/>
  <c r="O43" i="33"/>
  <c r="O34" i="33"/>
  <c r="O359" i="33"/>
  <c r="O280" i="33"/>
  <c r="O256" i="33"/>
  <c r="O242" i="33"/>
  <c r="O227" i="33"/>
  <c r="O211" i="33"/>
  <c r="O195" i="33"/>
  <c r="O167" i="33"/>
  <c r="O159" i="33"/>
  <c r="O151" i="33"/>
  <c r="O103" i="33"/>
  <c r="O88" i="33"/>
  <c r="O350" i="33"/>
  <c r="O311" i="33"/>
  <c r="O303" i="33"/>
  <c r="O295" i="33"/>
  <c r="O287" i="33"/>
  <c r="O234" i="33"/>
  <c r="O226" i="33"/>
  <c r="O186" i="33"/>
  <c r="O174" i="33"/>
  <c r="O143" i="33"/>
  <c r="O89" i="33"/>
  <c r="O369" i="33"/>
  <c r="O354" i="33"/>
  <c r="O315" i="33"/>
  <c r="O299" i="33"/>
  <c r="O218" i="33"/>
  <c r="O210" i="33"/>
  <c r="O202" i="33"/>
  <c r="O172" i="33"/>
  <c r="O141" i="33"/>
  <c r="O133" i="33"/>
  <c r="O117" i="33"/>
  <c r="O102" i="33"/>
  <c r="O71" i="33"/>
  <c r="O344" i="33"/>
  <c r="O321" i="33"/>
  <c r="O305" i="33"/>
  <c r="O258" i="33"/>
  <c r="O251" i="33"/>
  <c r="O244" i="33"/>
  <c r="O216" i="33"/>
  <c r="O200" i="33"/>
  <c r="O75" i="33"/>
  <c r="O363" i="33"/>
  <c r="O179" i="33"/>
  <c r="O163" i="33"/>
  <c r="O140" i="33"/>
  <c r="O70" i="33"/>
  <c r="O56" i="33"/>
  <c r="O389" i="33"/>
  <c r="O366" i="33"/>
  <c r="O343" i="33"/>
  <c r="O335" i="33"/>
  <c r="O328" i="33"/>
  <c r="O296" i="33"/>
  <c r="O257" i="33"/>
  <c r="O223" i="33"/>
  <c r="O207" i="33"/>
  <c r="O177" i="33"/>
  <c r="O138" i="33"/>
  <c r="O130" i="33"/>
  <c r="O114" i="33"/>
  <c r="O99" i="33"/>
  <c r="O92" i="33"/>
  <c r="O76" i="33"/>
  <c r="O31" i="33"/>
  <c r="O15" i="33"/>
  <c r="O8" i="33"/>
  <c r="O379" i="33"/>
  <c r="O372" i="33"/>
  <c r="O357" i="33"/>
  <c r="O327" i="33"/>
  <c r="O263" i="33"/>
  <c r="O222" i="33"/>
  <c r="O213" i="33"/>
  <c r="O206" i="33"/>
  <c r="O197" i="33"/>
  <c r="O123" i="33"/>
  <c r="O215" i="33"/>
  <c r="O208" i="33"/>
  <c r="O178" i="33"/>
  <c r="O156" i="33"/>
  <c r="O134" i="33"/>
  <c r="O111" i="33"/>
  <c r="O104" i="33"/>
  <c r="O82" i="33"/>
  <c r="O67" i="33"/>
  <c r="O60" i="33"/>
  <c r="O38" i="33"/>
  <c r="O24" i="33"/>
  <c r="O388" i="33"/>
  <c r="O284" i="33"/>
  <c r="O277" i="33"/>
  <c r="O262" i="33"/>
  <c r="O255" i="33"/>
  <c r="O248" i="33"/>
  <c r="O241" i="33"/>
  <c r="O194" i="33"/>
  <c r="O188" i="33"/>
  <c r="O181" i="33"/>
  <c r="O312" i="33"/>
  <c r="O199" i="33"/>
  <c r="O192" i="33"/>
  <c r="O175" i="33"/>
  <c r="O168" i="33"/>
  <c r="O146" i="33"/>
  <c r="O131" i="33"/>
  <c r="O124" i="33"/>
  <c r="O108" i="33"/>
  <c r="O101" i="33"/>
  <c r="O79" i="33"/>
  <c r="O72" i="33"/>
  <c r="O50" i="33"/>
  <c r="O35" i="33"/>
  <c r="O28" i="33"/>
  <c r="O6" i="33"/>
  <c r="O385" i="33"/>
  <c r="O356" i="33"/>
  <c r="O259" i="33"/>
  <c r="O246" i="33"/>
  <c r="O239" i="33"/>
  <c r="O232" i="33"/>
  <c r="O225" i="33"/>
  <c r="O219" i="33"/>
  <c r="O212" i="33"/>
  <c r="O165" i="33"/>
  <c r="O150" i="33"/>
  <c r="O121" i="33"/>
  <c r="O98" i="33"/>
  <c r="O47" i="33"/>
  <c r="O40" i="33"/>
  <c r="O18" i="33"/>
  <c r="O382" i="33"/>
  <c r="O367" i="33"/>
  <c r="O353" i="33"/>
  <c r="O338" i="33"/>
  <c r="O324" i="33"/>
  <c r="O279" i="33"/>
  <c r="O271" i="33"/>
  <c r="O264" i="33"/>
  <c r="O250" i="33"/>
  <c r="O243" i="33"/>
  <c r="O209" i="33"/>
  <c r="O307" i="33"/>
  <c r="O235" i="33"/>
  <c r="O228" i="33"/>
  <c r="O176" i="33"/>
  <c r="O173" i="33"/>
  <c r="O170" i="33"/>
  <c r="O166" i="33"/>
  <c r="O153" i="33"/>
  <c r="O139" i="33"/>
  <c r="O136" i="33"/>
  <c r="O119" i="33"/>
  <c r="O115" i="33"/>
  <c r="O105" i="33"/>
  <c r="O87" i="33"/>
  <c r="O83" i="33"/>
  <c r="O55" i="33"/>
  <c r="O51" i="33"/>
  <c r="O23" i="33"/>
  <c r="O19" i="33"/>
  <c r="O370" i="33"/>
  <c r="O291" i="33"/>
  <c r="O187" i="33"/>
  <c r="O180" i="33"/>
  <c r="O169" i="33"/>
  <c r="O155" i="33"/>
  <c r="O152" i="33"/>
  <c r="O135" i="33"/>
  <c r="O125" i="33"/>
  <c r="O122" i="33"/>
  <c r="O118" i="33"/>
  <c r="O86" i="33"/>
  <c r="O54" i="33"/>
  <c r="O22" i="33"/>
  <c r="O387" i="33"/>
  <c r="O383" i="33"/>
  <c r="O373" i="33"/>
  <c r="O355" i="33"/>
  <c r="O351" i="33"/>
  <c r="O341" i="33"/>
  <c r="O323" i="33"/>
  <c r="O319" i="33"/>
  <c r="O309" i="33"/>
  <c r="O275" i="33"/>
  <c r="O230" i="33"/>
  <c r="O203" i="33"/>
  <c r="O196" i="33"/>
  <c r="O292" i="33"/>
  <c r="O289" i="33"/>
  <c r="O276" i="33"/>
  <c r="O273" i="33"/>
  <c r="O261" i="33"/>
  <c r="O249" i="33"/>
  <c r="O233" i="33"/>
  <c r="O217" i="33"/>
  <c r="O201" i="33"/>
  <c r="O185" i="33"/>
  <c r="O164" i="33"/>
  <c r="O161" i="33"/>
  <c r="O158" i="33"/>
  <c r="O148" i="33"/>
  <c r="O145" i="33"/>
  <c r="O142" i="33"/>
  <c r="O132" i="33"/>
  <c r="O129" i="33"/>
  <c r="O126" i="33"/>
  <c r="O116" i="33"/>
  <c r="O113" i="33"/>
  <c r="O110" i="33"/>
  <c r="O100" i="33"/>
  <c r="O97" i="33"/>
  <c r="O94" i="33"/>
  <c r="O84" i="33"/>
  <c r="O78" i="33"/>
  <c r="O68" i="33"/>
  <c r="O62" i="33"/>
  <c r="O52" i="33"/>
  <c r="O46" i="33"/>
  <c r="O36" i="33"/>
  <c r="O30" i="33"/>
  <c r="O20" i="33"/>
  <c r="O14" i="33"/>
  <c r="O4" i="33"/>
  <c r="O384" i="33"/>
  <c r="O381" i="33"/>
  <c r="O378" i="33"/>
  <c r="O368" i="33"/>
  <c r="O365" i="33"/>
  <c r="O362" i="33"/>
  <c r="O352" i="33"/>
  <c r="O349" i="33"/>
  <c r="O346" i="33"/>
  <c r="O336" i="33"/>
  <c r="O333" i="33"/>
  <c r="O320" i="33"/>
  <c r="O317" i="33"/>
  <c r="O304" i="33"/>
  <c r="O301" i="33"/>
  <c r="O288" i="33"/>
  <c r="O285" i="33"/>
  <c r="O272" i="33"/>
  <c r="O269" i="33"/>
  <c r="O260" i="33"/>
  <c r="O253" i="33"/>
  <c r="O237" i="33"/>
  <c r="O221" i="33"/>
  <c r="O205" i="33"/>
  <c r="O189" i="33"/>
  <c r="O112" i="33"/>
  <c r="O109" i="33"/>
  <c r="O106" i="33"/>
  <c r="O96" i="33"/>
  <c r="O93" i="33"/>
  <c r="O90" i="33"/>
  <c r="O80" i="33"/>
  <c r="O74" i="33"/>
  <c r="O64" i="33"/>
  <c r="O58" i="33"/>
  <c r="O48" i="33"/>
  <c r="O42" i="33"/>
  <c r="O32" i="33"/>
  <c r="O26" i="33"/>
  <c r="O16" i="33"/>
  <c r="O10" i="33"/>
  <c r="O390" i="33"/>
  <c r="O380" i="33"/>
  <c r="O377" i="33"/>
  <c r="O374" i="33"/>
  <c r="O364" i="33"/>
  <c r="O361" i="33"/>
  <c r="O358" i="33"/>
  <c r="O348" i="33"/>
  <c r="O345" i="33"/>
  <c r="O342" i="33"/>
  <c r="O332" i="33"/>
  <c r="O329" i="33"/>
  <c r="O316" i="33"/>
  <c r="O313" i="33"/>
  <c r="O297" i="33"/>
  <c r="O281" i="33"/>
  <c r="O265" i="33"/>
  <c r="O334" i="33"/>
  <c r="O330" i="33"/>
  <c r="O326" i="33"/>
  <c r="O322" i="33"/>
  <c r="O318" i="33"/>
  <c r="O314" i="33"/>
  <c r="O310" i="33"/>
  <c r="O306" i="33"/>
  <c r="O302" i="33"/>
  <c r="O298" i="33"/>
  <c r="O294" i="33"/>
  <c r="O290" i="33"/>
  <c r="O286" i="33"/>
  <c r="O282" i="33"/>
  <c r="O278" i="33"/>
  <c r="O274" i="33"/>
  <c r="O270" i="33"/>
  <c r="O266" i="33"/>
  <c r="O85" i="33"/>
  <c r="O81" i="33"/>
  <c r="O77" i="33"/>
  <c r="O73" i="33"/>
  <c r="O69" i="33"/>
  <c r="O65" i="33"/>
  <c r="O61" i="33"/>
  <c r="O57" i="33"/>
  <c r="O53" i="33"/>
  <c r="O49" i="33"/>
  <c r="O45" i="33"/>
  <c r="O41" i="33"/>
  <c r="O37" i="33"/>
  <c r="O33" i="33"/>
  <c r="O29" i="33"/>
  <c r="O25" i="33"/>
  <c r="O21" i="33"/>
  <c r="O17" i="33"/>
  <c r="O13" i="33"/>
  <c r="O9" i="33"/>
  <c r="O5"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395" i="33"/>
  <c r="E396" i="33"/>
  <c r="E397" i="33"/>
  <c r="E398" i="33"/>
  <c r="E399" i="33"/>
  <c r="E400" i="33"/>
  <c r="E401" i="33"/>
  <c r="E402" i="33"/>
  <c r="E403" i="33"/>
  <c r="E404" i="33"/>
  <c r="E405" i="33"/>
  <c r="E406" i="33"/>
  <c r="E407" i="33"/>
  <c r="E408" i="33"/>
  <c r="E409" i="33"/>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E470" i="33"/>
  <c r="E471" i="33"/>
  <c r="E472" i="33"/>
  <c r="E473" i="33"/>
  <c r="E474" i="33"/>
  <c r="E475" i="33"/>
  <c r="E476" i="33"/>
  <c r="E477" i="33"/>
  <c r="E478" i="33"/>
  <c r="E479" i="33"/>
  <c r="E480" i="33"/>
  <c r="E481" i="33"/>
  <c r="E482" i="33"/>
  <c r="E483" i="33"/>
  <c r="E484" i="33"/>
  <c r="E485" i="33"/>
  <c r="E486" i="33"/>
  <c r="E487" i="33"/>
  <c r="E488" i="33"/>
  <c r="E489" i="33"/>
  <c r="E490" i="33"/>
  <c r="E491" i="33"/>
  <c r="E492" i="33"/>
  <c r="E493" i="33"/>
  <c r="E494" i="33"/>
  <c r="E495" i="33"/>
  <c r="E496" i="33"/>
  <c r="E497" i="33"/>
  <c r="E498" i="33"/>
  <c r="E499" i="33"/>
  <c r="E500" i="33"/>
  <c r="E501" i="33"/>
  <c r="E502" i="33"/>
  <c r="E503" i="33"/>
  <c r="E504" i="33"/>
  <c r="E505" i="33"/>
  <c r="E506" i="33"/>
  <c r="E507" i="33"/>
  <c r="E508" i="33"/>
  <c r="E509" i="33"/>
  <c r="E510" i="33"/>
  <c r="E511" i="33"/>
  <c r="E512" i="33"/>
  <c r="E513" i="33"/>
  <c r="E514" i="33"/>
  <c r="E515" i="33"/>
  <c r="E516" i="33"/>
  <c r="E517" i="33"/>
  <c r="E518" i="33"/>
  <c r="E519" i="33"/>
  <c r="E520" i="33"/>
  <c r="E521" i="33"/>
  <c r="E522" i="33"/>
  <c r="E523" i="33"/>
  <c r="E524" i="33"/>
  <c r="E525" i="33"/>
  <c r="E526" i="33"/>
  <c r="E527" i="33"/>
  <c r="E528" i="33"/>
  <c r="E529" i="33"/>
  <c r="E530" i="33"/>
  <c r="E531" i="33"/>
  <c r="E532" i="33"/>
  <c r="E533" i="33"/>
  <c r="E534" i="33"/>
  <c r="E535" i="33"/>
  <c r="E536" i="33"/>
  <c r="E537" i="33"/>
  <c r="E538" i="33"/>
  <c r="E539" i="33"/>
  <c r="E540" i="33"/>
  <c r="E545" i="33"/>
  <c r="E546" i="33"/>
  <c r="E547" i="33"/>
  <c r="E548" i="33"/>
  <c r="E549" i="33"/>
  <c r="E550" i="33"/>
  <c r="E551" i="33"/>
  <c r="E552" i="33"/>
  <c r="E553" i="33"/>
  <c r="E554" i="33"/>
  <c r="E555" i="33"/>
  <c r="E556" i="33"/>
  <c r="E557" i="33"/>
  <c r="E558" i="33"/>
  <c r="E559" i="33"/>
  <c r="E560" i="33"/>
  <c r="E561" i="33"/>
  <c r="E562" i="33"/>
  <c r="E563" i="33"/>
  <c r="E564" i="33"/>
  <c r="E565" i="33"/>
  <c r="E566" i="33"/>
  <c r="E567" i="33"/>
  <c r="E568" i="33"/>
  <c r="E569" i="33"/>
  <c r="E570" i="33"/>
  <c r="E571" i="33"/>
  <c r="E572" i="33"/>
  <c r="E573" i="33"/>
  <c r="E574" i="33"/>
  <c r="E575" i="33"/>
  <c r="E576" i="33"/>
  <c r="E577" i="33"/>
  <c r="E578" i="33"/>
  <c r="E579" i="33"/>
  <c r="E580" i="33"/>
  <c r="E581" i="33"/>
  <c r="E582" i="33"/>
  <c r="E583" i="33"/>
  <c r="E584" i="33"/>
  <c r="E585" i="33"/>
  <c r="E586" i="33"/>
  <c r="E587" i="33"/>
  <c r="E588" i="33"/>
  <c r="E589" i="33"/>
  <c r="E590" i="33"/>
  <c r="E591" i="33"/>
  <c r="E592" i="33"/>
  <c r="E593" i="33"/>
  <c r="E594" i="33"/>
  <c r="E595" i="33"/>
  <c r="E596" i="33"/>
  <c r="E597" i="33"/>
  <c r="E598" i="33"/>
  <c r="E599" i="33"/>
  <c r="E600" i="33"/>
  <c r="E601" i="33"/>
  <c r="E602" i="33"/>
  <c r="E603" i="33"/>
  <c r="E604" i="33"/>
  <c r="E605" i="33"/>
  <c r="E606" i="33"/>
  <c r="E607" i="33"/>
  <c r="E608" i="33"/>
  <c r="E609" i="33"/>
  <c r="E610" i="33"/>
  <c r="E611" i="33"/>
  <c r="E612" i="33"/>
  <c r="E613" i="33"/>
  <c r="E614" i="33"/>
  <c r="E615" i="33"/>
  <c r="E616" i="33"/>
  <c r="E617" i="33"/>
  <c r="E618" i="33"/>
  <c r="E619" i="33"/>
  <c r="E620" i="33"/>
  <c r="E621" i="33"/>
  <c r="E622" i="33"/>
  <c r="E623" i="33"/>
  <c r="E624" i="33"/>
  <c r="E625" i="33"/>
  <c r="E626" i="33"/>
  <c r="E627" i="33"/>
  <c r="E628" i="33"/>
  <c r="E629" i="33"/>
  <c r="E630" i="33"/>
  <c r="E631" i="33"/>
  <c r="E632" i="33"/>
  <c r="E633" i="33"/>
  <c r="E634" i="33"/>
  <c r="E635" i="33"/>
  <c r="E636" i="33"/>
  <c r="E637" i="33"/>
  <c r="E638" i="33"/>
  <c r="E639" i="33"/>
  <c r="E640" i="33"/>
  <c r="E641" i="33"/>
  <c r="E642" i="33"/>
  <c r="E643" i="33"/>
  <c r="E644" i="33"/>
  <c r="E645" i="33"/>
  <c r="E646" i="33"/>
  <c r="E647" i="33"/>
  <c r="E648" i="33"/>
  <c r="E649" i="33"/>
  <c r="E650" i="33"/>
  <c r="E651" i="33"/>
  <c r="E652" i="33"/>
  <c r="E653" i="33"/>
  <c r="E654" i="33"/>
  <c r="E655" i="33"/>
  <c r="E656" i="33"/>
  <c r="E657" i="33"/>
  <c r="E658" i="33"/>
  <c r="E659" i="33"/>
  <c r="E660" i="33"/>
  <c r="E661" i="33"/>
  <c r="E662" i="33"/>
  <c r="E663" i="33"/>
  <c r="E664" i="33"/>
  <c r="E665" i="33"/>
  <c r="E666" i="33"/>
  <c r="E667" i="33"/>
  <c r="E668" i="33"/>
  <c r="E669" i="33"/>
  <c r="E670" i="33"/>
  <c r="E671" i="33"/>
  <c r="E672" i="33"/>
  <c r="E673" i="33"/>
  <c r="E674" i="33"/>
  <c r="E675" i="33"/>
  <c r="E676" i="33"/>
  <c r="E677" i="33"/>
  <c r="E678" i="33"/>
  <c r="E679" i="33"/>
  <c r="E680" i="33"/>
  <c r="E681" i="33"/>
  <c r="E682" i="33"/>
  <c r="E683" i="33"/>
  <c r="E684" i="33"/>
  <c r="E685" i="33"/>
  <c r="E686" i="33"/>
  <c r="E687" i="33"/>
  <c r="E688" i="33"/>
  <c r="E689" i="33"/>
  <c r="E690" i="33"/>
  <c r="E691" i="33"/>
  <c r="E692" i="33"/>
  <c r="E693" i="33"/>
  <c r="E694" i="33"/>
  <c r="E695" i="33"/>
  <c r="E696" i="33"/>
  <c r="E697" i="33"/>
  <c r="E698" i="33"/>
  <c r="E699" i="33"/>
  <c r="E700" i="33"/>
  <c r="E701" i="33"/>
  <c r="E702" i="33"/>
  <c r="E703" i="33"/>
  <c r="E704" i="33"/>
  <c r="E705" i="33"/>
  <c r="E706" i="33"/>
  <c r="E707" i="33"/>
  <c r="E708" i="33"/>
  <c r="E709" i="33"/>
  <c r="E710" i="33"/>
  <c r="E711" i="33"/>
  <c r="E712" i="33"/>
  <c r="E713" i="33"/>
  <c r="E714" i="33"/>
  <c r="E715" i="33"/>
  <c r="E716" i="33"/>
  <c r="E717" i="33"/>
  <c r="E718" i="33"/>
  <c r="E719" i="33"/>
  <c r="E720" i="33"/>
  <c r="E721" i="33"/>
  <c r="E722" i="33"/>
  <c r="E723" i="33"/>
  <c r="E724" i="33"/>
  <c r="E725" i="33"/>
  <c r="E726" i="33"/>
  <c r="E727" i="33"/>
  <c r="E728" i="33"/>
  <c r="E729" i="33"/>
  <c r="E730" i="33"/>
  <c r="E731" i="33"/>
  <c r="E732" i="33"/>
  <c r="E733" i="33"/>
  <c r="E734" i="33"/>
  <c r="E735" i="33"/>
  <c r="E736" i="33"/>
  <c r="E737" i="33"/>
  <c r="E738" i="33"/>
  <c r="E739" i="33"/>
  <c r="E740" i="33"/>
  <c r="E741" i="33"/>
  <c r="E742" i="33"/>
  <c r="E743" i="33"/>
  <c r="E744" i="33"/>
  <c r="E745" i="33"/>
  <c r="E746" i="33"/>
  <c r="E747" i="33"/>
  <c r="E748" i="33"/>
  <c r="E749" i="33"/>
  <c r="E750" i="33"/>
  <c r="E751" i="33"/>
  <c r="E752" i="33"/>
  <c r="E753" i="33"/>
  <c r="E754" i="33"/>
  <c r="E755" i="33"/>
  <c r="E756" i="33"/>
  <c r="E757" i="33"/>
  <c r="E758" i="33"/>
  <c r="E759" i="33"/>
  <c r="E760" i="33"/>
  <c r="E761" i="33"/>
  <c r="E762" i="33"/>
  <c r="E763" i="33"/>
  <c r="E764" i="33"/>
  <c r="E765" i="33"/>
  <c r="E766" i="33"/>
  <c r="E767" i="33"/>
  <c r="E768" i="33"/>
  <c r="E769" i="33"/>
  <c r="E770" i="33"/>
  <c r="E771" i="33"/>
  <c r="E772" i="33"/>
  <c r="E773" i="33"/>
  <c r="E774" i="33"/>
  <c r="E775" i="33"/>
  <c r="E776" i="33"/>
  <c r="E777" i="33"/>
  <c r="E778" i="33"/>
  <c r="E779" i="33"/>
  <c r="E780" i="33"/>
  <c r="E781" i="33"/>
  <c r="E782" i="33"/>
  <c r="E783" i="33"/>
  <c r="E784" i="33"/>
  <c r="E785" i="33"/>
  <c r="E786" i="33"/>
  <c r="E787" i="33"/>
  <c r="E788" i="33"/>
  <c r="E789" i="33"/>
  <c r="E790" i="33"/>
  <c r="E791" i="33"/>
  <c r="E792" i="33"/>
  <c r="E793" i="33"/>
  <c r="E794" i="33"/>
  <c r="E795" i="33"/>
  <c r="E796" i="33"/>
  <c r="E797" i="33"/>
  <c r="E798" i="33"/>
  <c r="E799" i="33"/>
  <c r="E541" i="33"/>
  <c r="E542" i="33"/>
  <c r="E543" i="33"/>
  <c r="E544" i="33"/>
  <c r="E800" i="33"/>
  <c r="E801" i="33"/>
  <c r="E802" i="33"/>
  <c r="E803" i="33"/>
  <c r="E804" i="33"/>
  <c r="E805" i="33"/>
  <c r="E806" i="33"/>
  <c r="E964" i="33"/>
  <c r="E965" i="33"/>
  <c r="E966" i="33"/>
  <c r="E967" i="33"/>
  <c r="E968" i="33"/>
  <c r="E969" i="33"/>
  <c r="E970" i="33"/>
  <c r="E971" i="33"/>
  <c r="E972" i="33"/>
  <c r="E974" i="33"/>
  <c r="E975" i="33"/>
  <c r="E976" i="33"/>
  <c r="E977" i="33"/>
  <c r="E978" i="33"/>
  <c r="E979" i="33"/>
  <c r="E980" i="33"/>
  <c r="E981" i="33"/>
  <c r="E982" i="33"/>
  <c r="E983" i="33"/>
  <c r="E984" i="33"/>
  <c r="E985" i="33"/>
  <c r="E986" i="33"/>
  <c r="E987" i="33"/>
  <c r="E988" i="33"/>
  <c r="E989" i="33"/>
  <c r="E990" i="33"/>
  <c r="E991" i="33"/>
  <c r="E992" i="33"/>
  <c r="E993" i="33"/>
  <c r="E994" i="33"/>
  <c r="E995" i="33"/>
  <c r="E996" i="33"/>
  <c r="E997" i="33"/>
  <c r="E998" i="33"/>
  <c r="E999" i="33"/>
  <c r="E1000" i="33"/>
  <c r="E1001" i="33"/>
  <c r="E1002" i="33"/>
  <c r="E1003" i="33"/>
  <c r="E1004" i="33"/>
  <c r="E1005" i="33"/>
  <c r="E1006" i="33"/>
  <c r="E1007" i="33"/>
  <c r="E1008" i="33"/>
  <c r="E1009" i="33"/>
  <c r="E1010" i="33"/>
  <c r="E1011" i="33"/>
  <c r="E1012" i="33"/>
  <c r="E1013" i="33"/>
  <c r="E1014" i="33"/>
  <c r="E1015" i="33"/>
  <c r="E1016" i="33"/>
  <c r="E1017" i="33"/>
  <c r="E1018" i="33"/>
  <c r="E1019" i="33"/>
  <c r="E1020" i="33"/>
  <c r="E1021" i="33"/>
  <c r="E1022" i="33"/>
  <c r="E1023" i="33"/>
  <c r="E1024" i="33"/>
  <c r="E1025" i="33"/>
  <c r="E1026" i="33"/>
  <c r="E1027" i="33"/>
  <c r="E1028" i="33"/>
  <c r="E1029" i="33"/>
  <c r="E1030" i="33"/>
  <c r="E1031" i="33"/>
  <c r="E1032" i="33"/>
  <c r="E1033" i="33"/>
  <c r="E808" i="33"/>
  <c r="E809" i="33"/>
  <c r="E810" i="33"/>
  <c r="E811" i="33"/>
  <c r="E812" i="33"/>
  <c r="E813" i="33"/>
  <c r="E814" i="33"/>
  <c r="E815" i="33"/>
  <c r="E816" i="33"/>
  <c r="E817" i="33"/>
  <c r="E818" i="33"/>
  <c r="E819" i="33"/>
  <c r="E820" i="33"/>
  <c r="E821" i="33"/>
  <c r="E822" i="33"/>
  <c r="E823" i="33"/>
  <c r="E824" i="33"/>
  <c r="E826" i="33"/>
  <c r="E827" i="33"/>
  <c r="E828" i="33"/>
  <c r="E829" i="33"/>
  <c r="E830" i="33"/>
  <c r="E831" i="33"/>
  <c r="E832" i="33"/>
  <c r="E833" i="33"/>
  <c r="E834" i="33"/>
  <c r="E835" i="33"/>
  <c r="E836" i="33"/>
  <c r="E837" i="33"/>
  <c r="E838" i="33"/>
  <c r="E839" i="33"/>
  <c r="E840" i="33"/>
  <c r="E841" i="33"/>
  <c r="E842" i="33"/>
  <c r="E843" i="33"/>
  <c r="E844" i="33"/>
  <c r="E846" i="33"/>
  <c r="E847" i="33"/>
  <c r="E848" i="33"/>
  <c r="E849" i="33"/>
  <c r="E850" i="33"/>
  <c r="E851" i="33"/>
  <c r="E852" i="33"/>
  <c r="E853" i="33"/>
  <c r="E854" i="33"/>
  <c r="E855" i="33"/>
  <c r="E856" i="33"/>
  <c r="E857" i="33"/>
  <c r="E858" i="33"/>
  <c r="E859" i="33"/>
  <c r="E860" i="33"/>
  <c r="E861" i="33"/>
  <c r="E862" i="33"/>
  <c r="E863" i="33"/>
  <c r="E864" i="33"/>
  <c r="E865" i="33"/>
  <c r="E866" i="33"/>
  <c r="E867" i="33"/>
  <c r="E868" i="33"/>
  <c r="E869" i="33"/>
  <c r="E870" i="33"/>
  <c r="E871" i="33"/>
  <c r="E872" i="33"/>
  <c r="E873" i="33"/>
  <c r="E874" i="33"/>
  <c r="E875" i="33"/>
  <c r="E876" i="33"/>
  <c r="E877" i="33"/>
  <c r="E878" i="33"/>
  <c r="E879" i="33"/>
  <c r="E880" i="33"/>
  <c r="E881" i="33"/>
  <c r="E882" i="33"/>
  <c r="E883" i="33"/>
  <c r="E884" i="33"/>
  <c r="E886" i="33"/>
  <c r="E887" i="33"/>
  <c r="E888" i="33"/>
  <c r="E889" i="33"/>
  <c r="E890" i="33"/>
  <c r="E891" i="33"/>
  <c r="E892" i="33"/>
  <c r="E893" i="33"/>
  <c r="E894" i="33"/>
  <c r="E895" i="33"/>
  <c r="E896" i="33"/>
  <c r="E897" i="33"/>
  <c r="E898" i="33"/>
  <c r="E899" i="33"/>
  <c r="E900" i="33"/>
  <c r="E901" i="33"/>
  <c r="E902" i="33"/>
  <c r="E903" i="33"/>
  <c r="E904" i="33"/>
  <c r="E905" i="33"/>
  <c r="E906" i="33"/>
  <c r="E907" i="33"/>
  <c r="E908" i="33"/>
  <c r="E909" i="33"/>
  <c r="E910" i="33"/>
  <c r="E911" i="33"/>
  <c r="E912" i="33"/>
  <c r="E913" i="33"/>
  <c r="E914" i="33"/>
  <c r="E915" i="33"/>
  <c r="E916" i="33"/>
  <c r="E917" i="33"/>
  <c r="E918" i="33"/>
  <c r="E919" i="33"/>
  <c r="E920" i="33"/>
  <c r="E921" i="33"/>
  <c r="E922" i="33"/>
  <c r="E923" i="33"/>
  <c r="E924" i="33"/>
  <c r="E925" i="33"/>
  <c r="E926" i="33"/>
  <c r="E927" i="33"/>
  <c r="E928" i="33"/>
  <c r="E929" i="33"/>
  <c r="E930" i="33"/>
  <c r="E931" i="33"/>
  <c r="E932" i="33"/>
  <c r="E933" i="33"/>
  <c r="E934" i="33"/>
  <c r="E935" i="33"/>
  <c r="E936" i="33"/>
  <c r="E937" i="33"/>
  <c r="E938" i="33"/>
  <c r="E939" i="33"/>
  <c r="E940" i="33"/>
  <c r="E941" i="33"/>
  <c r="E942" i="33"/>
  <c r="E943" i="33"/>
  <c r="E944" i="33"/>
  <c r="E945" i="33"/>
  <c r="E946" i="33"/>
  <c r="E947" i="33"/>
  <c r="E948" i="33"/>
  <c r="E950" i="33"/>
  <c r="E952" i="33"/>
  <c r="E953" i="33"/>
  <c r="E954" i="33"/>
  <c r="E955" i="33"/>
  <c r="E956" i="33"/>
  <c r="E957" i="33"/>
  <c r="E958" i="33"/>
  <c r="E959" i="33"/>
  <c r="E960" i="33"/>
  <c r="E961" i="33"/>
  <c r="E962" i="33"/>
  <c r="E963" i="33"/>
  <c r="E3" i="33"/>
  <c r="F3" i="33" s="1"/>
  <c r="F465" i="33" l="1"/>
  <c r="F441" i="33"/>
  <c r="F433" i="33"/>
  <c r="F233" i="33"/>
  <c r="F201" i="33"/>
  <c r="F185" i="33"/>
  <c r="F169" i="33"/>
  <c r="F153" i="33"/>
  <c r="F137" i="33"/>
  <c r="F57" i="33"/>
  <c r="F33" i="33"/>
  <c r="F25" i="33"/>
  <c r="F375" i="33"/>
  <c r="F87" i="33"/>
  <c r="F631" i="33"/>
  <c r="F19" i="33"/>
  <c r="F11" i="33"/>
  <c r="F558" i="33"/>
  <c r="F554" i="33"/>
  <c r="F318" i="33"/>
  <c r="F310" i="33"/>
  <c r="F302" i="33"/>
  <c r="F294" i="33"/>
  <c r="F278" i="33"/>
  <c r="F238" i="33"/>
  <c r="F230" i="33"/>
  <c r="F182" i="33"/>
  <c r="F174" i="33"/>
  <c r="F166" i="33"/>
  <c r="F150" i="33"/>
  <c r="F134" i="33"/>
  <c r="F78" i="33"/>
  <c r="F70" i="33"/>
  <c r="F46" i="33"/>
  <c r="F22" i="33"/>
  <c r="F541" i="33"/>
  <c r="F360" i="33"/>
  <c r="F755" i="33"/>
  <c r="F683" i="33"/>
  <c r="F675" i="33"/>
  <c r="F659" i="33"/>
  <c r="F651" i="33"/>
  <c r="F643" i="33"/>
  <c r="F762" i="33"/>
  <c r="F753" i="33"/>
  <c r="F745" i="33"/>
  <c r="F737" i="33"/>
  <c r="F501" i="33"/>
  <c r="F469" i="33"/>
  <c r="F445" i="33"/>
  <c r="F758" i="33"/>
  <c r="F742" i="33"/>
  <c r="F467" i="33"/>
  <c r="F323" i="33"/>
  <c r="F243" i="33"/>
  <c r="F131" i="33"/>
  <c r="F107" i="33"/>
  <c r="F99" i="33"/>
  <c r="F83" i="33"/>
  <c r="F75" i="33"/>
  <c r="F51" i="33"/>
  <c r="F12" i="33"/>
  <c r="F789" i="33"/>
  <c r="F765" i="33"/>
  <c r="F741" i="33"/>
  <c r="F733" i="33"/>
  <c r="F725" i="33"/>
  <c r="F605" i="33"/>
  <c r="F597" i="33"/>
  <c r="F589" i="33"/>
  <c r="F565" i="33"/>
  <c r="F458" i="33"/>
  <c r="F450" i="33"/>
  <c r="F130" i="33"/>
  <c r="F786" i="33"/>
  <c r="F778" i="33"/>
  <c r="F770" i="33"/>
  <c r="F738" i="33"/>
  <c r="F479" i="33"/>
  <c r="F439" i="33"/>
  <c r="F431" i="33"/>
  <c r="F415" i="33"/>
  <c r="F399" i="33"/>
  <c r="F8" i="33"/>
  <c r="F689" i="33"/>
  <c r="F672" i="33"/>
  <c r="F569" i="33"/>
  <c r="F502" i="33"/>
  <c r="F417" i="33"/>
  <c r="F402" i="33"/>
  <c r="F377" i="33"/>
  <c r="F122" i="33"/>
  <c r="F114" i="33"/>
  <c r="F98" i="33"/>
  <c r="F58" i="33"/>
  <c r="F726" i="33"/>
  <c r="F686" i="33"/>
  <c r="F670" i="33"/>
  <c r="F662" i="33"/>
  <c r="F622" i="33"/>
  <c r="F494" i="33"/>
  <c r="F463" i="33"/>
  <c r="F456" i="33"/>
  <c r="F573" i="33"/>
  <c r="F769" i="33"/>
  <c r="F485" i="33"/>
  <c r="F327" i="33"/>
  <c r="F7" i="33"/>
  <c r="F760" i="33"/>
  <c r="F722" i="33"/>
  <c r="F714" i="33"/>
  <c r="F706" i="33"/>
  <c r="F682" i="33"/>
  <c r="F618" i="33"/>
  <c r="F602" i="33"/>
  <c r="F578" i="33"/>
  <c r="F570" i="33"/>
  <c r="F563" i="33"/>
  <c r="F556" i="33"/>
  <c r="F549" i="33"/>
  <c r="F537" i="33"/>
  <c r="F513" i="33"/>
  <c r="F505" i="33"/>
  <c r="F482" i="33"/>
  <c r="F466" i="33"/>
  <c r="F436" i="33"/>
  <c r="F389" i="33"/>
  <c r="F380" i="33"/>
  <c r="F373" i="33"/>
  <c r="F349" i="33"/>
  <c r="F341" i="33"/>
  <c r="F325" i="33"/>
  <c r="F285" i="33"/>
  <c r="F253" i="33"/>
  <c r="F189" i="33"/>
  <c r="F125" i="33"/>
  <c r="F61" i="33"/>
  <c r="F45" i="33"/>
  <c r="F790" i="33"/>
  <c r="F743" i="33"/>
  <c r="F705" i="33"/>
  <c r="F697" i="33"/>
  <c r="F657" i="33"/>
  <c r="F641" i="33"/>
  <c r="F625" i="33"/>
  <c r="F489" i="33"/>
  <c r="F403" i="33"/>
  <c r="F348" i="33"/>
  <c r="F801" i="33"/>
  <c r="F796" i="33"/>
  <c r="F782" i="33"/>
  <c r="F774" i="33"/>
  <c r="F766" i="33"/>
  <c r="F744" i="33"/>
  <c r="F718" i="33"/>
  <c r="F710" i="33"/>
  <c r="F694" i="33"/>
  <c r="F633" i="33"/>
  <c r="F624" i="33"/>
  <c r="F617" i="33"/>
  <c r="F609" i="33"/>
  <c r="F593" i="33"/>
  <c r="F577" i="33"/>
  <c r="F536" i="33"/>
  <c r="F529" i="33"/>
  <c r="F520" i="33"/>
  <c r="F512" i="33"/>
  <c r="F498" i="33"/>
  <c r="F483" i="33"/>
  <c r="F408" i="33"/>
  <c r="F329" i="33"/>
  <c r="F67" i="33"/>
  <c r="F50" i="33"/>
  <c r="F806" i="33"/>
  <c r="F543" i="33"/>
  <c r="F780" i="33"/>
  <c r="F773" i="33"/>
  <c r="F764" i="33"/>
  <c r="F757" i="33"/>
  <c r="F730" i="33"/>
  <c r="F716" i="33"/>
  <c r="F708" i="33"/>
  <c r="F677" i="33"/>
  <c r="F654" i="33"/>
  <c r="F646" i="33"/>
  <c r="F638" i="33"/>
  <c r="F607" i="33"/>
  <c r="F591" i="33"/>
  <c r="F583" i="33"/>
  <c r="F567" i="33"/>
  <c r="F546" i="33"/>
  <c r="F518" i="33"/>
  <c r="F510" i="33"/>
  <c r="F496" i="33"/>
  <c r="F473" i="33"/>
  <c r="F453" i="33"/>
  <c r="F406" i="33"/>
  <c r="F390" i="33"/>
  <c r="F382" i="33"/>
  <c r="F343" i="33"/>
  <c r="F312" i="33"/>
  <c r="F304" i="33"/>
  <c r="F280" i="33"/>
  <c r="F272" i="33"/>
  <c r="F248" i="33"/>
  <c r="F120" i="33"/>
  <c r="F72" i="33"/>
  <c r="F24" i="33"/>
  <c r="F805" i="33"/>
  <c r="F542" i="33"/>
  <c r="F793" i="33"/>
  <c r="F749" i="33"/>
  <c r="F729" i="33"/>
  <c r="F699" i="33"/>
  <c r="F691" i="33"/>
  <c r="F653" i="33"/>
  <c r="F629" i="33"/>
  <c r="F606" i="33"/>
  <c r="F574" i="33"/>
  <c r="F480" i="33"/>
  <c r="F472" i="33"/>
  <c r="F413" i="33"/>
  <c r="F366" i="33"/>
  <c r="F183" i="33"/>
  <c r="F167" i="33"/>
  <c r="F151" i="33"/>
  <c r="F143" i="33"/>
  <c r="F127" i="33"/>
  <c r="F103" i="33"/>
  <c r="F95" i="33"/>
  <c r="F55" i="33"/>
  <c r="F39" i="33"/>
  <c r="F754" i="33"/>
  <c r="F727" i="33"/>
  <c r="F470" i="33"/>
  <c r="F802" i="33"/>
  <c r="F798" i="33"/>
  <c r="F784" i="33"/>
  <c r="F768" i="33"/>
  <c r="F739" i="33"/>
  <c r="F720" i="33"/>
  <c r="F704" i="33"/>
  <c r="F665" i="33"/>
  <c r="F634" i="33"/>
  <c r="F595" i="33"/>
  <c r="F550" i="33"/>
  <c r="F530" i="33"/>
  <c r="F522" i="33"/>
  <c r="F514" i="33"/>
  <c r="F506" i="33"/>
  <c r="F486" i="33"/>
  <c r="F426" i="33"/>
  <c r="F394" i="33"/>
  <c r="F379" i="33"/>
  <c r="F363" i="33"/>
  <c r="F164" i="33"/>
  <c r="F156" i="33"/>
  <c r="F140" i="33"/>
  <c r="F68" i="33"/>
  <c r="F44" i="33"/>
  <c r="F14" i="33"/>
  <c r="F5" i="33"/>
  <c r="F777" i="33"/>
  <c r="F771" i="33"/>
  <c r="F748" i="33"/>
  <c r="F713" i="33"/>
  <c r="F707" i="33"/>
  <c r="F701" i="33"/>
  <c r="F693" i="33"/>
  <c r="F671" i="33"/>
  <c r="F650" i="33"/>
  <c r="F642" i="33"/>
  <c r="F635" i="33"/>
  <c r="F628" i="33"/>
  <c r="F614" i="33"/>
  <c r="F599" i="33"/>
  <c r="F585" i="33"/>
  <c r="F566" i="33"/>
  <c r="F551" i="33"/>
  <c r="F533" i="33"/>
  <c r="F527" i="33"/>
  <c r="F495" i="33"/>
  <c r="F488" i="33"/>
  <c r="F422" i="33"/>
  <c r="F407" i="33"/>
  <c r="F365" i="33"/>
  <c r="F357" i="33"/>
  <c r="F334" i="33"/>
  <c r="F322" i="33"/>
  <c r="F306" i="33"/>
  <c r="F290" i="33"/>
  <c r="F282" i="33"/>
  <c r="F274" i="33"/>
  <c r="F258" i="33"/>
  <c r="F250" i="33"/>
  <c r="F242" i="33"/>
  <c r="F226" i="33"/>
  <c r="F218" i="33"/>
  <c r="F210" i="33"/>
  <c r="F194" i="33"/>
  <c r="F186" i="33"/>
  <c r="F171" i="33"/>
  <c r="F163" i="33"/>
  <c r="F147" i="33"/>
  <c r="F124" i="33"/>
  <c r="F116" i="33"/>
  <c r="F108" i="33"/>
  <c r="F92" i="33"/>
  <c r="F77" i="33"/>
  <c r="F41" i="33"/>
  <c r="F34" i="33"/>
  <c r="F26" i="33"/>
  <c r="F776" i="33"/>
  <c r="F736" i="33"/>
  <c r="F712" i="33"/>
  <c r="F678" i="33"/>
  <c r="F663" i="33"/>
  <c r="F649" i="33"/>
  <c r="F613" i="33"/>
  <c r="F564" i="33"/>
  <c r="F557" i="33"/>
  <c r="F526" i="33"/>
  <c r="F464" i="33"/>
  <c r="F457" i="33"/>
  <c r="F421" i="33"/>
  <c r="F787" i="33"/>
  <c r="F781" i="33"/>
  <c r="F746" i="33"/>
  <c r="F723" i="33"/>
  <c r="F717" i="33"/>
  <c r="F711" i="33"/>
  <c r="F655" i="33"/>
  <c r="F626" i="33"/>
  <c r="F590" i="33"/>
  <c r="F531" i="33"/>
  <c r="F499" i="33"/>
  <c r="F481" i="33"/>
  <c r="F474" i="33"/>
  <c r="F391" i="33"/>
  <c r="F162" i="33"/>
  <c r="F146" i="33"/>
  <c r="F52" i="33"/>
  <c r="F18" i="33"/>
  <c r="F792" i="33"/>
  <c r="F752" i="33"/>
  <c r="F734" i="33"/>
  <c r="F728" i="33"/>
  <c r="F698" i="33"/>
  <c r="F690" i="33"/>
  <c r="F669" i="33"/>
  <c r="F661" i="33"/>
  <c r="F647" i="33"/>
  <c r="F640" i="33"/>
  <c r="F619" i="33"/>
  <c r="F611" i="33"/>
  <c r="F604" i="33"/>
  <c r="F582" i="33"/>
  <c r="F562" i="33"/>
  <c r="F538" i="33"/>
  <c r="F517" i="33"/>
  <c r="F511" i="33"/>
  <c r="F504" i="33"/>
  <c r="F462" i="33"/>
  <c r="F427" i="33"/>
  <c r="F398" i="33"/>
  <c r="F354" i="33"/>
  <c r="F319" i="33"/>
  <c r="F263" i="33"/>
  <c r="F255" i="33"/>
  <c r="F231" i="33"/>
  <c r="F223" i="33"/>
  <c r="F215" i="33"/>
  <c r="F199" i="33"/>
  <c r="F191" i="33"/>
  <c r="F136" i="33"/>
  <c r="F105" i="33"/>
  <c r="F89" i="33"/>
  <c r="F82" i="33"/>
  <c r="F66" i="33"/>
  <c r="F59" i="33"/>
  <c r="F31" i="33"/>
  <c r="F454" i="33"/>
  <c r="F330" i="33"/>
  <c r="F544" i="33"/>
  <c r="F797" i="33"/>
  <c r="F785" i="33"/>
  <c r="F750" i="33"/>
  <c r="F721" i="33"/>
  <c r="F709" i="33"/>
  <c r="F581" i="33"/>
  <c r="F515" i="33"/>
  <c r="F497" i="33"/>
  <c r="F490" i="33"/>
  <c r="F411" i="33"/>
  <c r="F367" i="33"/>
  <c r="F804" i="33"/>
  <c r="F761" i="33"/>
  <c r="F732" i="33"/>
  <c r="F695" i="33"/>
  <c r="F688" i="33"/>
  <c r="F681" i="33"/>
  <c r="F673" i="33"/>
  <c r="F666" i="33"/>
  <c r="F645" i="33"/>
  <c r="F637" i="33"/>
  <c r="F630" i="33"/>
  <c r="F608" i="33"/>
  <c r="F601" i="33"/>
  <c r="F587" i="33"/>
  <c r="F579" i="33"/>
  <c r="F572" i="33"/>
  <c r="F553" i="33"/>
  <c r="F547" i="33"/>
  <c r="F521" i="33"/>
  <c r="F478" i="33"/>
  <c r="F446" i="33"/>
  <c r="F401" i="33"/>
  <c r="F381" i="33"/>
  <c r="F374" i="33"/>
  <c r="F351" i="33"/>
  <c r="F337" i="33"/>
  <c r="F316" i="33"/>
  <c r="F268" i="33"/>
  <c r="F236" i="33"/>
  <c r="F204" i="33"/>
  <c r="F188" i="33"/>
  <c r="F173" i="33"/>
  <c r="F157" i="33"/>
  <c r="F141" i="33"/>
  <c r="F110" i="33"/>
  <c r="F79" i="33"/>
  <c r="F71" i="33"/>
  <c r="F56" i="33"/>
  <c r="F28" i="33"/>
  <c r="F20" i="33"/>
  <c r="F6" i="33"/>
  <c r="F803" i="33"/>
  <c r="F791" i="33"/>
  <c r="F775" i="33"/>
  <c r="F759" i="33"/>
  <c r="F700" i="33"/>
  <c r="F660" i="33"/>
  <c r="F636" i="33"/>
  <c r="F596" i="33"/>
  <c r="F548" i="33"/>
  <c r="F429" i="33"/>
  <c r="F430" i="33"/>
  <c r="F524" i="33"/>
  <c r="F525" i="33"/>
  <c r="F492" i="33"/>
  <c r="F493" i="33"/>
  <c r="F370" i="33"/>
  <c r="F369" i="33"/>
  <c r="F9" i="33"/>
  <c r="F10" i="33"/>
  <c r="F560" i="33"/>
  <c r="F561" i="33"/>
  <c r="F795" i="33"/>
  <c r="F779" i="33"/>
  <c r="F763" i="33"/>
  <c r="F747" i="33"/>
  <c r="F731" i="33"/>
  <c r="F715" i="33"/>
  <c r="F687" i="33"/>
  <c r="F676" i="33"/>
  <c r="F658" i="33"/>
  <c r="F652" i="33"/>
  <c r="F623" i="33"/>
  <c r="F612" i="33"/>
  <c r="F594" i="33"/>
  <c r="F588" i="33"/>
  <c r="F794" i="33"/>
  <c r="F576" i="33"/>
  <c r="F534" i="33"/>
  <c r="F460" i="33"/>
  <c r="F461" i="33"/>
  <c r="F799" i="33"/>
  <c r="F783" i="33"/>
  <c r="F767" i="33"/>
  <c r="F751" i="33"/>
  <c r="F735" i="33"/>
  <c r="F719" i="33"/>
  <c r="F703" i="33"/>
  <c r="F692" i="33"/>
  <c r="F674" i="33"/>
  <c r="F668" i="33"/>
  <c r="F639" i="33"/>
  <c r="F610" i="33"/>
  <c r="F598" i="33"/>
  <c r="F586" i="33"/>
  <c r="F575" i="33"/>
  <c r="F540" i="33"/>
  <c r="F545" i="33"/>
  <c r="F508" i="33"/>
  <c r="F509" i="33"/>
  <c r="F118" i="33"/>
  <c r="F119" i="33"/>
  <c r="F178" i="33"/>
  <c r="F179" i="33"/>
  <c r="F800" i="33"/>
  <c r="F788" i="33"/>
  <c r="F772" i="33"/>
  <c r="F756" i="33"/>
  <c r="F740" i="33"/>
  <c r="F724" i="33"/>
  <c r="F702" i="33"/>
  <c r="F685" i="33"/>
  <c r="F679" i="33"/>
  <c r="F667" i="33"/>
  <c r="F656" i="33"/>
  <c r="F627" i="33"/>
  <c r="F621" i="33"/>
  <c r="F615" i="33"/>
  <c r="F603" i="33"/>
  <c r="F592" i="33"/>
  <c r="F358" i="33"/>
  <c r="F275" i="33"/>
  <c r="F35" i="33"/>
  <c r="F684" i="33"/>
  <c r="F644" i="33"/>
  <c r="F620" i="33"/>
  <c r="F580" i="33"/>
  <c r="F476" i="33"/>
  <c r="F477" i="33"/>
  <c r="F559" i="33"/>
  <c r="F539" i="33"/>
  <c r="F523" i="33"/>
  <c r="F507" i="33"/>
  <c r="F491" i="33"/>
  <c r="F475" i="33"/>
  <c r="F459" i="33"/>
  <c r="F447" i="33"/>
  <c r="F440" i="33"/>
  <c r="F414" i="33"/>
  <c r="F395" i="33"/>
  <c r="F362" i="33"/>
  <c r="F342" i="33"/>
  <c r="F335" i="33"/>
  <c r="F309" i="33"/>
  <c r="F295" i="33"/>
  <c r="F287" i="33"/>
  <c r="F265" i="33"/>
  <c r="F235" i="33"/>
  <c r="F227" i="33"/>
  <c r="F212" i="33"/>
  <c r="F206" i="33"/>
  <c r="F198" i="33"/>
  <c r="F111" i="33"/>
  <c r="F104" i="33"/>
  <c r="F91" i="33"/>
  <c r="F84" i="33"/>
  <c r="F528" i="33"/>
  <c r="F434" i="33"/>
  <c r="F211" i="33"/>
  <c r="F123" i="33"/>
  <c r="F90" i="33"/>
  <c r="F13" i="33"/>
  <c r="F307" i="33"/>
  <c r="F175" i="33"/>
  <c r="F168" i="33"/>
  <c r="F148" i="33"/>
  <c r="F142" i="33"/>
  <c r="F135" i="33"/>
  <c r="F115" i="33"/>
  <c r="F38" i="33"/>
  <c r="F23" i="33"/>
  <c r="F696" i="33"/>
  <c r="F680" i="33"/>
  <c r="F664" i="33"/>
  <c r="F648" i="33"/>
  <c r="F632" i="33"/>
  <c r="F616" i="33"/>
  <c r="F600" i="33"/>
  <c r="F584" i="33"/>
  <c r="F568" i="33"/>
  <c r="F552" i="33"/>
  <c r="F532" i="33"/>
  <c r="F516" i="33"/>
  <c r="F500" i="33"/>
  <c r="F484" i="33"/>
  <c r="F468" i="33"/>
  <c r="F438" i="33"/>
  <c r="F412" i="33"/>
  <c r="F405" i="33"/>
  <c r="F392" i="33"/>
  <c r="F386" i="33"/>
  <c r="F372" i="33"/>
  <c r="F359" i="33"/>
  <c r="F353" i="33"/>
  <c r="F347" i="33"/>
  <c r="F339" i="33"/>
  <c r="F332" i="33"/>
  <c r="F314" i="33"/>
  <c r="F300" i="33"/>
  <c r="F270" i="33"/>
  <c r="F262" i="33"/>
  <c r="F246" i="33"/>
  <c r="F240" i="33"/>
  <c r="F216" i="33"/>
  <c r="F203" i="33"/>
  <c r="F195" i="33"/>
  <c r="F180" i="33"/>
  <c r="F154" i="33"/>
  <c r="F121" i="33"/>
  <c r="F109" i="33"/>
  <c r="F102" i="33"/>
  <c r="F88" i="33"/>
  <c r="F76" i="33"/>
  <c r="F63" i="33"/>
  <c r="F36" i="33"/>
  <c r="F444" i="33"/>
  <c r="F437" i="33"/>
  <c r="F424" i="33"/>
  <c r="F418" i="33"/>
  <c r="F404" i="33"/>
  <c r="F385" i="33"/>
  <c r="F371" i="33"/>
  <c r="F345" i="33"/>
  <c r="F299" i="33"/>
  <c r="F291" i="33"/>
  <c r="F49" i="33"/>
  <c r="F29" i="33"/>
  <c r="F17" i="33"/>
  <c r="F423" i="33"/>
  <c r="F344" i="33"/>
  <c r="F244" i="33"/>
  <c r="F152" i="33"/>
  <c r="F100" i="33"/>
  <c r="F571" i="33"/>
  <c r="F555" i="33"/>
  <c r="F535" i="33"/>
  <c r="F519" i="33"/>
  <c r="F503" i="33"/>
  <c r="F487" i="33"/>
  <c r="F471" i="33"/>
  <c r="F455" i="33"/>
  <c r="F449" i="33"/>
  <c r="F443" i="33"/>
  <c r="F435" i="33"/>
  <c r="F409" i="33"/>
  <c r="F397" i="33"/>
  <c r="F383" i="33"/>
  <c r="F376" i="33"/>
  <c r="F350" i="33"/>
  <c r="F338" i="33"/>
  <c r="F331" i="33"/>
  <c r="F324" i="33"/>
  <c r="F297" i="33"/>
  <c r="F267" i="33"/>
  <c r="F259" i="33"/>
  <c r="F221" i="33"/>
  <c r="F214" i="33"/>
  <c r="F184" i="33"/>
  <c r="F172" i="33"/>
  <c r="F159" i="33"/>
  <c r="F139" i="33"/>
  <c r="F132" i="33"/>
  <c r="F93" i="33"/>
  <c r="F86" i="33"/>
  <c r="F73" i="33"/>
  <c r="F60" i="33"/>
  <c r="F54" i="33"/>
  <c r="F47" i="33"/>
  <c r="F40" i="33"/>
  <c r="F21" i="33"/>
  <c r="F15" i="33"/>
  <c r="F4" i="33"/>
  <c r="F313" i="33"/>
  <c r="F301" i="33"/>
  <c r="F288" i="33"/>
  <c r="F281" i="33"/>
  <c r="F269" i="33"/>
  <c r="F256" i="33"/>
  <c r="F249" i="33"/>
  <c r="F237" i="33"/>
  <c r="F224" i="33"/>
  <c r="F217" i="33"/>
  <c r="F205" i="33"/>
  <c r="F448" i="33"/>
  <c r="F425" i="33"/>
  <c r="F416" i="33"/>
  <c r="F393" i="33"/>
  <c r="F384" i="33"/>
  <c r="F361" i="33"/>
  <c r="F352" i="33"/>
  <c r="F333" i="33"/>
  <c r="F311" i="33"/>
  <c r="F292" i="33"/>
  <c r="F286" i="33"/>
  <c r="F279" i="33"/>
  <c r="F260" i="33"/>
  <c r="F254" i="33"/>
  <c r="F247" i="33"/>
  <c r="F228" i="33"/>
  <c r="F222" i="33"/>
  <c r="F196" i="33"/>
  <c r="F190" i="33"/>
  <c r="F158" i="33"/>
  <c r="F126" i="33"/>
  <c r="F94" i="33"/>
  <c r="F62" i="33"/>
  <c r="F30" i="33"/>
  <c r="F452" i="33"/>
  <c r="F420" i="33"/>
  <c r="F388" i="33"/>
  <c r="F356" i="33"/>
  <c r="F328" i="33"/>
  <c r="F317" i="33"/>
  <c r="F298" i="33"/>
  <c r="F266" i="33"/>
  <c r="F234" i="33"/>
  <c r="F202" i="33"/>
  <c r="F170" i="33"/>
  <c r="F138" i="33"/>
  <c r="F106" i="33"/>
  <c r="F74" i="33"/>
  <c r="F42" i="33"/>
  <c r="F451" i="33"/>
  <c r="F442" i="33"/>
  <c r="F419" i="33"/>
  <c r="F410" i="33"/>
  <c r="F387" i="33"/>
  <c r="F378" i="33"/>
  <c r="F355" i="33"/>
  <c r="F346" i="33"/>
  <c r="F428" i="33"/>
  <c r="F396" i="33"/>
  <c r="F364" i="33"/>
  <c r="F315" i="33"/>
  <c r="F303" i="33"/>
  <c r="F296" i="33"/>
  <c r="F284" i="33"/>
  <c r="F271" i="33"/>
  <c r="F264" i="33"/>
  <c r="F252" i="33"/>
  <c r="F239" i="33"/>
  <c r="F232" i="33"/>
  <c r="F220" i="33"/>
  <c r="F207" i="33"/>
  <c r="F200" i="33"/>
  <c r="F432" i="33"/>
  <c r="F400" i="33"/>
  <c r="F368" i="33"/>
  <c r="F336" i="33"/>
  <c r="F326" i="33"/>
  <c r="F320" i="33"/>
  <c r="F308" i="33"/>
  <c r="F283" i="33"/>
  <c r="F276" i="33"/>
  <c r="F251" i="33"/>
  <c r="F219" i="33"/>
  <c r="F187" i="33"/>
  <c r="F155" i="33"/>
  <c r="F340" i="33"/>
  <c r="F321" i="33"/>
  <c r="F305" i="33"/>
  <c r="F289" i="33"/>
  <c r="F273" i="33"/>
  <c r="F257" i="33"/>
  <c r="F241" i="33"/>
  <c r="F225" i="33"/>
  <c r="F209" i="33"/>
  <c r="F193" i="33"/>
  <c r="F177" i="33"/>
  <c r="F161" i="33"/>
  <c r="F145" i="33"/>
  <c r="F129" i="33"/>
  <c r="F113" i="33"/>
  <c r="F97" i="33"/>
  <c r="F81" i="33"/>
  <c r="F65" i="33"/>
  <c r="F43" i="33"/>
  <c r="F27" i="33"/>
  <c r="F208" i="33"/>
  <c r="F192" i="33"/>
  <c r="F176" i="33"/>
  <c r="F160" i="33"/>
  <c r="F144" i="33"/>
  <c r="F128" i="33"/>
  <c r="F112" i="33"/>
  <c r="F96" i="33"/>
  <c r="F80" i="33"/>
  <c r="F64" i="33"/>
  <c r="F48" i="33"/>
  <c r="F32" i="33"/>
  <c r="F16" i="33"/>
  <c r="F293" i="33"/>
  <c r="F277" i="33"/>
  <c r="F261" i="33"/>
  <c r="F245" i="33"/>
  <c r="F229" i="33"/>
  <c r="F213" i="33"/>
  <c r="F197" i="33"/>
  <c r="F181" i="33"/>
  <c r="F165" i="33"/>
  <c r="F149" i="33"/>
  <c r="F133" i="33"/>
  <c r="F117" i="33"/>
  <c r="F101" i="33"/>
  <c r="F85" i="33"/>
  <c r="F69" i="33"/>
  <c r="F53" i="33"/>
  <c r="F37" i="33"/>
  <c r="F1001" i="33"/>
  <c r="F968" i="33"/>
  <c r="F1014" i="33"/>
  <c r="F990" i="33"/>
  <c r="F965" i="33"/>
  <c r="F1028" i="33"/>
  <c r="F1020" i="33"/>
  <c r="F1012" i="33"/>
  <c r="F969" i="33"/>
  <c r="F1004" i="33"/>
  <c r="F1026" i="33"/>
  <c r="F986" i="33"/>
  <c r="F867" i="33"/>
  <c r="F1024" i="33"/>
  <c r="F1008" i="33"/>
  <c r="F992" i="33"/>
  <c r="F976" i="33"/>
  <c r="F967" i="33"/>
  <c r="F955" i="33"/>
  <c r="F929" i="33"/>
  <c r="F921" i="33"/>
  <c r="F913" i="33"/>
  <c r="F872" i="33"/>
  <c r="F856" i="33"/>
  <c r="F831" i="33"/>
  <c r="F814" i="33"/>
  <c r="F1005" i="33"/>
  <c r="F1033" i="33"/>
  <c r="F988" i="33"/>
  <c r="F1031" i="33"/>
  <c r="F1015" i="33"/>
  <c r="F1000" i="33"/>
  <c r="F837" i="33"/>
  <c r="F1021" i="33"/>
  <c r="F1011" i="33"/>
  <c r="F971" i="33"/>
  <c r="F1027" i="33"/>
  <c r="F977" i="33"/>
  <c r="F998" i="33"/>
  <c r="F984" i="33"/>
  <c r="F923" i="33"/>
  <c r="F915" i="33"/>
  <c r="F906" i="33"/>
  <c r="F823" i="33"/>
  <c r="F1032" i="33"/>
  <c r="F1018" i="33"/>
  <c r="F996" i="33"/>
  <c r="F989" i="33"/>
  <c r="F982" i="33"/>
  <c r="F1009" i="33"/>
  <c r="F1030" i="33"/>
  <c r="F1016" i="33"/>
  <c r="F1002" i="33"/>
  <c r="F980" i="33"/>
  <c r="F972" i="33"/>
  <c r="F1022" i="33"/>
  <c r="F1003" i="33"/>
  <c r="F849" i="33"/>
  <c r="F1013" i="33"/>
  <c r="F1007" i="33"/>
  <c r="F994" i="33"/>
  <c r="F981" i="33"/>
  <c r="F1025" i="33"/>
  <c r="F1019" i="33"/>
  <c r="F1006" i="33"/>
  <c r="F993" i="33"/>
  <c r="F974" i="33"/>
  <c r="F1017" i="33"/>
  <c r="F985" i="33"/>
  <c r="F843" i="33"/>
  <c r="F1029" i="33"/>
  <c r="F1023" i="33"/>
  <c r="F1010" i="33"/>
  <c r="F997" i="33"/>
  <c r="F978" i="33"/>
  <c r="F937" i="33"/>
  <c r="F935" i="33"/>
  <c r="F952" i="33"/>
  <c r="F911" i="33"/>
  <c r="F933" i="33"/>
  <c r="F948" i="33"/>
  <c r="F940" i="33"/>
  <c r="F924" i="33"/>
  <c r="F916" i="33"/>
  <c r="F909" i="33"/>
  <c r="F964" i="33"/>
  <c r="F999" i="33"/>
  <c r="F995" i="33"/>
  <c r="F991" i="33"/>
  <c r="F987" i="33"/>
  <c r="F983" i="33"/>
  <c r="F979" i="33"/>
  <c r="F975" i="33"/>
  <c r="F970" i="33"/>
  <c r="F966" i="33"/>
  <c r="F963" i="33"/>
  <c r="F939" i="33"/>
  <c r="F932" i="33"/>
  <c r="F917" i="33"/>
  <c r="F886" i="33"/>
  <c r="F877" i="33"/>
  <c r="F829" i="33"/>
  <c r="F893" i="33"/>
  <c r="F953" i="33"/>
  <c r="F945" i="33"/>
  <c r="F908" i="33"/>
  <c r="F959" i="33"/>
  <c r="F950" i="33"/>
  <c r="F881" i="33"/>
  <c r="F927" i="33"/>
  <c r="F919" i="33"/>
  <c r="F957" i="33"/>
  <c r="F943" i="33"/>
  <c r="F931" i="33"/>
  <c r="F918" i="33"/>
  <c r="F882" i="33"/>
  <c r="F858" i="33"/>
  <c r="F850" i="33"/>
  <c r="F942" i="33"/>
  <c r="F925" i="33"/>
  <c r="F865" i="33"/>
  <c r="F961" i="33"/>
  <c r="F947" i="33"/>
  <c r="F934" i="33"/>
  <c r="F910" i="33"/>
  <c r="F863" i="33"/>
  <c r="F960" i="33"/>
  <c r="F941" i="33"/>
  <c r="F903" i="33"/>
  <c r="F958" i="33"/>
  <c r="F926" i="33"/>
  <c r="F852" i="33"/>
  <c r="F962" i="33"/>
  <c r="F944" i="33"/>
  <c r="F928" i="33"/>
  <c r="F912" i="33"/>
  <c r="F956" i="33"/>
  <c r="F938" i="33"/>
  <c r="F922" i="33"/>
  <c r="F907" i="33"/>
  <c r="F900" i="33"/>
  <c r="F892" i="33"/>
  <c r="F884" i="33"/>
  <c r="F870" i="33"/>
  <c r="F826" i="33"/>
  <c r="F898" i="33"/>
  <c r="F891" i="33"/>
  <c r="F876" i="33"/>
  <c r="F853" i="33"/>
  <c r="F954" i="33"/>
  <c r="F936" i="33"/>
  <c r="F920" i="33"/>
  <c r="F859" i="33"/>
  <c r="F844" i="33"/>
  <c r="F946" i="33"/>
  <c r="F930" i="33"/>
  <c r="F914" i="33"/>
  <c r="F905" i="33"/>
  <c r="F896" i="33"/>
  <c r="F889" i="33"/>
  <c r="F860" i="33"/>
  <c r="F897" i="33"/>
  <c r="F864" i="33"/>
  <c r="F821" i="33"/>
  <c r="F813" i="33"/>
  <c r="F901" i="33"/>
  <c r="F868" i="33"/>
  <c r="F902" i="33"/>
  <c r="F888" i="33"/>
  <c r="F875" i="33"/>
  <c r="F869" i="33"/>
  <c r="F855" i="33"/>
  <c r="F842" i="33"/>
  <c r="F835" i="33"/>
  <c r="F811" i="33"/>
  <c r="F894" i="33"/>
  <c r="F887" i="33"/>
  <c r="F861" i="33"/>
  <c r="F854" i="33"/>
  <c r="F818" i="33"/>
  <c r="F879" i="33"/>
  <c r="F873" i="33"/>
  <c r="F847" i="33"/>
  <c r="F840" i="33"/>
  <c r="F832" i="33"/>
  <c r="F839" i="33"/>
  <c r="F895" i="33"/>
  <c r="F880" i="33"/>
  <c r="F848" i="33"/>
  <c r="F822" i="33"/>
  <c r="F904" i="33"/>
  <c r="F890" i="33"/>
  <c r="F871" i="33"/>
  <c r="F862" i="33"/>
  <c r="F857" i="33"/>
  <c r="F816" i="33"/>
  <c r="F899" i="33"/>
  <c r="F866" i="33"/>
  <c r="F883" i="33"/>
  <c r="F874" i="33"/>
  <c r="F851" i="33"/>
  <c r="F841" i="33"/>
  <c r="F878" i="33"/>
  <c r="F846" i="33"/>
  <c r="F820" i="33"/>
  <c r="F836" i="33"/>
  <c r="F817" i="33"/>
  <c r="F830" i="33"/>
  <c r="F834" i="33"/>
  <c r="F827" i="33"/>
  <c r="F809" i="33"/>
  <c r="F808" i="33"/>
  <c r="F833" i="33"/>
  <c r="F815" i="33"/>
  <c r="F812" i="33"/>
  <c r="F819" i="33"/>
  <c r="F810" i="33"/>
  <c r="F838" i="33"/>
  <c r="F828" i="33"/>
  <c r="F824" i="33"/>
  <c r="AH59" i="18" l="1"/>
  <c r="AH60" i="18"/>
  <c r="AH58" i="18"/>
  <c r="AH61" i="18" l="1"/>
  <c r="C8" i="17" l="1"/>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C85" i="17"/>
  <c r="C86" i="17"/>
  <c r="C87" i="17"/>
  <c r="C88" i="17"/>
  <c r="C89" i="17"/>
  <c r="C90" i="17"/>
  <c r="C91" i="17"/>
  <c r="C92" i="17"/>
  <c r="C93" i="17"/>
  <c r="C94" i="17"/>
  <c r="C95" i="17"/>
  <c r="C96" i="17"/>
  <c r="C97" i="17"/>
  <c r="C98" i="17"/>
  <c r="C99" i="17"/>
  <c r="C100" i="17"/>
  <c r="C101" i="17"/>
  <c r="C102" i="17"/>
  <c r="C103" i="17"/>
  <c r="C104" i="17"/>
  <c r="C105" i="17"/>
  <c r="C106" i="17"/>
  <c r="C107" i="17"/>
  <c r="C108" i="17"/>
  <c r="C109" i="17"/>
  <c r="C110" i="17"/>
  <c r="C111" i="17"/>
  <c r="C112" i="17"/>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41" i="17"/>
  <c r="C142" i="17"/>
  <c r="C143" i="17"/>
  <c r="C144" i="17"/>
  <c r="C145" i="17"/>
  <c r="C146" i="17"/>
  <c r="C147" i="17"/>
  <c r="C148" i="17"/>
  <c r="C149" i="17"/>
  <c r="C150" i="17"/>
  <c r="C151" i="17"/>
  <c r="C152" i="17"/>
  <c r="C153" i="17"/>
  <c r="C154" i="17"/>
  <c r="C155" i="17"/>
  <c r="C156" i="17"/>
  <c r="C157" i="17"/>
  <c r="C158" i="17"/>
  <c r="C159" i="17"/>
  <c r="C160" i="17"/>
  <c r="C161" i="17"/>
  <c r="C162" i="17"/>
  <c r="C163" i="17"/>
  <c r="C164" i="17"/>
  <c r="C165" i="17"/>
  <c r="C166" i="17"/>
  <c r="C167" i="17"/>
  <c r="C168" i="17"/>
  <c r="C169" i="17"/>
  <c r="C170" i="17"/>
  <c r="C171" i="17"/>
  <c r="C172" i="17"/>
  <c r="C173" i="17"/>
  <c r="C174" i="17"/>
  <c r="C175" i="17"/>
  <c r="C176" i="17"/>
  <c r="C177" i="17"/>
  <c r="C178" i="17"/>
  <c r="C179" i="17"/>
  <c r="C180" i="17"/>
  <c r="C181" i="17"/>
  <c r="C182" i="17"/>
  <c r="C183" i="17"/>
  <c r="C184" i="17"/>
  <c r="C185" i="17"/>
  <c r="C186" i="17"/>
  <c r="C187" i="17"/>
  <c r="C188" i="17"/>
  <c r="C189" i="17"/>
  <c r="C190" i="17"/>
  <c r="C191" i="17"/>
  <c r="C192" i="17"/>
  <c r="C193" i="17"/>
  <c r="C194" i="17"/>
  <c r="C195" i="17"/>
  <c r="C196" i="17"/>
  <c r="C197" i="17"/>
  <c r="C198" i="17"/>
  <c r="C199" i="17"/>
  <c r="C200" i="17"/>
  <c r="C201" i="17"/>
  <c r="C202" i="17"/>
  <c r="C203" i="17"/>
  <c r="C204" i="17"/>
  <c r="C205" i="17"/>
  <c r="C206" i="17"/>
  <c r="C207" i="17"/>
  <c r="C208" i="17"/>
  <c r="C209" i="17"/>
  <c r="C210" i="17"/>
  <c r="C211" i="17"/>
  <c r="C212" i="17"/>
  <c r="C213" i="17"/>
  <c r="C214" i="17"/>
  <c r="C215" i="17"/>
  <c r="C216" i="17"/>
  <c r="C217" i="17"/>
  <c r="C218" i="17"/>
  <c r="C219" i="17"/>
  <c r="C220" i="17"/>
  <c r="C221" i="17"/>
  <c r="C222" i="17"/>
  <c r="C223" i="17"/>
  <c r="C224" i="17"/>
  <c r="C225" i="17"/>
  <c r="C226" i="17"/>
  <c r="C227" i="17"/>
  <c r="C228" i="17"/>
  <c r="C229" i="17"/>
  <c r="C230" i="17"/>
  <c r="C231" i="17"/>
  <c r="C232" i="17"/>
  <c r="C233" i="17"/>
  <c r="C234" i="17"/>
  <c r="C235" i="17"/>
  <c r="C236" i="17"/>
  <c r="C237" i="17"/>
  <c r="C238" i="17"/>
  <c r="C239" i="17"/>
  <c r="C240" i="17"/>
  <c r="C241" i="17"/>
  <c r="C242" i="17"/>
  <c r="C243" i="17"/>
  <c r="C244" i="17"/>
  <c r="C245" i="17"/>
  <c r="C246" i="17"/>
  <c r="C247" i="17"/>
  <c r="C248" i="17"/>
  <c r="C249" i="17"/>
  <c r="C250" i="17"/>
  <c r="C251" i="17"/>
  <c r="C252" i="17"/>
  <c r="C253" i="17"/>
  <c r="C254" i="17"/>
  <c r="C255" i="17"/>
  <c r="C256" i="17"/>
  <c r="C257" i="17"/>
  <c r="C258" i="17"/>
  <c r="C259" i="17"/>
  <c r="C260" i="17"/>
  <c r="C261" i="17"/>
  <c r="C262" i="17"/>
  <c r="C263" i="17"/>
  <c r="C264" i="17"/>
  <c r="C265" i="17"/>
  <c r="C266" i="17"/>
  <c r="C267" i="17"/>
  <c r="C268" i="17"/>
  <c r="C269" i="17"/>
  <c r="C270" i="17"/>
  <c r="C271" i="17"/>
  <c r="C272" i="17"/>
  <c r="C273" i="17"/>
  <c r="C274" i="17"/>
  <c r="C275" i="17"/>
  <c r="C276" i="17"/>
  <c r="C277" i="17"/>
  <c r="C278" i="17"/>
  <c r="C279" i="17"/>
  <c r="C280" i="17"/>
  <c r="C281" i="17"/>
  <c r="C282" i="17"/>
  <c r="C283" i="17"/>
  <c r="C284" i="17"/>
  <c r="C285" i="17"/>
  <c r="C286" i="17"/>
  <c r="C287" i="17"/>
  <c r="C288" i="17"/>
  <c r="C289" i="17"/>
  <c r="C290" i="17"/>
  <c r="C291" i="17"/>
  <c r="C292" i="17"/>
  <c r="C293" i="17"/>
  <c r="C294" i="17"/>
  <c r="C295" i="17"/>
  <c r="C296" i="17"/>
  <c r="C297" i="17"/>
  <c r="C298" i="17"/>
  <c r="C299" i="17"/>
  <c r="C300" i="17"/>
  <c r="C301" i="17"/>
  <c r="C302" i="17"/>
  <c r="C303" i="17"/>
  <c r="C304" i="17"/>
  <c r="C305" i="17"/>
  <c r="C306" i="17"/>
  <c r="C307" i="17"/>
  <c r="C308" i="17"/>
  <c r="C309" i="17"/>
  <c r="C310" i="17"/>
  <c r="C311" i="17"/>
  <c r="C312" i="17"/>
  <c r="C313" i="17"/>
  <c r="C314" i="17"/>
  <c r="C315" i="17"/>
  <c r="C316" i="17"/>
  <c r="C317" i="17"/>
  <c r="C318" i="17"/>
  <c r="C319" i="17"/>
  <c r="C320" i="17"/>
  <c r="C321" i="17"/>
  <c r="C322" i="17"/>
  <c r="C323" i="17"/>
  <c r="C324" i="17"/>
  <c r="C325" i="17"/>
  <c r="C326" i="17"/>
  <c r="C327" i="17"/>
  <c r="C328" i="17"/>
  <c r="C329" i="17"/>
  <c r="C330" i="17"/>
  <c r="C331" i="17"/>
  <c r="C332" i="17"/>
  <c r="C333" i="17"/>
  <c r="C334" i="17"/>
  <c r="C335" i="17"/>
  <c r="C336" i="17"/>
  <c r="C337" i="17"/>
  <c r="C338" i="17"/>
  <c r="C339" i="17"/>
  <c r="C340" i="17"/>
  <c r="C341" i="17"/>
  <c r="C342" i="17"/>
  <c r="C343" i="17"/>
  <c r="C344" i="17"/>
  <c r="C345" i="17"/>
  <c r="C346" i="17"/>
  <c r="C347" i="17"/>
  <c r="C348" i="17"/>
  <c r="C349" i="17"/>
  <c r="C350" i="17"/>
  <c r="C351" i="17"/>
  <c r="C352" i="17"/>
  <c r="C353" i="17"/>
  <c r="C354" i="17"/>
  <c r="C355" i="17"/>
  <c r="C356" i="17"/>
  <c r="C357" i="17"/>
  <c r="C358" i="17"/>
  <c r="C359" i="17"/>
  <c r="C360" i="17"/>
  <c r="C361" i="17"/>
  <c r="C362" i="17"/>
  <c r="C363" i="17"/>
  <c r="C364" i="17"/>
  <c r="C365" i="17"/>
  <c r="C366" i="17"/>
  <c r="C367" i="17"/>
  <c r="C368" i="17"/>
  <c r="C369" i="17"/>
  <c r="C370" i="17"/>
  <c r="C371" i="17"/>
  <c r="C372" i="17"/>
  <c r="C373" i="17"/>
  <c r="C374" i="17"/>
  <c r="C375" i="17"/>
  <c r="C376" i="17"/>
  <c r="C377" i="17"/>
  <c r="C378" i="17"/>
  <c r="C379" i="17"/>
  <c r="C380" i="17"/>
  <c r="C381" i="17"/>
  <c r="C382" i="17"/>
  <c r="C383" i="17"/>
  <c r="C384" i="17"/>
  <c r="C385" i="17"/>
  <c r="C386" i="17"/>
  <c r="C387" i="17"/>
  <c r="C388" i="17"/>
  <c r="C389" i="17"/>
  <c r="C390" i="17"/>
  <c r="C391" i="17"/>
  <c r="C392" i="17"/>
  <c r="C393" i="17"/>
  <c r="C394" i="17"/>
  <c r="C395" i="17"/>
  <c r="C396" i="17"/>
  <c r="C397" i="17"/>
  <c r="C398" i="17"/>
  <c r="C399" i="17"/>
  <c r="C400" i="17"/>
  <c r="C401" i="17"/>
  <c r="C402" i="17"/>
  <c r="C403" i="17"/>
  <c r="C404" i="17"/>
  <c r="C405" i="17"/>
  <c r="C406" i="17"/>
  <c r="C407" i="17"/>
  <c r="C408" i="17"/>
  <c r="C409" i="17"/>
  <c r="C410" i="17"/>
  <c r="C411" i="17"/>
  <c r="C412" i="17"/>
  <c r="C413" i="17"/>
  <c r="C414" i="17"/>
  <c r="C415" i="17"/>
  <c r="C416" i="17"/>
  <c r="C417" i="17"/>
  <c r="C418" i="17"/>
  <c r="C419" i="17"/>
  <c r="C420" i="17"/>
  <c r="C421" i="17"/>
  <c r="C422" i="17"/>
  <c r="C423" i="17"/>
  <c r="C424" i="17"/>
  <c r="C425" i="17"/>
  <c r="C426" i="17"/>
  <c r="C427" i="17"/>
  <c r="C428" i="17"/>
  <c r="C429" i="17"/>
  <c r="C430" i="17"/>
  <c r="C431" i="17"/>
  <c r="C432" i="17"/>
  <c r="C433" i="17"/>
  <c r="C434" i="17"/>
  <c r="C435" i="17"/>
  <c r="C436" i="17"/>
  <c r="C437" i="17"/>
  <c r="C438" i="17"/>
  <c r="C439" i="17"/>
  <c r="C440" i="17"/>
  <c r="C441" i="17"/>
  <c r="C442" i="17"/>
  <c r="C443" i="17"/>
  <c r="C444" i="17"/>
  <c r="C445" i="17"/>
  <c r="C446" i="17"/>
  <c r="C447" i="17"/>
  <c r="C448" i="17"/>
  <c r="C449" i="17"/>
  <c r="C450" i="17"/>
  <c r="C451" i="17"/>
  <c r="C452" i="17"/>
  <c r="C453" i="17"/>
  <c r="C454" i="17"/>
  <c r="C455" i="17"/>
  <c r="C456" i="17"/>
  <c r="C457" i="17"/>
  <c r="C458" i="17"/>
  <c r="C459" i="17"/>
  <c r="C460" i="17"/>
  <c r="C461" i="17"/>
  <c r="C462" i="17"/>
  <c r="C463" i="17"/>
  <c r="C464" i="17"/>
  <c r="C465" i="17"/>
  <c r="C466" i="17"/>
  <c r="C467" i="17"/>
  <c r="C468" i="17"/>
  <c r="C469" i="17"/>
  <c r="C470" i="17"/>
  <c r="C471" i="17"/>
  <c r="C472" i="17"/>
  <c r="C473" i="17"/>
  <c r="C474" i="17"/>
  <c r="C475" i="17"/>
  <c r="C476" i="17"/>
  <c r="C477" i="17"/>
  <c r="C478" i="17"/>
  <c r="C479" i="17"/>
  <c r="C480" i="17"/>
  <c r="C481" i="17"/>
  <c r="C482" i="17"/>
  <c r="C483" i="17"/>
  <c r="C484" i="17"/>
  <c r="C485" i="17"/>
  <c r="C486" i="17"/>
  <c r="C487" i="17"/>
  <c r="C488" i="17"/>
  <c r="C489" i="17"/>
  <c r="C490" i="17"/>
  <c r="C491" i="17"/>
  <c r="C492" i="17"/>
  <c r="C493" i="17"/>
  <c r="C494" i="17"/>
  <c r="C495" i="17"/>
  <c r="C496" i="17"/>
  <c r="C497" i="17"/>
  <c r="C498" i="17"/>
  <c r="C499" i="17"/>
  <c r="C500" i="17"/>
  <c r="C501" i="17"/>
  <c r="C502" i="17"/>
  <c r="C503" i="17"/>
  <c r="C504" i="17"/>
  <c r="C505" i="17"/>
  <c r="C506" i="17"/>
  <c r="C507" i="17"/>
  <c r="C508" i="17"/>
  <c r="C7" i="17"/>
  <c r="AX2" i="1" l="1"/>
  <c r="AC98" i="1" l="1"/>
  <c r="AC110" i="1"/>
  <c r="AC114" i="1"/>
  <c r="AA101" i="1"/>
  <c r="AC102" i="1"/>
  <c r="AC106" i="1"/>
  <c r="AA109" i="1"/>
  <c r="AA81" i="1"/>
  <c r="AA72" i="1"/>
  <c r="AA89" i="1"/>
  <c r="AC62" i="1"/>
  <c r="AA97" i="1"/>
  <c r="AA68" i="1"/>
  <c r="AA99" i="1"/>
  <c r="AB109" i="1"/>
  <c r="AC66" i="1"/>
  <c r="AB98" i="1"/>
  <c r="AB66" i="1"/>
  <c r="AC103" i="1"/>
  <c r="AC83" i="1"/>
  <c r="AC67" i="1"/>
  <c r="AC51" i="1"/>
  <c r="AB91" i="1"/>
  <c r="AB59" i="1"/>
  <c r="AC92" i="1"/>
  <c r="AC60" i="1"/>
  <c r="AB96" i="1"/>
  <c r="AB64" i="1"/>
  <c r="AC97" i="1"/>
  <c r="AC65" i="1"/>
  <c r="AB85" i="1"/>
  <c r="AB53" i="1"/>
  <c r="AA73" i="1"/>
  <c r="AA64" i="1"/>
  <c r="AA79" i="1"/>
  <c r="AC54" i="1"/>
  <c r="AA111" i="1"/>
  <c r="AA60" i="1"/>
  <c r="AG60" i="1" s="1"/>
  <c r="AA91" i="1"/>
  <c r="AA77" i="1"/>
  <c r="AG77" i="1" s="1"/>
  <c r="AC58" i="1"/>
  <c r="AB94" i="1"/>
  <c r="AB62" i="1"/>
  <c r="AC99" i="1"/>
  <c r="AA82" i="1"/>
  <c r="AA66" i="1"/>
  <c r="AA50" i="1"/>
  <c r="AB87" i="1"/>
  <c r="AB55" i="1"/>
  <c r="AC88" i="1"/>
  <c r="AC56" i="1"/>
  <c r="AB92" i="1"/>
  <c r="AB60" i="1"/>
  <c r="AC93" i="1"/>
  <c r="AC61" i="1"/>
  <c r="AB81" i="1"/>
  <c r="AB49" i="1"/>
  <c r="AA65" i="1"/>
  <c r="AA56" i="1"/>
  <c r="AA110" i="1"/>
  <c r="AB113" i="1"/>
  <c r="AB101" i="1"/>
  <c r="AA52" i="1"/>
  <c r="AA83" i="1"/>
  <c r="AG83" i="1" s="1"/>
  <c r="AA114" i="1"/>
  <c r="AC50" i="1"/>
  <c r="AB90" i="1"/>
  <c r="AB58" i="1"/>
  <c r="AC95" i="1"/>
  <c r="AC79" i="1"/>
  <c r="AC63" i="1"/>
  <c r="AB115" i="1"/>
  <c r="AB83" i="1"/>
  <c r="AB51" i="1"/>
  <c r="AC84" i="1"/>
  <c r="AC52" i="1"/>
  <c r="AB88" i="1"/>
  <c r="AB56" i="1"/>
  <c r="AC89" i="1"/>
  <c r="AC57" i="1"/>
  <c r="AB77" i="1"/>
  <c r="AA57" i="1"/>
  <c r="AB105" i="1"/>
  <c r="AA102" i="1"/>
  <c r="AA103" i="1"/>
  <c r="AA108" i="1"/>
  <c r="AG108" i="1" s="1"/>
  <c r="AA112" i="1"/>
  <c r="AA75" i="1"/>
  <c r="AG75" i="1" s="1"/>
  <c r="AA106" i="1"/>
  <c r="AA105" i="1"/>
  <c r="AB86" i="1"/>
  <c r="AB54" i="1"/>
  <c r="AA94" i="1"/>
  <c r="AA78" i="1"/>
  <c r="AG78" i="1" s="1"/>
  <c r="AA62" i="1"/>
  <c r="AG62" i="1" s="1"/>
  <c r="AB111" i="1"/>
  <c r="AB79" i="1"/>
  <c r="AC112" i="1"/>
  <c r="AC80" i="1"/>
  <c r="AA113" i="1"/>
  <c r="AB84" i="1"/>
  <c r="AB52" i="1"/>
  <c r="AC85" i="1"/>
  <c r="AC53" i="1"/>
  <c r="AB73" i="1"/>
  <c r="AA49" i="1"/>
  <c r="AA95" i="1"/>
  <c r="AC94" i="1"/>
  <c r="AA93" i="1"/>
  <c r="AA100" i="1"/>
  <c r="AG100" i="1" s="1"/>
  <c r="AA87" i="1"/>
  <c r="AA67" i="1"/>
  <c r="AG67" i="1" s="1"/>
  <c r="AA98" i="1"/>
  <c r="AG98" i="1" s="1"/>
  <c r="AB114" i="1"/>
  <c r="AB82" i="1"/>
  <c r="AB50" i="1"/>
  <c r="AC91" i="1"/>
  <c r="AC75" i="1"/>
  <c r="AC59" i="1"/>
  <c r="AB107" i="1"/>
  <c r="AB75" i="1"/>
  <c r="AC108" i="1"/>
  <c r="AC76" i="1"/>
  <c r="AB112" i="1"/>
  <c r="AB80" i="1"/>
  <c r="AC113" i="1"/>
  <c r="AC81" i="1"/>
  <c r="AC49" i="1"/>
  <c r="AB69" i="1"/>
  <c r="AA104" i="1"/>
  <c r="AA71" i="1"/>
  <c r="AC86" i="1"/>
  <c r="AA69" i="1"/>
  <c r="AA92" i="1"/>
  <c r="AG92" i="1" s="1"/>
  <c r="AA85" i="1"/>
  <c r="AG85" i="1" s="1"/>
  <c r="AA59" i="1"/>
  <c r="AG59" i="1" s="1"/>
  <c r="AC90" i="1"/>
  <c r="AB110" i="1"/>
  <c r="AB78" i="1"/>
  <c r="AC115" i="1"/>
  <c r="AA90" i="1"/>
  <c r="AG90" i="1" s="1"/>
  <c r="AA74" i="1"/>
  <c r="AG74" i="1" s="1"/>
  <c r="AA58" i="1"/>
  <c r="AG58" i="1" s="1"/>
  <c r="AB103" i="1"/>
  <c r="AB71" i="1"/>
  <c r="AC104" i="1"/>
  <c r="AC72" i="1"/>
  <c r="AB108" i="1"/>
  <c r="AB76" i="1"/>
  <c r="AC109" i="1"/>
  <c r="AC77" i="1"/>
  <c r="AB97" i="1"/>
  <c r="AB65" i="1"/>
  <c r="AA88" i="1"/>
  <c r="AG88" i="1" s="1"/>
  <c r="AA63" i="1"/>
  <c r="AC78" i="1"/>
  <c r="AA61" i="1"/>
  <c r="AA84" i="1"/>
  <c r="AG84" i="1" s="1"/>
  <c r="AA115" i="1"/>
  <c r="AA51" i="1"/>
  <c r="AG51" i="1" s="1"/>
  <c r="AC82" i="1"/>
  <c r="AB106" i="1"/>
  <c r="AB74" i="1"/>
  <c r="AC111" i="1"/>
  <c r="AC87" i="1"/>
  <c r="AC71" i="1"/>
  <c r="AC55" i="1"/>
  <c r="AB99" i="1"/>
  <c r="AB67" i="1"/>
  <c r="AC100" i="1"/>
  <c r="AC68" i="1"/>
  <c r="AB104" i="1"/>
  <c r="AB72" i="1"/>
  <c r="AC105" i="1"/>
  <c r="AC73" i="1"/>
  <c r="AB93" i="1"/>
  <c r="AB61" i="1"/>
  <c r="AA80" i="1"/>
  <c r="AG80" i="1" s="1"/>
  <c r="AA55" i="1"/>
  <c r="AC70" i="1"/>
  <c r="AA53" i="1"/>
  <c r="AA76" i="1"/>
  <c r="AG76" i="1" s="1"/>
  <c r="AA107" i="1"/>
  <c r="AA96" i="1"/>
  <c r="AG96" i="1" s="1"/>
  <c r="AC74" i="1"/>
  <c r="AB102" i="1"/>
  <c r="AB70" i="1"/>
  <c r="AC107" i="1"/>
  <c r="AA86" i="1"/>
  <c r="AG86" i="1" s="1"/>
  <c r="AA70" i="1"/>
  <c r="AG70" i="1" s="1"/>
  <c r="AA54" i="1"/>
  <c r="AG54" i="1" s="1"/>
  <c r="AB95" i="1"/>
  <c r="AB63" i="1"/>
  <c r="AC96" i="1"/>
  <c r="AC64" i="1"/>
  <c r="AB100" i="1"/>
  <c r="AB68" i="1"/>
  <c r="AC101" i="1"/>
  <c r="AC69" i="1"/>
  <c r="AB89" i="1"/>
  <c r="AB57" i="1"/>
  <c r="AB41" i="1"/>
  <c r="AA44" i="1"/>
  <c r="AA48" i="1"/>
  <c r="AB7" i="1"/>
  <c r="AB10" i="1"/>
  <c r="AA14" i="1"/>
  <c r="AC15" i="1"/>
  <c r="AC18" i="1"/>
  <c r="AA22" i="1"/>
  <c r="AC23" i="1"/>
  <c r="AC26" i="1"/>
  <c r="AA29" i="1"/>
  <c r="AB37" i="1"/>
  <c r="AA40" i="1"/>
  <c r="AC41" i="1"/>
  <c r="AB44" i="1"/>
  <c r="AB48" i="1"/>
  <c r="AA6" i="1"/>
  <c r="AC7" i="1"/>
  <c r="AC10" i="1"/>
  <c r="AA13" i="1"/>
  <c r="AB14" i="1"/>
  <c r="AA17" i="1"/>
  <c r="AA21" i="1"/>
  <c r="AB22" i="1"/>
  <c r="AA25" i="1"/>
  <c r="AB29" i="1"/>
  <c r="AC30" i="1"/>
  <c r="AB33" i="1"/>
  <c r="AA36" i="1"/>
  <c r="AC37" i="1"/>
  <c r="AA16" i="1"/>
  <c r="AB28" i="1"/>
  <c r="AB32" i="1"/>
  <c r="AA34" i="1"/>
  <c r="AC27" i="1"/>
  <c r="AB34" i="1"/>
  <c r="AC38" i="1"/>
  <c r="AA10" i="1"/>
  <c r="AB30" i="1"/>
  <c r="AB40" i="1"/>
  <c r="AA43" i="1"/>
  <c r="AC44" i="1"/>
  <c r="AC48" i="1"/>
  <c r="AA5" i="1"/>
  <c r="AB6" i="1"/>
  <c r="AA9" i="1"/>
  <c r="AB13" i="1"/>
  <c r="AC14" i="1"/>
  <c r="AB17" i="1"/>
  <c r="AA20" i="1"/>
  <c r="AB21" i="1"/>
  <c r="AC22" i="1"/>
  <c r="AB25" i="1"/>
  <c r="AA28" i="1"/>
  <c r="AC29" i="1"/>
  <c r="AA32" i="1"/>
  <c r="AC33" i="1"/>
  <c r="AB36" i="1"/>
  <c r="AB5" i="1"/>
  <c r="AB9" i="1"/>
  <c r="AA12" i="1"/>
  <c r="AC17" i="1"/>
  <c r="AB20" i="1"/>
  <c r="AA24" i="1"/>
  <c r="AC36" i="1"/>
  <c r="AC45" i="1"/>
  <c r="AA7" i="1"/>
  <c r="AB15" i="1"/>
  <c r="AC34" i="1"/>
  <c r="AA33" i="1"/>
  <c r="AC40" i="1"/>
  <c r="AB43" i="1"/>
  <c r="AA47" i="1"/>
  <c r="AC6" i="1"/>
  <c r="AC13" i="1"/>
  <c r="AC21" i="1"/>
  <c r="AC25" i="1"/>
  <c r="AA35" i="1"/>
  <c r="AC35" i="1"/>
  <c r="AA26" i="1"/>
  <c r="AC11" i="1"/>
  <c r="AA39" i="1"/>
  <c r="AA42" i="1"/>
  <c r="AC43" i="1"/>
  <c r="AA46" i="1"/>
  <c r="AB47" i="1"/>
  <c r="AC5" i="1"/>
  <c r="AA8" i="1"/>
  <c r="AC9" i="1"/>
  <c r="AB12" i="1"/>
  <c r="AB16" i="1"/>
  <c r="AA19" i="1"/>
  <c r="AC20" i="1"/>
  <c r="AB24" i="1"/>
  <c r="AA27" i="1"/>
  <c r="AC28" i="1"/>
  <c r="AC32" i="1"/>
  <c r="AB35" i="1"/>
  <c r="AB8" i="1"/>
  <c r="AC12" i="1"/>
  <c r="AC16" i="1"/>
  <c r="AB19" i="1"/>
  <c r="AB27" i="1"/>
  <c r="AB18" i="1"/>
  <c r="AB23" i="1"/>
  <c r="AA30" i="1"/>
  <c r="AA38" i="1"/>
  <c r="AB39" i="1"/>
  <c r="AB42" i="1"/>
  <c r="AA45" i="1"/>
  <c r="AB46" i="1"/>
  <c r="AC47" i="1"/>
  <c r="AA11" i="1"/>
  <c r="AC24" i="1"/>
  <c r="AA31" i="1"/>
  <c r="AB31" i="1"/>
  <c r="AA41" i="1"/>
  <c r="AB26" i="1"/>
  <c r="AA37" i="1"/>
  <c r="AB38" i="1"/>
  <c r="AC39" i="1"/>
  <c r="AC42" i="1"/>
  <c r="AB45" i="1"/>
  <c r="AC46" i="1"/>
  <c r="AC8" i="1"/>
  <c r="AB11" i="1"/>
  <c r="AA15" i="1"/>
  <c r="AA18" i="1"/>
  <c r="AC19" i="1"/>
  <c r="AA23" i="1"/>
  <c r="AC31" i="1"/>
  <c r="AA4" i="1"/>
  <c r="AC4" i="1"/>
  <c r="AB4" i="1"/>
  <c r="AC3" i="1"/>
  <c r="AB3" i="1"/>
  <c r="AA3" i="1"/>
  <c r="AA2" i="1"/>
  <c r="AC2" i="1"/>
  <c r="AB2" i="1"/>
  <c r="F3" i="17"/>
  <c r="AG107" i="1" l="1"/>
  <c r="AG115" i="1"/>
  <c r="AG87" i="1"/>
  <c r="AG112" i="1"/>
  <c r="AG52" i="1"/>
  <c r="AG50" i="1"/>
  <c r="AG91" i="1"/>
  <c r="AG109" i="1"/>
  <c r="AG66" i="1"/>
  <c r="AG99" i="1"/>
  <c r="AG53" i="1"/>
  <c r="AG61" i="1"/>
  <c r="AG69" i="1"/>
  <c r="AG93" i="1"/>
  <c r="AG94" i="1"/>
  <c r="AG103" i="1"/>
  <c r="AG82" i="1"/>
  <c r="AG111" i="1"/>
  <c r="AG68" i="1"/>
  <c r="AG113" i="1"/>
  <c r="AG102" i="1"/>
  <c r="AG110" i="1"/>
  <c r="AG97" i="1"/>
  <c r="AG101" i="1"/>
  <c r="AG55" i="1"/>
  <c r="AG63" i="1"/>
  <c r="AG71" i="1"/>
  <c r="AG95" i="1"/>
  <c r="AG56" i="1"/>
  <c r="AG79" i="1"/>
  <c r="AG104" i="1"/>
  <c r="AG49" i="1"/>
  <c r="AG105" i="1"/>
  <c r="AG57" i="1"/>
  <c r="AG65" i="1"/>
  <c r="AG64" i="1"/>
  <c r="AG89" i="1"/>
  <c r="AG81" i="1"/>
  <c r="AG106" i="1"/>
  <c r="AG114" i="1"/>
  <c r="AG73" i="1"/>
  <c r="AG72" i="1"/>
  <c r="AG30" i="1"/>
  <c r="AG37" i="1"/>
  <c r="AG15" i="1"/>
  <c r="AG42" i="1"/>
  <c r="AG33" i="1"/>
  <c r="AG18" i="1"/>
  <c r="AG7" i="1"/>
  <c r="AG16" i="1"/>
  <c r="AG23" i="1"/>
  <c r="AG35" i="1"/>
  <c r="AG34" i="1"/>
  <c r="AG3" i="1"/>
  <c r="AG46" i="1"/>
  <c r="AG21" i="1"/>
  <c r="AG45" i="1"/>
  <c r="AG4" i="1"/>
  <c r="AG26" i="1"/>
  <c r="AG39" i="1"/>
  <c r="AG47" i="1"/>
  <c r="AG24" i="1"/>
  <c r="AG17" i="1"/>
  <c r="AG36" i="1"/>
  <c r="AG22" i="1"/>
  <c r="AG28" i="1"/>
  <c r="AG9" i="1"/>
  <c r="AG13" i="1"/>
  <c r="AG8" i="1"/>
  <c r="AG12" i="1"/>
  <c r="AG43" i="1"/>
  <c r="AG27" i="1"/>
  <c r="AG38" i="1"/>
  <c r="AG31" i="1"/>
  <c r="AG5" i="1"/>
  <c r="AG44" i="1"/>
  <c r="AG14" i="1"/>
  <c r="AG48" i="1"/>
  <c r="AG32" i="1"/>
  <c r="AG25" i="1"/>
  <c r="AG6" i="1"/>
  <c r="AG19" i="1"/>
  <c r="AG11" i="1"/>
  <c r="AG20" i="1"/>
  <c r="AG10" i="1"/>
  <c r="AG40" i="1"/>
  <c r="AG29" i="1"/>
  <c r="AG41" i="1"/>
  <c r="AG2" i="1"/>
  <c r="AP1" i="1"/>
  <c r="AR6" i="1"/>
  <c r="AR3" i="1"/>
  <c r="AR4" i="1"/>
  <c r="AP5" i="1"/>
  <c r="AQ6" i="1"/>
  <c r="AK1" i="1" l="1"/>
  <c r="AK6" i="1"/>
  <c r="AK5" i="1"/>
  <c r="AQ4" i="1"/>
  <c r="AQ3" i="1"/>
  <c r="AP6" i="1"/>
  <c r="AL1" i="1" l="1"/>
  <c r="AM1" i="1"/>
  <c r="AN1" i="1"/>
  <c r="AO1" i="1"/>
  <c r="AO5" i="1"/>
  <c r="AL6" i="1"/>
  <c r="AM6" i="1"/>
  <c r="AO6" i="1"/>
  <c r="AL3" i="1"/>
  <c r="AN6" i="1"/>
  <c r="AL5" i="1"/>
  <c r="AN5" i="1"/>
  <c r="AM5" i="1"/>
  <c r="F7" i="17" l="1"/>
  <c r="F8" i="17" s="1"/>
  <c r="G8" i="17" s="1"/>
  <c r="F9" i="17" l="1"/>
  <c r="G9" i="17" s="1"/>
  <c r="G7" i="17"/>
  <c r="F10" i="17" l="1"/>
  <c r="G10" i="17" s="1"/>
  <c r="F11" i="17" l="1"/>
  <c r="G11" i="17" s="1"/>
  <c r="F12" i="17" l="1"/>
  <c r="G12" i="17" s="1"/>
  <c r="F13" i="17" l="1"/>
  <c r="G13" i="17" s="1"/>
  <c r="F14" i="17" l="1"/>
  <c r="G14" i="17" s="1"/>
  <c r="F15" i="17" l="1"/>
  <c r="G15" i="17" s="1"/>
  <c r="F16" i="17" l="1"/>
  <c r="G16" i="17" s="1"/>
  <c r="F17" i="17" l="1"/>
  <c r="G17" i="17" s="1"/>
  <c r="F18" i="17" l="1"/>
  <c r="G18" i="17" s="1"/>
  <c r="F19" i="17" l="1"/>
  <c r="G19" i="17" s="1"/>
  <c r="F20" i="17" l="1"/>
  <c r="G20" i="17" s="1"/>
  <c r="F21" i="17" l="1"/>
  <c r="G21" i="17" s="1"/>
  <c r="F22" i="17" l="1"/>
  <c r="G22" i="17" s="1"/>
  <c r="F23" i="17" l="1"/>
  <c r="G23" i="17" s="1"/>
  <c r="F24" i="17" l="1"/>
  <c r="G24" i="17" s="1"/>
  <c r="F25" i="17" l="1"/>
  <c r="G25" i="17" s="1"/>
  <c r="F26" i="17" l="1"/>
  <c r="G26" i="17" s="1"/>
  <c r="F27" i="17" l="1"/>
  <c r="G27" i="17" s="1"/>
  <c r="F28" i="17" l="1"/>
  <c r="G28" i="17" s="1"/>
  <c r="F29" i="17" l="1"/>
  <c r="G29" i="17" s="1"/>
  <c r="F30" i="17" l="1"/>
  <c r="G30" i="17" s="1"/>
  <c r="F31" i="17" l="1"/>
  <c r="G31" i="17" s="1"/>
  <c r="F32" i="17" l="1"/>
  <c r="G32" i="17" s="1"/>
  <c r="F33" i="17" l="1"/>
  <c r="G33" i="17" s="1"/>
  <c r="F34" i="17" l="1"/>
  <c r="G34" i="17" s="1"/>
  <c r="F35" i="17" l="1"/>
  <c r="G35" i="17" s="1"/>
  <c r="F36" i="17" l="1"/>
  <c r="G36" i="17" s="1"/>
  <c r="F37" i="17" l="1"/>
  <c r="G37" i="17" s="1"/>
  <c r="F38" i="17" l="1"/>
  <c r="G38" i="17" s="1"/>
  <c r="F39" i="17" l="1"/>
  <c r="G39" i="17" s="1"/>
  <c r="F40" i="17" l="1"/>
  <c r="G40" i="17" s="1"/>
  <c r="AM4" i="1"/>
  <c r="AK3" i="1"/>
  <c r="AP4" i="1"/>
  <c r="AK4" i="1"/>
  <c r="F41" i="17" l="1"/>
  <c r="G41" i="17" s="1"/>
  <c r="AO4" i="1"/>
  <c r="AN4" i="1"/>
  <c r="AN3" i="1"/>
  <c r="AP3" i="1"/>
  <c r="F42" i="17" l="1"/>
  <c r="G42" i="17" s="1"/>
  <c r="AL4" i="1"/>
  <c r="AO3" i="1"/>
  <c r="AM3" i="1"/>
  <c r="F43" i="17" l="1"/>
  <c r="G43" i="17" s="1"/>
  <c r="F44" i="17" l="1"/>
  <c r="G44" i="17" s="1"/>
  <c r="F45" i="17" l="1"/>
  <c r="G45" i="17" s="1"/>
  <c r="F46" i="17" l="1"/>
  <c r="G46" i="17" s="1"/>
  <c r="F47" i="17" l="1"/>
  <c r="G47" i="17" s="1"/>
  <c r="F48" i="17" l="1"/>
  <c r="G48" i="17" s="1"/>
  <c r="F49" i="17" l="1"/>
  <c r="G49" i="17" s="1"/>
  <c r="F50" i="17" l="1"/>
  <c r="G50" i="17" s="1"/>
  <c r="F51" i="17" l="1"/>
  <c r="G51" i="17" s="1"/>
  <c r="F52" i="17" l="1"/>
  <c r="G52" i="17" s="1"/>
  <c r="F53" i="17" l="1"/>
  <c r="G53" i="17" s="1"/>
  <c r="F54" i="17" l="1"/>
  <c r="G54" i="17" s="1"/>
  <c r="F55" i="17" l="1"/>
  <c r="G55" i="17" s="1"/>
  <c r="F56" i="17" l="1"/>
  <c r="G56" i="17" s="1"/>
  <c r="F57" i="17" l="1"/>
  <c r="G57" i="17" s="1"/>
  <c r="F58" i="17" l="1"/>
  <c r="G58" i="17" s="1"/>
  <c r="F59" i="17" l="1"/>
  <c r="G59" i="17" s="1"/>
  <c r="F60" i="17" l="1"/>
  <c r="G60" i="17" s="1"/>
  <c r="F61" i="17" l="1"/>
  <c r="G61" i="17" s="1"/>
  <c r="F62" i="17" l="1"/>
  <c r="G62" i="17" s="1"/>
  <c r="F63" i="17" l="1"/>
  <c r="G63" i="17" s="1"/>
  <c r="F64" i="17" l="1"/>
  <c r="G64" i="17" s="1"/>
  <c r="F65" i="17" l="1"/>
  <c r="G65" i="17" s="1"/>
  <c r="F66" i="17" l="1"/>
  <c r="G66" i="17" s="1"/>
  <c r="F67" i="17" l="1"/>
  <c r="G67" i="17" s="1"/>
  <c r="F68" i="17" l="1"/>
  <c r="G68" i="17" s="1"/>
  <c r="F69" i="17" l="1"/>
  <c r="G69" i="17" s="1"/>
  <c r="F70" i="17" l="1"/>
  <c r="G70" i="17" s="1"/>
  <c r="F71" i="17" l="1"/>
  <c r="G71" i="17" s="1"/>
  <c r="F72" i="17" l="1"/>
  <c r="G72" i="17" s="1"/>
  <c r="F73" i="17" l="1"/>
  <c r="G73" i="17" s="1"/>
  <c r="F74" i="17" l="1"/>
  <c r="G74" i="17" s="1"/>
  <c r="F75" i="17" l="1"/>
  <c r="G75" i="17" s="1"/>
  <c r="F76" i="17" l="1"/>
  <c r="G76" i="17" s="1"/>
  <c r="F77" i="17" l="1"/>
  <c r="G77" i="17" s="1"/>
  <c r="F78" i="17" l="1"/>
  <c r="G78" i="17" s="1"/>
  <c r="F79" i="17" l="1"/>
  <c r="G79" i="17" s="1"/>
  <c r="F80" i="17" l="1"/>
  <c r="G80" i="17" s="1"/>
  <c r="F81" i="17" l="1"/>
  <c r="G81" i="17" s="1"/>
  <c r="F82" i="17" l="1"/>
  <c r="G82" i="17" s="1"/>
  <c r="F83" i="17" l="1"/>
  <c r="G83" i="17" s="1"/>
  <c r="F84" i="17" l="1"/>
  <c r="G84" i="17" s="1"/>
  <c r="F85" i="17" l="1"/>
  <c r="G85" i="17" s="1"/>
  <c r="F86" i="17" l="1"/>
  <c r="G86" i="17" s="1"/>
  <c r="F87" i="17" l="1"/>
  <c r="G87" i="17" s="1"/>
  <c r="F88" i="17" l="1"/>
  <c r="G88" i="17" s="1"/>
  <c r="F89" i="17" l="1"/>
  <c r="G89" i="17" s="1"/>
  <c r="F90" i="17" l="1"/>
  <c r="G90" i="17" s="1"/>
  <c r="F91" i="17" l="1"/>
  <c r="G91" i="17" s="1"/>
  <c r="F92" i="17" l="1"/>
  <c r="G92" i="17" s="1"/>
  <c r="F93" i="17" l="1"/>
  <c r="G93" i="17" s="1"/>
  <c r="F94" i="17" l="1"/>
  <c r="G94" i="17" s="1"/>
  <c r="F95" i="17" l="1"/>
  <c r="G95" i="17" s="1"/>
  <c r="F96" i="17" l="1"/>
  <c r="G96" i="17" s="1"/>
  <c r="F97" i="17" l="1"/>
  <c r="G97" i="17" s="1"/>
  <c r="F98" i="17" l="1"/>
  <c r="G98" i="17" s="1"/>
  <c r="F99" i="17" l="1"/>
  <c r="G99" i="17" s="1"/>
  <c r="F100" i="17" l="1"/>
  <c r="G100" i="17" s="1"/>
  <c r="F101" i="17" l="1"/>
  <c r="G101" i="17" s="1"/>
  <c r="F102" i="17" l="1"/>
  <c r="G102" i="17" s="1"/>
  <c r="F103" i="17" l="1"/>
  <c r="G103" i="17" s="1"/>
  <c r="F104" i="17" l="1"/>
  <c r="G104" i="17" s="1"/>
  <c r="F105" i="17" l="1"/>
  <c r="G105" i="17" s="1"/>
  <c r="F106" i="17" l="1"/>
  <c r="G106" i="17" s="1"/>
  <c r="F107" i="17" l="1"/>
  <c r="G107" i="17" s="1"/>
  <c r="F108" i="17" l="1"/>
  <c r="G108" i="17" s="1"/>
  <c r="F109" i="17" l="1"/>
  <c r="G109" i="17" s="1"/>
  <c r="F110" i="17" l="1"/>
  <c r="G110" i="17" s="1"/>
  <c r="F111" i="17" l="1"/>
  <c r="G111" i="17" s="1"/>
  <c r="F112" i="17" l="1"/>
  <c r="G112" i="17" s="1"/>
  <c r="F113" i="17" l="1"/>
  <c r="G113" i="17" s="1"/>
  <c r="F114" i="17" l="1"/>
  <c r="G114" i="17" s="1"/>
  <c r="F115" i="17" l="1"/>
  <c r="G115" i="17" s="1"/>
  <c r="F116" i="17" l="1"/>
  <c r="G116" i="17" s="1"/>
  <c r="F117" i="17" l="1"/>
  <c r="G117" i="17" s="1"/>
  <c r="F118" i="17" l="1"/>
  <c r="G118" i="17" s="1"/>
  <c r="F119" i="17" l="1"/>
  <c r="G119" i="17" s="1"/>
  <c r="F120" i="17" l="1"/>
  <c r="G120" i="17" s="1"/>
  <c r="F121" i="17" l="1"/>
  <c r="G121" i="17" s="1"/>
  <c r="F122" i="17" l="1"/>
  <c r="G122" i="17" s="1"/>
  <c r="F123" i="17" l="1"/>
  <c r="G123" i="17" s="1"/>
  <c r="F124" i="17" l="1"/>
  <c r="G124" i="17" s="1"/>
  <c r="F125" i="17" l="1"/>
  <c r="G125" i="17" s="1"/>
  <c r="F126" i="17" l="1"/>
  <c r="G126" i="17" s="1"/>
  <c r="F127" i="17" l="1"/>
  <c r="G127" i="17" s="1"/>
  <c r="F128" i="17" l="1"/>
  <c r="G128" i="17" s="1"/>
  <c r="F129" i="17" l="1"/>
  <c r="G129" i="17" s="1"/>
  <c r="F130" i="17" l="1"/>
  <c r="G130" i="17" s="1"/>
  <c r="F131" i="17" l="1"/>
  <c r="G131" i="17" s="1"/>
  <c r="F132" i="17" l="1"/>
  <c r="G132" i="17" s="1"/>
  <c r="F133" i="17" l="1"/>
  <c r="G133" i="17" s="1"/>
  <c r="F134" i="17" l="1"/>
  <c r="G134" i="17" s="1"/>
  <c r="F135" i="17" l="1"/>
  <c r="G135" i="17" s="1"/>
  <c r="F136" i="17" l="1"/>
  <c r="G136" i="17" s="1"/>
  <c r="F137" i="17" l="1"/>
  <c r="G137" i="17" s="1"/>
  <c r="F138" i="17" l="1"/>
  <c r="G138" i="17" s="1"/>
  <c r="F139" i="17" l="1"/>
  <c r="G139" i="17" s="1"/>
  <c r="F140" i="17" l="1"/>
  <c r="G140" i="17" s="1"/>
  <c r="F141" i="17" l="1"/>
  <c r="G141" i="17" s="1"/>
  <c r="F142" i="17" l="1"/>
  <c r="G142" i="17" s="1"/>
  <c r="F143" i="17" l="1"/>
  <c r="G143" i="17" s="1"/>
  <c r="F144" i="17" l="1"/>
  <c r="G144" i="17" s="1"/>
  <c r="F145" i="17" l="1"/>
  <c r="G145" i="17" s="1"/>
  <c r="F146" i="17" l="1"/>
  <c r="G146" i="17" s="1"/>
  <c r="F147" i="17" l="1"/>
  <c r="G147" i="17" s="1"/>
  <c r="F148" i="17" l="1"/>
  <c r="G148" i="17" s="1"/>
  <c r="F149" i="17" l="1"/>
  <c r="G149" i="17" s="1"/>
  <c r="F150" i="17" l="1"/>
  <c r="G150" i="17" s="1"/>
  <c r="F151" i="17" l="1"/>
  <c r="G151" i="17" s="1"/>
  <c r="F152" i="17" l="1"/>
  <c r="G152" i="17" s="1"/>
  <c r="F153" i="17" l="1"/>
  <c r="G153" i="17" s="1"/>
  <c r="F154" i="17" l="1"/>
  <c r="G154" i="17" s="1"/>
  <c r="F155" i="17" l="1"/>
  <c r="G155" i="17" s="1"/>
  <c r="F156" i="17" l="1"/>
  <c r="G156" i="17" s="1"/>
  <c r="F157" i="17" l="1"/>
  <c r="G157" i="17" s="1"/>
  <c r="F158" i="17" l="1"/>
  <c r="G158" i="17" s="1"/>
  <c r="F159" i="17" l="1"/>
  <c r="G159" i="17" s="1"/>
  <c r="F160" i="17" l="1"/>
  <c r="G160" i="17" s="1"/>
  <c r="F161" i="17" l="1"/>
  <c r="G161" i="17" s="1"/>
  <c r="F162" i="17" l="1"/>
  <c r="G162" i="17" s="1"/>
  <c r="F163" i="17" l="1"/>
  <c r="G163" i="17" s="1"/>
  <c r="F164" i="17" l="1"/>
  <c r="G164" i="17" s="1"/>
  <c r="F165" i="17" l="1"/>
  <c r="G165" i="17" s="1"/>
  <c r="F166" i="17" l="1"/>
  <c r="G166" i="17" s="1"/>
  <c r="F167" i="17" l="1"/>
  <c r="G167" i="17" s="1"/>
  <c r="F168" i="17" l="1"/>
  <c r="G168" i="17" s="1"/>
  <c r="F169" i="17" l="1"/>
  <c r="G169" i="17" s="1"/>
  <c r="F170" i="17" l="1"/>
  <c r="G170" i="17" s="1"/>
  <c r="F171" i="17" l="1"/>
  <c r="G171" i="17" s="1"/>
  <c r="F172" i="17" l="1"/>
  <c r="G172" i="17" s="1"/>
  <c r="F173" i="17" l="1"/>
  <c r="G173" i="17" s="1"/>
  <c r="F174" i="17" l="1"/>
  <c r="G174" i="17" s="1"/>
  <c r="F175" i="17" l="1"/>
  <c r="G175" i="17" s="1"/>
  <c r="F176" i="17" l="1"/>
  <c r="G176" i="17" s="1"/>
  <c r="F177" i="17" l="1"/>
  <c r="G177" i="17" s="1"/>
  <c r="F178" i="17" l="1"/>
  <c r="G178" i="17" s="1"/>
  <c r="F179" i="17" l="1"/>
  <c r="G179" i="17" s="1"/>
  <c r="F180" i="17" l="1"/>
  <c r="G180" i="17" s="1"/>
  <c r="F181" i="17" l="1"/>
  <c r="G181" i="17" s="1"/>
  <c r="F182" i="17" l="1"/>
  <c r="G182" i="17" s="1"/>
  <c r="F183" i="17" l="1"/>
  <c r="G183" i="17" s="1"/>
  <c r="F184" i="17" l="1"/>
  <c r="G184" i="17" s="1"/>
  <c r="F185" i="17" l="1"/>
  <c r="G185" i="17" s="1"/>
  <c r="F186" i="17" l="1"/>
  <c r="G186" i="17" s="1"/>
  <c r="F187" i="17" l="1"/>
  <c r="G187" i="17" s="1"/>
  <c r="F188" i="17" l="1"/>
  <c r="G188" i="17" s="1"/>
  <c r="F189" i="17" l="1"/>
  <c r="G189" i="17" s="1"/>
  <c r="F190" i="17" l="1"/>
  <c r="G190" i="17" s="1"/>
  <c r="F191" i="17" l="1"/>
  <c r="G191" i="17" s="1"/>
  <c r="F192" i="17" l="1"/>
  <c r="G192" i="17" s="1"/>
  <c r="F193" i="17" l="1"/>
  <c r="G193" i="17" s="1"/>
  <c r="F194" i="17" l="1"/>
  <c r="G194" i="17" s="1"/>
  <c r="F195" i="17" l="1"/>
  <c r="G195" i="17" s="1"/>
  <c r="F196" i="17" l="1"/>
  <c r="G196" i="17" s="1"/>
  <c r="F197" i="17" l="1"/>
  <c r="G197" i="17" s="1"/>
  <c r="F198" i="17" l="1"/>
  <c r="G198" i="17" s="1"/>
  <c r="F199" i="17" l="1"/>
  <c r="G199" i="17" s="1"/>
  <c r="F200" i="17" l="1"/>
  <c r="G200" i="17" s="1"/>
  <c r="F201" i="17" l="1"/>
  <c r="G201" i="17" s="1"/>
  <c r="F202" i="17" l="1"/>
  <c r="G202" i="17" s="1"/>
  <c r="F203" i="17" l="1"/>
  <c r="G203" i="17" s="1"/>
  <c r="F204" i="17" l="1"/>
  <c r="G204" i="17" s="1"/>
  <c r="F205" i="17" l="1"/>
  <c r="G205" i="17" s="1"/>
  <c r="F206" i="17" l="1"/>
  <c r="G206" i="17" s="1"/>
  <c r="F207" i="17" l="1"/>
  <c r="G207" i="17" s="1"/>
  <c r="F208" i="17" l="1"/>
  <c r="G208" i="17" s="1"/>
  <c r="F209" i="17" l="1"/>
  <c r="G209" i="17" s="1"/>
  <c r="F210" i="17" l="1"/>
  <c r="G210" i="17" s="1"/>
  <c r="F211" i="17" l="1"/>
  <c r="G211" i="17" s="1"/>
  <c r="F212" i="17" l="1"/>
  <c r="G212" i="17" s="1"/>
  <c r="F213" i="17" l="1"/>
  <c r="G213" i="17" s="1"/>
  <c r="F214" i="17" l="1"/>
  <c r="G214" i="17" s="1"/>
  <c r="F215" i="17" l="1"/>
  <c r="G215" i="17" s="1"/>
  <c r="F216" i="17" l="1"/>
  <c r="G216" i="17" s="1"/>
  <c r="F217" i="17" l="1"/>
  <c r="G217" i="17" s="1"/>
  <c r="F218" i="17" l="1"/>
  <c r="G218" i="17" s="1"/>
  <c r="F219" i="17" l="1"/>
  <c r="G219" i="17" s="1"/>
  <c r="F220" i="17" l="1"/>
  <c r="G220" i="17" s="1"/>
  <c r="F221" i="17" l="1"/>
  <c r="G221" i="17" s="1"/>
  <c r="F222" i="17" l="1"/>
  <c r="G222" i="17" s="1"/>
  <c r="F223" i="17" l="1"/>
  <c r="G223" i="17" s="1"/>
  <c r="F224" i="17" l="1"/>
  <c r="G224" i="17" s="1"/>
  <c r="F225" i="17" l="1"/>
  <c r="G225" i="17" s="1"/>
  <c r="F226" i="17" l="1"/>
  <c r="G226" i="17" s="1"/>
  <c r="F227" i="17" l="1"/>
  <c r="G227" i="17" s="1"/>
  <c r="F228" i="17" l="1"/>
  <c r="G228" i="17" s="1"/>
  <c r="F229" i="17" l="1"/>
  <c r="G229" i="17" s="1"/>
  <c r="F230" i="17" l="1"/>
  <c r="G230" i="17" s="1"/>
  <c r="F231" i="17" l="1"/>
  <c r="G231" i="17" s="1"/>
  <c r="F232" i="17" l="1"/>
  <c r="G232" i="17" s="1"/>
  <c r="F233" i="17" l="1"/>
  <c r="G233" i="17" s="1"/>
  <c r="F234" i="17" l="1"/>
  <c r="G234" i="17" s="1"/>
  <c r="F235" i="17" l="1"/>
  <c r="G235" i="17" s="1"/>
  <c r="F236" i="17" l="1"/>
  <c r="G236" i="17" s="1"/>
  <c r="F237" i="17" l="1"/>
  <c r="G237" i="17" s="1"/>
  <c r="F238" i="17" l="1"/>
  <c r="G238" i="17" s="1"/>
  <c r="F239" i="17" l="1"/>
  <c r="G239" i="17" s="1"/>
  <c r="F240" i="17" l="1"/>
  <c r="G240" i="17" s="1"/>
  <c r="F241" i="17" l="1"/>
  <c r="G241" i="17" s="1"/>
  <c r="F242" i="17" l="1"/>
  <c r="G242" i="17" s="1"/>
  <c r="F243" i="17" l="1"/>
  <c r="G243" i="17" s="1"/>
  <c r="F244" i="17" l="1"/>
  <c r="G244" i="17" s="1"/>
  <c r="F245" i="17" l="1"/>
  <c r="G245" i="17" s="1"/>
  <c r="F246" i="17" l="1"/>
  <c r="G246" i="17" s="1"/>
  <c r="F247" i="17" l="1"/>
  <c r="G247" i="17" s="1"/>
  <c r="F248" i="17" l="1"/>
  <c r="G248" i="17" s="1"/>
  <c r="F249" i="17" l="1"/>
  <c r="G249" i="17" s="1"/>
  <c r="F250" i="17" l="1"/>
  <c r="G250" i="17" s="1"/>
  <c r="F251" i="17" l="1"/>
  <c r="G251" i="17" s="1"/>
  <c r="F252" i="17" l="1"/>
  <c r="G252" i="17" s="1"/>
  <c r="F253" i="17" l="1"/>
  <c r="G253" i="17" s="1"/>
  <c r="F254" i="17" l="1"/>
  <c r="G254" i="17" s="1"/>
  <c r="F255" i="17" l="1"/>
  <c r="G255" i="17" s="1"/>
  <c r="F256" i="17" l="1"/>
  <c r="G256" i="17" s="1"/>
  <c r="F257" i="17" l="1"/>
  <c r="G257" i="17" s="1"/>
  <c r="F258" i="17" l="1"/>
  <c r="G258" i="17" s="1"/>
  <c r="F259" i="17" l="1"/>
  <c r="G259" i="17" s="1"/>
  <c r="F260" i="17" l="1"/>
  <c r="G260" i="17" s="1"/>
  <c r="F261" i="17" l="1"/>
  <c r="G261" i="17" s="1"/>
  <c r="F262" i="17" l="1"/>
  <c r="G262" i="17" s="1"/>
  <c r="F263" i="17" l="1"/>
  <c r="G263" i="17" s="1"/>
  <c r="F264" i="17" l="1"/>
  <c r="G264" i="17" s="1"/>
  <c r="F265" i="17" l="1"/>
  <c r="G265" i="17" s="1"/>
  <c r="F266" i="17" l="1"/>
  <c r="G266" i="17" s="1"/>
  <c r="F267" i="17" l="1"/>
  <c r="G267" i="17" s="1"/>
  <c r="F268" i="17" l="1"/>
  <c r="G268" i="17" s="1"/>
  <c r="F269" i="17" l="1"/>
  <c r="G269" i="17" s="1"/>
  <c r="F270" i="17" l="1"/>
  <c r="G270" i="17" s="1"/>
  <c r="F271" i="17" l="1"/>
  <c r="G271" i="17" s="1"/>
  <c r="F272" i="17" l="1"/>
  <c r="G272" i="17" s="1"/>
  <c r="F273" i="17" l="1"/>
  <c r="G273" i="17" s="1"/>
  <c r="F274" i="17" l="1"/>
  <c r="G274" i="17" s="1"/>
  <c r="F275" i="17" l="1"/>
  <c r="G275" i="17" s="1"/>
  <c r="F276" i="17" l="1"/>
  <c r="G276" i="17" s="1"/>
  <c r="F277" i="17" l="1"/>
  <c r="G277" i="17" s="1"/>
  <c r="F278" i="17" l="1"/>
  <c r="G278" i="17" s="1"/>
  <c r="F279" i="17" l="1"/>
  <c r="G279" i="17" s="1"/>
  <c r="F280" i="17" l="1"/>
  <c r="G280" i="17" s="1"/>
  <c r="F281" i="17" l="1"/>
  <c r="G281" i="17" s="1"/>
  <c r="F282" i="17" l="1"/>
  <c r="G282" i="17" s="1"/>
  <c r="F283" i="17" l="1"/>
  <c r="G283" i="17" s="1"/>
  <c r="F284" i="17" l="1"/>
  <c r="G284" i="17" s="1"/>
  <c r="F285" i="17" l="1"/>
  <c r="G285" i="17" s="1"/>
  <c r="F286" i="17" l="1"/>
  <c r="G286" i="17" s="1"/>
  <c r="F287" i="17" l="1"/>
  <c r="G287" i="17" s="1"/>
  <c r="F288" i="17" l="1"/>
  <c r="G288" i="17" s="1"/>
  <c r="F289" i="17" l="1"/>
  <c r="G289" i="17" s="1"/>
  <c r="F290" i="17" l="1"/>
  <c r="G290" i="17" s="1"/>
  <c r="F291" i="17" l="1"/>
  <c r="G291" i="17" s="1"/>
  <c r="F292" i="17" l="1"/>
  <c r="G292" i="17" s="1"/>
  <c r="F293" i="17" l="1"/>
  <c r="G293" i="17" s="1"/>
  <c r="F294" i="17" l="1"/>
  <c r="G294" i="17" s="1"/>
  <c r="F295" i="17" l="1"/>
  <c r="G295" i="17" s="1"/>
  <c r="F296" i="17" l="1"/>
  <c r="G296" i="17" s="1"/>
  <c r="F297" i="17" l="1"/>
  <c r="G297" i="17" s="1"/>
  <c r="F298" i="17" l="1"/>
  <c r="G298" i="17" s="1"/>
  <c r="F299" i="17" l="1"/>
  <c r="G299" i="17" s="1"/>
  <c r="F300" i="17" l="1"/>
  <c r="G300" i="17" s="1"/>
  <c r="F301" i="17" l="1"/>
  <c r="G301" i="17" s="1"/>
  <c r="F302" i="17" l="1"/>
  <c r="G302" i="17" s="1"/>
  <c r="F303" i="17" l="1"/>
  <c r="G303" i="17" s="1"/>
  <c r="F304" i="17" l="1"/>
  <c r="G304" i="17" s="1"/>
  <c r="F305" i="17" l="1"/>
  <c r="G305" i="17" s="1"/>
  <c r="F306" i="17" l="1"/>
  <c r="G306" i="17" s="1"/>
  <c r="F307" i="17" l="1"/>
  <c r="G307" i="17" s="1"/>
  <c r="F308" i="17" l="1"/>
  <c r="G308" i="17" s="1"/>
  <c r="F309" i="17" l="1"/>
  <c r="G309" i="17" s="1"/>
  <c r="F310" i="17" l="1"/>
  <c r="G310" i="17" s="1"/>
  <c r="F311" i="17" l="1"/>
  <c r="G311" i="17" s="1"/>
  <c r="F312" i="17" l="1"/>
  <c r="G312" i="17" s="1"/>
  <c r="F313" i="17" l="1"/>
  <c r="G313" i="17" s="1"/>
  <c r="F314" i="17" l="1"/>
  <c r="G314" i="17" s="1"/>
  <c r="F315" i="17" l="1"/>
  <c r="G315" i="17" s="1"/>
  <c r="F316" i="17" l="1"/>
  <c r="G316" i="17" s="1"/>
  <c r="F317" i="17" l="1"/>
  <c r="G317" i="17" s="1"/>
  <c r="F318" i="17" l="1"/>
  <c r="G318" i="17" s="1"/>
  <c r="F319" i="17" l="1"/>
  <c r="G319" i="17" s="1"/>
  <c r="F320" i="17" l="1"/>
  <c r="G320" i="17" s="1"/>
  <c r="F321" i="17" l="1"/>
  <c r="G321" i="17" s="1"/>
  <c r="F322" i="17" l="1"/>
  <c r="G322" i="17" s="1"/>
  <c r="F323" i="17" l="1"/>
  <c r="G323" i="17" s="1"/>
  <c r="F324" i="17" l="1"/>
  <c r="G324" i="17" s="1"/>
  <c r="F325" i="17" l="1"/>
  <c r="G325" i="17" s="1"/>
  <c r="F326" i="17" l="1"/>
  <c r="G326" i="17" s="1"/>
  <c r="F327" i="17" l="1"/>
  <c r="G327" i="17" s="1"/>
  <c r="F328" i="17" l="1"/>
  <c r="G328" i="17" s="1"/>
  <c r="F329" i="17" l="1"/>
  <c r="G329" i="17" s="1"/>
  <c r="F330" i="17" l="1"/>
  <c r="G330" i="17" s="1"/>
  <c r="F331" i="17" l="1"/>
  <c r="G331" i="17" s="1"/>
  <c r="F332" i="17" l="1"/>
  <c r="G332" i="17" s="1"/>
  <c r="F333" i="17" l="1"/>
  <c r="G333" i="17" s="1"/>
  <c r="F334" i="17" l="1"/>
  <c r="G334" i="17" s="1"/>
  <c r="F335" i="17" l="1"/>
  <c r="G335" i="17" s="1"/>
  <c r="F336" i="17" l="1"/>
  <c r="G336" i="17" s="1"/>
  <c r="F337" i="17" l="1"/>
  <c r="G337" i="17" s="1"/>
  <c r="F338" i="17" l="1"/>
  <c r="G338" i="17" s="1"/>
  <c r="F339" i="17" l="1"/>
  <c r="G339" i="17" s="1"/>
  <c r="F340" i="17" l="1"/>
  <c r="G340" i="17" s="1"/>
  <c r="F341" i="17" l="1"/>
  <c r="G341" i="17" s="1"/>
  <c r="F342" i="17" l="1"/>
  <c r="G342" i="17" s="1"/>
  <c r="F343" i="17" l="1"/>
  <c r="G343" i="17" s="1"/>
  <c r="F344" i="17" l="1"/>
  <c r="G344" i="17" s="1"/>
  <c r="F345" i="17" l="1"/>
  <c r="G345" i="17" s="1"/>
  <c r="F346" i="17" l="1"/>
  <c r="G346" i="17" s="1"/>
  <c r="F347" i="17" l="1"/>
  <c r="G347" i="17" s="1"/>
  <c r="F348" i="17" l="1"/>
  <c r="G348" i="17" s="1"/>
  <c r="F349" i="17" l="1"/>
  <c r="G349" i="17" s="1"/>
  <c r="F350" i="17" l="1"/>
  <c r="G350" i="17" s="1"/>
  <c r="F351" i="17" l="1"/>
  <c r="G351" i="17" s="1"/>
  <c r="F352" i="17" l="1"/>
  <c r="G352" i="17" s="1"/>
  <c r="F353" i="17" l="1"/>
  <c r="G353" i="17" s="1"/>
  <c r="F354" i="17" l="1"/>
  <c r="G354" i="17" s="1"/>
  <c r="F355" i="17" l="1"/>
  <c r="G355" i="17" s="1"/>
  <c r="F356" i="17" l="1"/>
  <c r="G356" i="17" s="1"/>
  <c r="F357" i="17" l="1"/>
  <c r="G357" i="17" s="1"/>
  <c r="F358" i="17" l="1"/>
  <c r="G358" i="17" s="1"/>
  <c r="F359" i="17" l="1"/>
  <c r="G359" i="17" s="1"/>
  <c r="F360" i="17" l="1"/>
  <c r="G360" i="17" s="1"/>
  <c r="F361" i="17" l="1"/>
  <c r="G361" i="17" s="1"/>
  <c r="F362" i="17" l="1"/>
  <c r="G362" i="17" s="1"/>
  <c r="F363" i="17" l="1"/>
  <c r="G363" i="17" s="1"/>
  <c r="F364" i="17" l="1"/>
  <c r="G364" i="17" s="1"/>
  <c r="F365" i="17" l="1"/>
  <c r="G365" i="17" s="1"/>
  <c r="F366" i="17" l="1"/>
  <c r="G366" i="17" s="1"/>
  <c r="F367" i="17" l="1"/>
  <c r="G367" i="17" s="1"/>
  <c r="F368" i="17" l="1"/>
  <c r="G368" i="17" s="1"/>
  <c r="F369" i="17" l="1"/>
  <c r="G369" i="17" s="1"/>
  <c r="F370" i="17" l="1"/>
  <c r="G370" i="17" s="1"/>
  <c r="F371" i="17" l="1"/>
  <c r="G371" i="17" s="1"/>
  <c r="F372" i="17" l="1"/>
  <c r="G372" i="17" s="1"/>
  <c r="F373" i="17" l="1"/>
  <c r="G373" i="17" s="1"/>
  <c r="F374" i="17" l="1"/>
  <c r="G374" i="17" s="1"/>
  <c r="F375" i="17" l="1"/>
  <c r="G375" i="17" s="1"/>
  <c r="F376" i="17" l="1"/>
  <c r="G376" i="17" s="1"/>
  <c r="F377" i="17" l="1"/>
  <c r="G377" i="17" s="1"/>
  <c r="F378" i="17" l="1"/>
  <c r="G378" i="17" s="1"/>
  <c r="F379" i="17" l="1"/>
  <c r="G379" i="17" s="1"/>
  <c r="F380" i="17" l="1"/>
  <c r="G380" i="17" s="1"/>
  <c r="F381" i="17" l="1"/>
  <c r="G381" i="17" s="1"/>
  <c r="F382" i="17" l="1"/>
  <c r="G382" i="17" s="1"/>
  <c r="F383" i="17" l="1"/>
  <c r="G383" i="17" s="1"/>
  <c r="F384" i="17" l="1"/>
  <c r="G384" i="17" s="1"/>
  <c r="F385" i="17" l="1"/>
  <c r="G385" i="17" s="1"/>
  <c r="F386" i="17" l="1"/>
  <c r="G386" i="17" s="1"/>
  <c r="F387" i="17" l="1"/>
  <c r="G387" i="17" s="1"/>
  <c r="F388" i="17" l="1"/>
  <c r="G388" i="17" s="1"/>
  <c r="F389" i="17" l="1"/>
  <c r="G389" i="17" s="1"/>
  <c r="F390" i="17" l="1"/>
  <c r="G390" i="17" s="1"/>
  <c r="F391" i="17" l="1"/>
  <c r="G391" i="17" s="1"/>
  <c r="F392" i="17" l="1"/>
  <c r="G392" i="17" s="1"/>
  <c r="F393" i="17" l="1"/>
  <c r="G393" i="17" s="1"/>
  <c r="F394" i="17" l="1"/>
  <c r="G394" i="17" s="1"/>
  <c r="F395" i="17" l="1"/>
  <c r="G395" i="17" s="1"/>
  <c r="F396" i="17" l="1"/>
  <c r="G396" i="17" s="1"/>
  <c r="F397" i="17" l="1"/>
  <c r="G397" i="17" s="1"/>
  <c r="F398" i="17" l="1"/>
  <c r="G398" i="17" s="1"/>
  <c r="F399" i="17" l="1"/>
  <c r="G399" i="17" s="1"/>
  <c r="F400" i="17" l="1"/>
  <c r="G400" i="17" s="1"/>
  <c r="F401" i="17" l="1"/>
  <c r="G401" i="17" s="1"/>
  <c r="F402" i="17" l="1"/>
  <c r="G402" i="17" s="1"/>
  <c r="F403" i="17" l="1"/>
  <c r="G403" i="17" s="1"/>
  <c r="F404" i="17" l="1"/>
  <c r="G404" i="17" s="1"/>
  <c r="F405" i="17" l="1"/>
  <c r="G405" i="17" s="1"/>
  <c r="F406" i="17" l="1"/>
  <c r="G406" i="17" s="1"/>
  <c r="F407" i="17" l="1"/>
  <c r="G407" i="17" s="1"/>
  <c r="F408" i="17" l="1"/>
  <c r="G408" i="17" s="1"/>
  <c r="F409" i="17" l="1"/>
  <c r="G409" i="17" s="1"/>
  <c r="F410" i="17" l="1"/>
  <c r="G410" i="17" s="1"/>
  <c r="F411" i="17" l="1"/>
  <c r="G411" i="17" s="1"/>
  <c r="F412" i="17" l="1"/>
  <c r="G412" i="17" s="1"/>
  <c r="F413" i="17" l="1"/>
  <c r="G413" i="17" s="1"/>
  <c r="F414" i="17" l="1"/>
  <c r="G414" i="17" s="1"/>
  <c r="F415" i="17" l="1"/>
  <c r="G415" i="17" s="1"/>
  <c r="F416" i="17" l="1"/>
  <c r="G416" i="17" s="1"/>
  <c r="F417" i="17" l="1"/>
  <c r="G417" i="17" s="1"/>
  <c r="F418" i="17" l="1"/>
  <c r="G418" i="17" s="1"/>
  <c r="F419" i="17" l="1"/>
  <c r="G419" i="17" s="1"/>
  <c r="F420" i="17" l="1"/>
  <c r="G420" i="17" s="1"/>
  <c r="F421" i="17" l="1"/>
  <c r="G421" i="17" s="1"/>
  <c r="F422" i="17" l="1"/>
  <c r="G422" i="17" s="1"/>
  <c r="F423" i="17" l="1"/>
  <c r="G423" i="17" s="1"/>
  <c r="F424" i="17" l="1"/>
  <c r="G424" i="17" s="1"/>
  <c r="F425" i="17" l="1"/>
  <c r="G425" i="17" s="1"/>
  <c r="F426" i="17" l="1"/>
  <c r="G426" i="17" s="1"/>
  <c r="F427" i="17" l="1"/>
  <c r="G427" i="17" s="1"/>
  <c r="F428" i="17" l="1"/>
  <c r="G428" i="17" s="1"/>
  <c r="F429" i="17" l="1"/>
  <c r="G429" i="17" s="1"/>
  <c r="F430" i="17" l="1"/>
  <c r="G430" i="17" s="1"/>
  <c r="F431" i="17" l="1"/>
  <c r="G431" i="17" s="1"/>
  <c r="F432" i="17" l="1"/>
  <c r="G432" i="17" s="1"/>
  <c r="F433" i="17" l="1"/>
  <c r="G433" i="17" s="1"/>
  <c r="F434" i="17" l="1"/>
  <c r="G434" i="17" s="1"/>
  <c r="F435" i="17" l="1"/>
  <c r="G435" i="17" s="1"/>
  <c r="F436" i="17" l="1"/>
  <c r="G436" i="17" s="1"/>
  <c r="F437" i="17" l="1"/>
  <c r="G437" i="17" s="1"/>
  <c r="F438" i="17" l="1"/>
  <c r="G438" i="17" s="1"/>
  <c r="F439" i="17" l="1"/>
  <c r="G439" i="17" s="1"/>
  <c r="F440" i="17" l="1"/>
  <c r="G440" i="17" s="1"/>
  <c r="F441" i="17" l="1"/>
  <c r="G441" i="17" s="1"/>
  <c r="F442" i="17" l="1"/>
  <c r="G442" i="17" s="1"/>
  <c r="F443" i="17" l="1"/>
  <c r="G443" i="17" s="1"/>
  <c r="F444" i="17" l="1"/>
  <c r="G444" i="17" s="1"/>
  <c r="F445" i="17" l="1"/>
  <c r="G445" i="17" s="1"/>
  <c r="F446" i="17" l="1"/>
  <c r="G446" i="17" s="1"/>
  <c r="F447" i="17" l="1"/>
  <c r="G447" i="17" s="1"/>
  <c r="F448" i="17" l="1"/>
  <c r="G448" i="17" s="1"/>
  <c r="F449" i="17" l="1"/>
  <c r="G449" i="17" s="1"/>
  <c r="F450" i="17" l="1"/>
  <c r="G450" i="17" s="1"/>
  <c r="F451" i="17" l="1"/>
  <c r="G451" i="17" s="1"/>
  <c r="F452" i="17" l="1"/>
  <c r="G452" i="17" s="1"/>
  <c r="F453" i="17" l="1"/>
  <c r="G453" i="17" s="1"/>
  <c r="F454" i="17" l="1"/>
  <c r="G454" i="17" s="1"/>
  <c r="F455" i="17" l="1"/>
  <c r="G455" i="17" s="1"/>
  <c r="F456" i="17" l="1"/>
  <c r="G456" i="17" s="1"/>
  <c r="F457" i="17" l="1"/>
  <c r="G457" i="17" s="1"/>
  <c r="F458" i="17" l="1"/>
  <c r="G458" i="17" s="1"/>
  <c r="F459" i="17" l="1"/>
  <c r="G459" i="17" s="1"/>
  <c r="F460" i="17" l="1"/>
  <c r="G460" i="17" s="1"/>
  <c r="F461" i="17" l="1"/>
  <c r="G461" i="17" s="1"/>
  <c r="F462" i="17" l="1"/>
  <c r="G462" i="17" s="1"/>
  <c r="F463" i="17" l="1"/>
  <c r="G463" i="17" s="1"/>
  <c r="F464" i="17" l="1"/>
  <c r="G464" i="17" s="1"/>
  <c r="F465" i="17" l="1"/>
  <c r="G465" i="17" s="1"/>
  <c r="F466" i="17" l="1"/>
  <c r="G466" i="17" s="1"/>
  <c r="F467" i="17" l="1"/>
  <c r="G467" i="17" s="1"/>
  <c r="F468" i="17" l="1"/>
  <c r="G468" i="17" s="1"/>
  <c r="F469" i="17" l="1"/>
  <c r="G469" i="17" s="1"/>
  <c r="F470" i="17" l="1"/>
  <c r="G470" i="17" s="1"/>
  <c r="F471" i="17" l="1"/>
  <c r="G471" i="17" s="1"/>
  <c r="F472" i="17" l="1"/>
  <c r="G472" i="17" s="1"/>
  <c r="F473" i="17" l="1"/>
  <c r="G473" i="17" s="1"/>
  <c r="F474" i="17" l="1"/>
  <c r="G474" i="17" s="1"/>
  <c r="F475" i="17" l="1"/>
  <c r="G475" i="17" s="1"/>
  <c r="F476" i="17" l="1"/>
  <c r="G476" i="17" s="1"/>
  <c r="F477" i="17" l="1"/>
  <c r="G477" i="17" s="1"/>
  <c r="F478" i="17" l="1"/>
  <c r="G478" i="17" s="1"/>
  <c r="F479" i="17" l="1"/>
  <c r="G479" i="17" s="1"/>
  <c r="F480" i="17" l="1"/>
  <c r="G480" i="17" s="1"/>
  <c r="F481" i="17" l="1"/>
  <c r="G481" i="17" s="1"/>
  <c r="F482" i="17" l="1"/>
  <c r="G482" i="17" s="1"/>
  <c r="F483" i="17" l="1"/>
  <c r="G483" i="17" s="1"/>
  <c r="F484" i="17" l="1"/>
  <c r="G484" i="17" s="1"/>
  <c r="F485" i="17" l="1"/>
  <c r="G485" i="17" s="1"/>
  <c r="F486" i="17" l="1"/>
  <c r="G486" i="17" s="1"/>
  <c r="F487" i="17" l="1"/>
  <c r="G487" i="17" s="1"/>
  <c r="F488" i="17" l="1"/>
  <c r="G488" i="17" s="1"/>
  <c r="F489" i="17" l="1"/>
  <c r="G489" i="17" s="1"/>
  <c r="F490" i="17" l="1"/>
  <c r="G490" i="17" s="1"/>
  <c r="F491" i="17" l="1"/>
  <c r="G491" i="17" s="1"/>
  <c r="F492" i="17" l="1"/>
  <c r="G492" i="17" s="1"/>
  <c r="F493" i="17" l="1"/>
  <c r="G493" i="17" s="1"/>
  <c r="F494" i="17" l="1"/>
  <c r="G494" i="17" s="1"/>
  <c r="F495" i="17" l="1"/>
  <c r="G495" i="17" s="1"/>
  <c r="F496" i="17" l="1"/>
  <c r="G496" i="17" s="1"/>
  <c r="F497" i="17" l="1"/>
  <c r="G497" i="17" s="1"/>
  <c r="F498" i="17" l="1"/>
  <c r="G498" i="17" s="1"/>
  <c r="F499" i="17" l="1"/>
  <c r="G499" i="17" s="1"/>
  <c r="F500" i="17" l="1"/>
  <c r="G500" i="17" s="1"/>
  <c r="F501" i="17" l="1"/>
  <c r="G501" i="17" s="1"/>
  <c r="F502" i="17" l="1"/>
  <c r="G502" i="17" s="1"/>
  <c r="F503" i="17" l="1"/>
  <c r="G503" i="17" s="1"/>
  <c r="F504" i="17" l="1"/>
  <c r="G504" i="17" s="1"/>
  <c r="F505" i="17" l="1"/>
  <c r="G505" i="17" s="1"/>
  <c r="F506" i="17" l="1"/>
  <c r="G506" i="17" s="1"/>
  <c r="F507" i="17" l="1"/>
  <c r="G507" i="17" s="1"/>
  <c r="F508" i="17" l="1"/>
  <c r="G508" i="17" s="1"/>
</calcChain>
</file>

<file path=xl/comments1.xml><?xml version="1.0" encoding="utf-8"?>
<comments xmlns="http://schemas.openxmlformats.org/spreadsheetml/2006/main">
  <authors>
    <author>Justin Nielson</author>
  </authors>
  <commentList>
    <comment ref="F1" authorId="0" shapeId="0">
      <text>
        <r>
          <rPr>
            <sz val="14"/>
            <color indexed="81"/>
            <rFont val="Tahoma"/>
            <family val="2"/>
          </rPr>
          <t xml:space="preserve">Note 1: Multiple labels must be delimited by comma
Note 2: If you want to solve for all of one toolpoint number, apply a label to all the data.  Each label is automatically divided by toolpoint.  (i.e. add a label called "All" and solve for "All_TP10") </t>
        </r>
      </text>
    </comment>
  </commentList>
</comments>
</file>

<file path=xl/comments2.xml><?xml version="1.0" encoding="utf-8"?>
<comments xmlns="http://schemas.openxmlformats.org/spreadsheetml/2006/main">
  <authors>
    <author>justinn</author>
    <author>Justin Nielson</author>
  </authors>
  <commentList>
    <comment ref="G58" authorId="0" shapeId="0">
      <text>
        <r>
          <rPr>
            <b/>
            <sz val="12"/>
            <color indexed="81"/>
            <rFont val="Tahoma"/>
            <family val="2"/>
          </rPr>
          <t>For Auto Scale on Charts:
Set to zero, run macro</t>
        </r>
        <r>
          <rPr>
            <sz val="12"/>
            <color indexed="81"/>
            <rFont val="Tahoma"/>
            <family val="2"/>
          </rPr>
          <t xml:space="preserve">
</t>
        </r>
      </text>
    </comment>
    <comment ref="W58" authorId="1" shapeId="0">
      <text>
        <r>
          <rPr>
            <b/>
            <sz val="11"/>
            <color indexed="81"/>
            <rFont val="Tahoma"/>
            <family val="2"/>
          </rPr>
          <t>Can display series by TP or by assigned Axis labels</t>
        </r>
      </text>
    </comment>
    <comment ref="G59" authorId="0" shapeId="0">
      <text>
        <r>
          <rPr>
            <b/>
            <sz val="12"/>
            <color indexed="81"/>
            <rFont val="Tahoma"/>
            <family val="2"/>
          </rPr>
          <t>Set to "Yes" to adjust range on all sheets with charts.
Will skip charts on any sheet where this is not set to "Yes"</t>
        </r>
      </text>
    </comment>
    <comment ref="H61" authorId="1" shapeId="0">
      <text>
        <r>
          <rPr>
            <b/>
            <sz val="12"/>
            <color indexed="81"/>
            <rFont val="Tahoma"/>
            <family val="2"/>
          </rPr>
          <t>Note 1: each machine axis must have a named range on the "Data" worksheet or a scatter plot of that machine axis will not be displayed, use the button on the "Data" sheet to create named ranges (named ranges will be the same as column heading)
Note 2: in the matrix below, any blank cell will not show the data with the corresponding "label" on the corresponding Axis.  Any non-blank value will display the data.</t>
        </r>
        <r>
          <rPr>
            <sz val="12"/>
            <color indexed="81"/>
            <rFont val="Tahoma"/>
            <family val="2"/>
          </rPr>
          <t xml:space="preserve">
</t>
        </r>
      </text>
    </comment>
  </commentList>
</comments>
</file>

<file path=xl/comments3.xml><?xml version="1.0" encoding="utf-8"?>
<comments xmlns="http://schemas.openxmlformats.org/spreadsheetml/2006/main">
  <authors>
    <author>justinn</author>
  </authors>
  <commentList>
    <comment ref="G61" authorId="0" shapeId="0">
      <text>
        <r>
          <rPr>
            <b/>
            <sz val="12"/>
            <color indexed="81"/>
            <rFont val="Tahoma"/>
            <family val="2"/>
          </rPr>
          <t>For Auto Scale on Charts:
Set to zero, run macro</t>
        </r>
      </text>
    </comment>
    <comment ref="G62" authorId="0" shapeId="0">
      <text>
        <r>
          <rPr>
            <b/>
            <sz val="12"/>
            <color indexed="81"/>
            <rFont val="Tahoma"/>
            <family val="2"/>
          </rPr>
          <t>Set to "Yes" to adjust range on all sheets with charts.
Will skip charts on any sheet where this is not set to "Yes"</t>
        </r>
        <r>
          <rPr>
            <sz val="9"/>
            <color indexed="81"/>
            <rFont val="Tahoma"/>
            <family val="2"/>
          </rPr>
          <t xml:space="preserve">
</t>
        </r>
      </text>
    </comment>
  </commentList>
</comments>
</file>

<file path=xl/comments4.xml><?xml version="1.0" encoding="utf-8"?>
<comments xmlns="http://schemas.openxmlformats.org/spreadsheetml/2006/main">
  <authors>
    <author>justinn</author>
  </authors>
  <commentList>
    <comment ref="H3" authorId="0" shapeId="0">
      <text>
        <r>
          <rPr>
            <b/>
            <sz val="9"/>
            <color indexed="81"/>
            <rFont val="Tahoma"/>
            <family val="2"/>
          </rPr>
          <t>Don't edit this cell, used by drop down menu</t>
        </r>
      </text>
    </comment>
  </commentList>
</comments>
</file>

<file path=xl/comments5.xml><?xml version="1.0" encoding="utf-8"?>
<comments xmlns="http://schemas.openxmlformats.org/spreadsheetml/2006/main">
  <authors>
    <author>justinn</author>
  </authors>
  <commentList>
    <comment ref="G29" authorId="0" shapeId="0">
      <text>
        <r>
          <rPr>
            <b/>
            <sz val="12"/>
            <color indexed="81"/>
            <rFont val="Tahoma"/>
            <family val="2"/>
          </rPr>
          <t>For Auto Scale on Charts:
Set to zero, run macro</t>
        </r>
        <r>
          <rPr>
            <sz val="12"/>
            <color indexed="81"/>
            <rFont val="Tahoma"/>
            <family val="2"/>
          </rPr>
          <t xml:space="preserve">
</t>
        </r>
      </text>
    </comment>
    <comment ref="G30" authorId="0" shapeId="0">
      <text>
        <r>
          <rPr>
            <b/>
            <sz val="12"/>
            <color indexed="81"/>
            <rFont val="Tahoma"/>
            <family val="2"/>
          </rPr>
          <t>Set to "Yes" to adjust range on all sheets with charts.
Will skip charts on any sheet where this is not set to "Yes"</t>
        </r>
        <r>
          <rPr>
            <sz val="9"/>
            <color indexed="81"/>
            <rFont val="Tahoma"/>
            <family val="2"/>
          </rPr>
          <t xml:space="preserve">
</t>
        </r>
      </text>
    </comment>
  </commentList>
</comments>
</file>

<file path=xl/connections.xml><?xml version="1.0" encoding="utf-8"?>
<connections xmlns="http://schemas.openxmlformats.org/spreadsheetml/2006/main">
  <connection id="1" name="3777-SolverSpreadsheet.dataout" type="4" refreshedVersion="0" background="1">
    <webPr xml="1" sourceData="1" url="C:\Users\toddr.EI\Dropbox\MachineTracking\3777 - 777X Spar\2015-10-05-Comp\Solver-Files\3777-SolverSpreadsheet.dataout.xml" htmlTables="1" htmlFormat="all"/>
  </connection>
  <connection id="2" name="3777-SolverSpreadsheet.dataout1" type="4" refreshedVersion="0" background="1">
    <webPr xml="1" sourceData="1" url="C:\Users\mattw\Desktop\Sandbox\Boeing\Spar 4 Recomp Solver Files\4158_M4.dataout.xml" htmlTables="1" htmlFormat="all"/>
  </connection>
  <connection id="3" name="A350-U2.config" type="4" refreshedVersion="0" background="1">
    <webPr xml="1" sourceData="1" url="C:\Users\justinn\Desktop\Solver 2010-06-25\A350-U2.config.xml" htmlTables="1" htmlFormat="all"/>
  </connection>
  <connection id="4" name="A350-U2.config1" type="4" refreshedVersion="0" background="1">
    <webPr xml="1" sourceData="1" url="C:\Users\justinn\Desktop\Solver 2010-06-25\A350-U2.config.xml" htmlTables="1" htmlFormat="all"/>
  </connection>
  <connection id="5" name="A350-U2.config2" type="4" refreshedVersion="0" background="1">
    <webPr xml="1" sourceData="1" url="C:\Users\justinn\Desktop\Solver 2010-06-25b\A350-U2.config.xml" htmlTables="1" htmlFormat="all"/>
  </connection>
  <connection id="6" name="A350-U2.config3" type="4" refreshedVersion="0" background="1">
    <webPr xml="1" sourceData="1" url="C:\Users\justinn\Desktop\Solver 2010-06-25b\A350-U2.config.xml" htmlTables="1" htmlFormat="all"/>
  </connection>
  <connection id="7" name="A350-U2.dataout" type="4" refreshedVersion="0" background="1">
    <webPr xml="1" sourceData="1" url="C:\Users\justinn\Desktop\Solver 2010-06-25\A350-U2.dataout.xml" htmlTables="1" htmlFormat="all"/>
  </connection>
  <connection id="8" name="A350-U2.dataout1" type="4" refreshedVersion="0" background="1">
    <webPr xml="1" sourceData="1" url="C:\Users\justinn\Desktop\Solver 2010-06-25\A350-U2.dataout.xml" htmlTables="1" htmlFormat="all"/>
  </connection>
  <connection id="9" name="A350-U2.dataout10" type="4" refreshedVersion="0" background="1">
    <webPr xml="1" sourceData="1" url="C:\Users\justinn\Desktop\Solver 2010-06-25b\A350-U2.dataout.xml" htmlTables="1" htmlFormat="all"/>
  </connection>
  <connection id="10" name="A350-U2.dataout11" type="4" refreshedVersion="0" background="1">
    <webPr xml="1" sourceData="1" url="C:\Users\justinn\Desktop\Solver 2010-06-25b\A350-U2.dataout.xml" htmlTables="1" htmlFormat="all"/>
  </connection>
  <connection id="11" name="A350-U2.dataout12" type="4" refreshedVersion="0" background="1">
    <webPr xml="1" sourceData="1" url="C:\Users\justinn\Desktop\Solver 2010-06-25b\A350-U2.dataout.xml" htmlTables="1" htmlFormat="all"/>
  </connection>
  <connection id="12" name="A350-U2.dataout13" type="4" refreshedVersion="0" background="1">
    <webPr xml="1" sourceData="1" url="C:\Users\justinn\Desktop\Solver 2010-06-25b\A350-U2.dataout.xml" htmlTables="1" htmlFormat="all"/>
  </connection>
  <connection id="13" name="A350-U2.dataout2" type="4" refreshedVersion="0" background="1">
    <webPr xml="1" sourceData="1" url="C:\Users\justinn\Desktop\Solver 2010-06-25\A350-U2.dataout.xml" htmlTables="1" htmlFormat="all"/>
  </connection>
  <connection id="14" name="A350-U2.dataout3" type="4" refreshedVersion="0" background="1">
    <webPr xml="1" sourceData="1" url="C:\Users\justinn\Desktop\Solver 2010-06-25\A350-U2.dataout.xml" htmlTables="1" htmlFormat="all"/>
  </connection>
  <connection id="15" name="A350-U2.dataout4" type="4" refreshedVersion="0" background="1">
    <webPr xml="1" sourceData="1" url="C:\Users\justinn\Desktop\Solver 2010-06-25\A350-U2.dataout.xml" htmlTables="1" htmlFormat="all"/>
  </connection>
  <connection id="16" name="A350-U2.dataout5" type="4" refreshedVersion="0" background="1">
    <webPr xml="1" sourceData="1" url="C:\Users\justinn\Desktop\Solver 2010-06-25\A350-U2.dataout.xml" htmlTables="1" htmlFormat="all"/>
  </connection>
  <connection id="17" name="A350-U2.dataout6" type="4" refreshedVersion="0" background="1">
    <webPr xml="1" sourceData="1" url="C:\Users\justinn\Desktop\Solver 2010-06-25\A350-U2.dataout.xml" htmlTables="1" htmlFormat="all"/>
  </connection>
  <connection id="18" name="A350-U2.dataout7" type="4" refreshedVersion="0" background="1">
    <webPr xml="1" sourceData="1" url="C:\Users\justinn\Desktop\Solver 2010-06-25\A350-U2.dataout.xml" htmlTables="1" htmlFormat="all"/>
  </connection>
  <connection id="19" name="A350-U2.dataout8" type="4" refreshedVersion="0" background="1">
    <webPr xml="1" sourceData="1" url="C:\Users\justinn\Desktop\Solver 2010-06-25\A350-U2.dataout.xml" htmlTables="1" htmlFormat="all"/>
  </connection>
  <connection id="20" name="A350-U2.dataout9" type="4" refreshedVersion="0" background="1">
    <webPr xml="1" sourceData="1" url="C:\Users\justinn\Desktop\Solver 2010-06-25b\A350-U2.dataout.xml" htmlTables="1" htmlFormat="all"/>
  </connection>
  <connection id="21" name="ATT_KUKA.dataout" type="4" refreshedVersion="0" background="1">
    <webPr xml="1" sourceData="1" url="E:\LocalDev\MachineTracking\ATTKuka\Solver Files\ATT_KUKA.dataout.xml" htmlTables="1" htmlFormat="all"/>
  </connection>
  <connection id="22" name="PM2.config" type="4" refreshedVersion="0" background="1">
    <webPr xml="1" sourceData="1" url="C:\Users\justinn\Documents\EI\2967, Spirit AFP\Comp Data\_Final Comp Data for Sec41\PM2, 2010-09-14\New Solver Files\PM2.config.xml" htmlTables="1" htmlFormat="all"/>
  </connection>
  <connection id="23" name="PM2.config1" type="4" refreshedVersion="0" background="1">
    <webPr xml="1" sourceData="1" url="C:\Users\justinn\Documents\EI\Solver Projects\^Solver Development\PM2.config.xml" htmlTables="1" htmlFormat="all"/>
  </connection>
  <connection id="24" name="PM2.config2" type="4" refreshedVersion="0" background="1">
    <webPr xml="1" sourceData="1" url="C:\Users\justinn\Documents\EI\Solver Projects\^Solver Development\PM2.config.xml" htmlTables="1" htmlFormat="all"/>
  </connection>
  <connection id="25" name="PM2.config3" type="4" refreshedVersion="0" background="1">
    <webPr xml="1" sourceData="1" url="C:\Users\justinn\Documents\EI\Solver Projects\^Solver Development\PM2.config.xml" htmlTables="1" htmlFormat="all"/>
  </connection>
  <connection id="26" name="PM2.config4" type="4" refreshedVersion="0" background="1">
    <webPr xml="1" sourceData="1" url="C:\Users\justinn\Documents\EI\Solver Projects\^Solver Development\PM2.config.xml" htmlTables="1" htmlFormat="all"/>
  </connection>
  <connection id="27" name="PM2.config5" type="4" refreshedVersion="0" background="1">
    <webPr xml="1" sourceData="1" url="C:\Users\justinn\SkyDrive\EI\Solver Projects\^Solver Development\Solver_V2-5.config.xml" htmlTables="1" htmlFormat="all"/>
  </connection>
  <connection id="28" name="PM2.dataout" type="4" refreshedVersion="0" background="1">
    <webPr xml="1" sourceData="1" url="C:\Users\justinn\Documents\EI\2967, Spirit AFP\Comp Data\_Final Comp Data for Sec41\PM2, 2010-09-14\New Solver Files\PM2.dataout.xml" htmlTables="1" htmlFormat="all"/>
  </connection>
  <connection id="29" name="PM2.dataout1" type="4" refreshedVersion="0" background="1">
    <webPr xml="1" sourceData="1" url="C:\Users\justinn\Documents\EI\2967, Spirit AFP\Comp Data\_Final Comp Data for Sec41\PM2, 2010-09-14\New Solver Files\PM2.dataout.xml" htmlTables="1" htmlFormat="all"/>
  </connection>
  <connection id="30" name="PM2.dataout2" type="4" refreshedVersion="0" background="1">
    <webPr xml="1" sourceData="1" url="C:\Users\justinn\Documents\EI\Solver Projects\^Solver Development\PM2.dataout.xml" htmlTables="1" htmlFormat="all"/>
  </connection>
  <connection id="31" name="PM2.dataout3" type="4" refreshedVersion="0" background="1">
    <webPr xml="1" sourceData="1" url="C:\Users\justinn\Documents\EI\Solver Projects\^Solver Development\PM2.dataout.xml" htmlTables="1" htmlFormat="all"/>
  </connection>
  <connection id="32" name="Solver_V2-5.config" type="4" refreshedVersion="0" background="1">
    <webPr xml="1" sourceData="1" url="D:\Dropbox (Electroimpact)\MachineTracking\3777 - 777X Spar\2017-05-08 M2 Comp\Solver Files\Final\3777.config.xml" htmlTables="1" htmlFormat="all"/>
  </connection>
  <connection id="33" name="SolverSpreadsheet.dataout" type="4" refreshedVersion="0" background="1">
    <webPr xml="1" sourceData="1" url="C:\Users\toddr.EI\Dropbox\MachineTracking\3812 - Kinston3Solve\K3_Mukilteo\3509-SolverSpreadsheet.dataout.xml" htmlTables="1" htmlFormat="all"/>
  </connection>
</connections>
</file>

<file path=xl/sharedStrings.xml><?xml version="1.0" encoding="utf-8"?>
<sst xmlns="http://schemas.openxmlformats.org/spreadsheetml/2006/main" count="2355" uniqueCount="1231">
  <si>
    <t>Xm</t>
  </si>
  <si>
    <t>Ym</t>
  </si>
  <si>
    <t>Am</t>
  </si>
  <si>
    <t>Bm</t>
  </si>
  <si>
    <t>Xtp</t>
  </si>
  <si>
    <t>Ytp</t>
  </si>
  <si>
    <t>Ztp</t>
  </si>
  <si>
    <t>Xmeas</t>
  </si>
  <si>
    <t>Ymeas</t>
  </si>
  <si>
    <t>Zmeas</t>
  </si>
  <si>
    <t>Atp</t>
  </si>
  <si>
    <t>Btp</t>
  </si>
  <si>
    <t>Y</t>
  </si>
  <si>
    <t>Z</t>
  </si>
  <si>
    <t>X</t>
  </si>
  <si>
    <t>Start</t>
  </si>
  <si>
    <t>TP10</t>
  </si>
  <si>
    <t>Range:</t>
  </si>
  <si>
    <t>Max r (")</t>
  </si>
  <si>
    <t>TP2</t>
  </si>
  <si>
    <t>TP4</t>
  </si>
  <si>
    <t>TP3</t>
  </si>
  <si>
    <t>End</t>
  </si>
  <si>
    <t>Axis</t>
  </si>
  <si>
    <t>Row</t>
  </si>
  <si>
    <t>A3s (")</t>
  </si>
  <si>
    <t>Measured</t>
  </si>
  <si>
    <t>TP</t>
  </si>
  <si>
    <t>axis</t>
  </si>
  <si>
    <t>loc</t>
  </si>
  <si>
    <t>rX</t>
  </si>
  <si>
    <t>rY</t>
  </si>
  <si>
    <t>rZ</t>
  </si>
  <si>
    <t>Ctp</t>
  </si>
  <si>
    <t>Rerr</t>
  </si>
  <si>
    <t>Xerr</t>
  </si>
  <si>
    <t>Yerr</t>
  </si>
  <si>
    <t>Zerr</t>
  </si>
  <si>
    <t>Zm</t>
  </si>
  <si>
    <t>Cm</t>
  </si>
  <si>
    <t>C1</t>
  </si>
  <si>
    <t>Error TP</t>
  </si>
  <si>
    <t>Note: "Chart Name" must be unique and sequential (i.e. Chart 1, Chart 2…Chart n) (Click on a Chart-&gt;Layout Tab-&gt;Properties group)</t>
  </si>
  <si>
    <t>Increment</t>
  </si>
  <si>
    <t>Note: "Chart Name" must be arranged correctly, do not rearrange or change the "Chart Name"</t>
  </si>
  <si>
    <t>Axis:</t>
  </si>
  <si>
    <t>Start:</t>
  </si>
  <si>
    <t>End:</t>
  </si>
  <si>
    <t>Increment:</t>
  </si>
  <si>
    <t>Yes</t>
  </si>
  <si>
    <t>All Sheets:</t>
  </si>
  <si>
    <t>No</t>
  </si>
  <si>
    <t>Scroll</t>
  </si>
  <si>
    <t>For Unit Conversion</t>
  </si>
  <si>
    <t>Nominal Probe values for *.nominal.config.xml</t>
  </si>
  <si>
    <t>Step</t>
  </si>
  <si>
    <t>Note</t>
  </si>
  <si>
    <t>Cpm</t>
  </si>
  <si>
    <t>Click "Update Named Ranges" button</t>
  </si>
  <si>
    <t>Paste in new data (commaded machine positions, measured tool point positions, and tool point numbers)</t>
  </si>
  <si>
    <t>Click "Send Data" button and start solving</t>
  </si>
  <si>
    <t>Read in solver output</t>
  </si>
  <si>
    <t>Use "ProbeValues" sheet to easily copy tool point values to config file</t>
  </si>
  <si>
    <t>Comp table can be checked graphically with "CompTableCheck" sheet</t>
  </si>
  <si>
    <t>Subject</t>
  </si>
  <si>
    <t>Solving the Data</t>
  </si>
  <si>
    <t>Comp tables</t>
  </si>
  <si>
    <t>Setting up the Data</t>
  </si>
  <si>
    <t>Remap data if needed before reading data in (not typically needed)</t>
  </si>
  <si>
    <t>Add or delete columns for machine axes (i.e. Xm, Ym…), rename axes as needed (do not use Excel reserved names, i.e. "C1") (do not add column before first exising machine axes, named range will not include this column)</t>
  </si>
  <si>
    <t>"Axis" Column: Enter lables for all data as you see fit, each point can have multiple labels (for a group of machine axis data the label should match the axis column for correct chart functionailty, i.e. label = "Xm" to show on Xm axis scatter plot)</t>
  </si>
  <si>
    <t>Note:</t>
  </si>
  <si>
    <r>
      <t xml:space="preserve">Units must be </t>
    </r>
    <r>
      <rPr>
        <b/>
        <sz val="16"/>
        <rFont val="Arial"/>
        <family val="2"/>
      </rPr>
      <t>mm</t>
    </r>
    <r>
      <rPr>
        <sz val="16"/>
        <rFont val="Arial"/>
        <family val="2"/>
      </rPr>
      <t xml:space="preserve"> for solver and customer board to work correctly together.   Machine Position and Tracker data must be mm in this spreadsheet.</t>
    </r>
  </si>
  <si>
    <t>Version Notes</t>
  </si>
  <si>
    <t>Added named range check to alert user when trying to use excel reserved names</t>
  </si>
  <si>
    <t>Added revision notes like this one</t>
  </si>
  <si>
    <t>Clear old data, use the button to clear correct data</t>
  </si>
  <si>
    <t>Update the chart ranges on "ScatterCharts" and "LineCharts" sheet (Excel will issue error when saving if not done)</t>
  </si>
  <si>
    <t>1a</t>
  </si>
  <si>
    <t>1b</t>
  </si>
  <si>
    <t xml:space="preserve">To generate comp tables, use "CompStations" sheet.  </t>
  </si>
  <si>
    <t>The values must be in order of smallest to largest for the solver!!</t>
  </si>
  <si>
    <t>The stations must match the locations where data was collected!!</t>
  </si>
  <si>
    <t>Many updates, started tracking changes</t>
  </si>
  <si>
    <t>For Manual Paste</t>
  </si>
  <si>
    <t>For Generating From List</t>
  </si>
  <si>
    <t>Added better instructions, updated CompStation sheet to check for decreasing numbers</t>
  </si>
  <si>
    <t>TP's</t>
  </si>
  <si>
    <t>Filter</t>
  </si>
  <si>
    <t>Show</t>
  </si>
  <si>
    <t>Legend</t>
  </si>
  <si>
    <t>JustinN, 2012-09-14</t>
  </si>
  <si>
    <t>JustinN, 2012-09-19</t>
  </si>
  <si>
    <t>JustinN, 2012-11-01</t>
  </si>
  <si>
    <t>Remap dataout.xml data</t>
  </si>
  <si>
    <t>JustinN, 2013-04-12</t>
  </si>
  <si>
    <t>Improved Scatter Charts</t>
  </si>
  <si>
    <t>Label</t>
  </si>
  <si>
    <t>0 = series by TP</t>
  </si>
  <si>
    <t>1 = series by Label</t>
  </si>
  <si>
    <t>JustinN, 2013-08-19</t>
  </si>
  <si>
    <t>Fixed Bug in Scatter Charts</t>
  </si>
  <si>
    <t>v13.0</t>
  </si>
  <si>
    <t>File:</t>
  </si>
  <si>
    <t>JustinN, 2013-10-01</t>
  </si>
  <si>
    <t>v14.0</t>
  </si>
  <si>
    <t>(must be in same directory as this spreadsheet)</t>
  </si>
  <si>
    <t>Ability to specify file name for comp table check</t>
  </si>
  <si>
    <t>random</t>
  </si>
  <si>
    <t xml:space="preserve">      &lt;TP10X value="-32.1895" Hide="true" /&gt;</t>
  </si>
  <si>
    <t xml:space="preserve">      &lt;TP10Y value="0.0186" Hide="true" /&gt;</t>
  </si>
  <si>
    <t xml:space="preserve">      &lt;TP10Z value="-790.8674" Hide="true" /&gt;         </t>
  </si>
  <si>
    <t xml:space="preserve">      &lt;TP10X value="-32.0371" Hide="false" /&gt;</t>
  </si>
  <si>
    <t xml:space="preserve">      &lt;TP10Y value="-0.0717" Hide="false" /&gt;</t>
  </si>
  <si>
    <t xml:space="preserve">      &lt;TP10Z value="-790.7497" Hide="false" /&gt;</t>
  </si>
  <si>
    <t>original</t>
  </si>
  <si>
    <t>new</t>
  </si>
  <si>
    <t>error (")</t>
  </si>
  <si>
    <t>Head Coordinates</t>
  </si>
  <si>
    <t>PH103</t>
  </si>
  <si>
    <t>PH104</t>
  </si>
  <si>
    <t>PH106</t>
  </si>
  <si>
    <t>PH107</t>
  </si>
  <si>
    <t>PH109</t>
  </si>
  <si>
    <t>// AXES = CARTESIAN: X</t>
  </si>
  <si>
    <t xml:space="preserve">  Y</t>
  </si>
  <si>
    <t xml:space="preserve">  Z (mm)</t>
  </si>
  <si>
    <t>xlines_TP10_1</t>
  </si>
  <si>
    <t>xlines_TP10_2</t>
  </si>
  <si>
    <t>xlines_TP10_3</t>
  </si>
  <si>
    <t>xlines_TP10_4</t>
  </si>
  <si>
    <t>xlines_TP10_5</t>
  </si>
  <si>
    <t>xlines_TP10_6</t>
  </si>
  <si>
    <t>xlines_TP10_7</t>
  </si>
  <si>
    <t>xlines_TP10_8</t>
  </si>
  <si>
    <t>xlines_TP10_9</t>
  </si>
  <si>
    <t>xlines_TP10_10</t>
  </si>
  <si>
    <t>xlines_TP10_11</t>
  </si>
  <si>
    <t>xlines_TP10_12</t>
  </si>
  <si>
    <t>xlines_TP10_13</t>
  </si>
  <si>
    <t>xlines_TP10_14</t>
  </si>
  <si>
    <t>xlines_TP10_15</t>
  </si>
  <si>
    <t>xlines_TP10_16</t>
  </si>
  <si>
    <t>xlines_TP10_17</t>
  </si>
  <si>
    <t>xlines_TP10_18</t>
  </si>
  <si>
    <t>xlines_TP10_19</t>
  </si>
  <si>
    <t>xlines_TP10_20</t>
  </si>
  <si>
    <t>xlines_TP10_21</t>
  </si>
  <si>
    <t>xlines_TP10_22</t>
  </si>
  <si>
    <t>xlines_TP10_23</t>
  </si>
  <si>
    <t>xlines_TP10_24</t>
  </si>
  <si>
    <t>xlines_TP10_25</t>
  </si>
  <si>
    <t>xlines_TP10_26</t>
  </si>
  <si>
    <t>xlines_TP10_27</t>
  </si>
  <si>
    <t>xlines_TP10_28</t>
  </si>
  <si>
    <t>xlines_TP10_29</t>
  </si>
  <si>
    <t>xlines_TP10_30</t>
  </si>
  <si>
    <t>xlines_TP10_31</t>
  </si>
  <si>
    <t>xlines_TP10_32</t>
  </si>
  <si>
    <t>xlines_TP10_33</t>
  </si>
  <si>
    <t>xlines_TP10_34</t>
  </si>
  <si>
    <t>xlines_TP10_35</t>
  </si>
  <si>
    <t>xlines_TP10_36</t>
  </si>
  <si>
    <t>xlines_TP10_37</t>
  </si>
  <si>
    <t>xlines_TP10_38</t>
  </si>
  <si>
    <t>xlines_TP10_39</t>
  </si>
  <si>
    <t>xlines_TP10_40</t>
  </si>
  <si>
    <t>xlines_TP10_41</t>
  </si>
  <si>
    <t>xlines_TP10_42</t>
  </si>
  <si>
    <t>xlines_TP10_43</t>
  </si>
  <si>
    <t>xlines_TP10_44</t>
  </si>
  <si>
    <t>xlines_TP10_45</t>
  </si>
  <si>
    <t>xlines_TP10_46</t>
  </si>
  <si>
    <t>xlines_TP10_47</t>
  </si>
  <si>
    <t>xlines_TP10_48</t>
  </si>
  <si>
    <t>xlines_TP10_49</t>
  </si>
  <si>
    <t>xlines_TP10_50</t>
  </si>
  <si>
    <t>xlines_TP10_51</t>
  </si>
  <si>
    <t>xlines_TP10_52</t>
  </si>
  <si>
    <t>xlines_TP10_53</t>
  </si>
  <si>
    <t>xlines_TP10_54</t>
  </si>
  <si>
    <t>xlines_TP10_55</t>
  </si>
  <si>
    <t>xlines_TP10_56</t>
  </si>
  <si>
    <t>xlines_TP10_57</t>
  </si>
  <si>
    <t>xlines_TP10_58</t>
  </si>
  <si>
    <t>xlines_TP10_59</t>
  </si>
  <si>
    <t>xlines_TP10_60</t>
  </si>
  <si>
    <t>xlines_TP10_61</t>
  </si>
  <si>
    <t>xlines_TP10_62</t>
  </si>
  <si>
    <t>xlines_TP10_63</t>
  </si>
  <si>
    <t>xlines_TP10_64</t>
  </si>
  <si>
    <t>xlines_TP10_65</t>
  </si>
  <si>
    <t>xlines_TP10_66</t>
  </si>
  <si>
    <t>xlines_TP10_67</t>
  </si>
  <si>
    <t>xlines_TP10_68</t>
  </si>
  <si>
    <t>xlines_TP10_69</t>
  </si>
  <si>
    <t>xlines_TP10_70</t>
  </si>
  <si>
    <t>xlines_TP10_71</t>
  </si>
  <si>
    <t>xlines_TP10_72</t>
  </si>
  <si>
    <t>xlines_TP10_73</t>
  </si>
  <si>
    <t>xlines_TP10_74</t>
  </si>
  <si>
    <t>xlines_TP10_75</t>
  </si>
  <si>
    <t>xlines_TP10_76</t>
  </si>
  <si>
    <t>xlines_TP10_77</t>
  </si>
  <si>
    <t>xlines_TP10_78</t>
  </si>
  <si>
    <t>xlines_TP10_79</t>
  </si>
  <si>
    <t>xlines_TP10_80</t>
  </si>
  <si>
    <t>xlines_TP10_81</t>
  </si>
  <si>
    <t>xlines_TP10_82</t>
  </si>
  <si>
    <t>xlines_TP10_83</t>
  </si>
  <si>
    <t>xlines_TP10_84</t>
  </si>
  <si>
    <t>xlines_TP10_85</t>
  </si>
  <si>
    <t>xlines_TP10_86</t>
  </si>
  <si>
    <t>xlines_TP10_87</t>
  </si>
  <si>
    <t>xlines_TP10_88</t>
  </si>
  <si>
    <t>xlines_TP10_89</t>
  </si>
  <si>
    <t>xlines_TP10_90</t>
  </si>
  <si>
    <t>xlines_TP10_91</t>
  </si>
  <si>
    <t>xlines_TP10_92</t>
  </si>
  <si>
    <t>xlines_TP10_93</t>
  </si>
  <si>
    <t>xlines_TP10_94</t>
  </si>
  <si>
    <t>xlines_TP10_95</t>
  </si>
  <si>
    <t>xlines_TP10_96</t>
  </si>
  <si>
    <t>xlines_TP10_97</t>
  </si>
  <si>
    <t>xlines_TP10_98</t>
  </si>
  <si>
    <t>xlines_TP10_99</t>
  </si>
  <si>
    <t>xlines_TP10_100</t>
  </si>
  <si>
    <t>xlines_TP10_101</t>
  </si>
  <si>
    <t>xlines_TP10_102</t>
  </si>
  <si>
    <t>xlines_TP10_103</t>
  </si>
  <si>
    <t>xlines_TP10_104</t>
  </si>
  <si>
    <t>xlines_TP10_105</t>
  </si>
  <si>
    <t>xlines_TP10_106</t>
  </si>
  <si>
    <t>xlines_TP10_107</t>
  </si>
  <si>
    <t>xlines_TP10_108</t>
  </si>
  <si>
    <t>xlines_TP10_109</t>
  </si>
  <si>
    <t>xlines_TP10_110</t>
  </si>
  <si>
    <t>xlines_TP10_111</t>
  </si>
  <si>
    <t>xlines_TP10_112</t>
  </si>
  <si>
    <t>xlines_TP10_113</t>
  </si>
  <si>
    <t>xlines_TP10_114</t>
  </si>
  <si>
    <t>xlines_TP10_115</t>
  </si>
  <si>
    <t>xlines_TP10_116</t>
  </si>
  <si>
    <t>xlines_TP10_117</t>
  </si>
  <si>
    <t>xlines_TP10_118</t>
  </si>
  <si>
    <t>xlines_TP10_119</t>
  </si>
  <si>
    <t>xlines_TP10_120</t>
  </si>
  <si>
    <t>xlines_TP10_121</t>
  </si>
  <si>
    <t>xlines_TP10_122</t>
  </si>
  <si>
    <t>xlines_TP10_123</t>
  </si>
  <si>
    <t>xlines_TP10_124</t>
  </si>
  <si>
    <t>xlines_TP10_125</t>
  </si>
  <si>
    <t>xlines_TP10_126</t>
  </si>
  <si>
    <t>xlines_TP10_127</t>
  </si>
  <si>
    <t>xlines_TP10_128</t>
  </si>
  <si>
    <t>xlines_TP10_129</t>
  </si>
  <si>
    <t>xlines_TP10_130</t>
  </si>
  <si>
    <t>xlines_TP10_131</t>
  </si>
  <si>
    <t>xlines_TP10_132</t>
  </si>
  <si>
    <t>xlines_TP10_133</t>
  </si>
  <si>
    <t>xlines_TP10_134</t>
  </si>
  <si>
    <t>xlines_TP10_135</t>
  </si>
  <si>
    <t>xlines_TP10_136</t>
  </si>
  <si>
    <t>xlines_TP10_137</t>
  </si>
  <si>
    <t>xlines_TP10_138</t>
  </si>
  <si>
    <t>xlines_TP10_139</t>
  </si>
  <si>
    <t>xlines_TP10_140</t>
  </si>
  <si>
    <t>xlines_TP10_141</t>
  </si>
  <si>
    <t>xlines_TP10_142</t>
  </si>
  <si>
    <t>xlines_TP10_143</t>
  </si>
  <si>
    <t>xlines_TP10_144</t>
  </si>
  <si>
    <t>xlines_TP10_145</t>
  </si>
  <si>
    <t>xlines_TP10_146</t>
  </si>
  <si>
    <t>xlines_TP10_147</t>
  </si>
  <si>
    <t>xlines_TP10_148</t>
  </si>
  <si>
    <t>xlines_TP10_149</t>
  </si>
  <si>
    <t>xlines_TP10_150</t>
  </si>
  <si>
    <t>xlines_TP10_151</t>
  </si>
  <si>
    <t>xlines_TP10_152</t>
  </si>
  <si>
    <t>xlines_TP10_153</t>
  </si>
  <si>
    <t>xlines_TP10_154</t>
  </si>
  <si>
    <t>xlines_TP10_155</t>
  </si>
  <si>
    <t>xlines_TP10_156</t>
  </si>
  <si>
    <t>xlines_TP10_157</t>
  </si>
  <si>
    <t>xlines_TP10_158</t>
  </si>
  <si>
    <t>xlines_TP10_159</t>
  </si>
  <si>
    <t>xlines_TP10_160</t>
  </si>
  <si>
    <t>xlines_TP10_161</t>
  </si>
  <si>
    <t>xlines_TP10_162</t>
  </si>
  <si>
    <t>xlines_TP10_163</t>
  </si>
  <si>
    <t>xlines_TP10_164</t>
  </si>
  <si>
    <t>xlines_TP10_165</t>
  </si>
  <si>
    <t>xlines_TP10_166</t>
  </si>
  <si>
    <t>xlines_TP10_167</t>
  </si>
  <si>
    <t>xlines_TP10_168</t>
  </si>
  <si>
    <t>xlines_TP10_169</t>
  </si>
  <si>
    <t>xlines_TP10_170</t>
  </si>
  <si>
    <t>xlines_TP10_171</t>
  </si>
  <si>
    <t>xlines_TP10_172</t>
  </si>
  <si>
    <t>xlines_TP10_173</t>
  </si>
  <si>
    <t>xlines_TP10_174</t>
  </si>
  <si>
    <t>xlines_TP10_175</t>
  </si>
  <si>
    <t>xlines_TP10_176</t>
  </si>
  <si>
    <t>xlines_TP10_177</t>
  </si>
  <si>
    <t>xlines_TP10_179</t>
  </si>
  <si>
    <t>xlines_TP10_180</t>
  </si>
  <si>
    <t>xlines_TP10_181</t>
  </si>
  <si>
    <t>xlines_TP10_182</t>
  </si>
  <si>
    <t>xlines_TP10_183</t>
  </si>
  <si>
    <t>xlines_TP10_184</t>
  </si>
  <si>
    <t>xlines_TP10_185</t>
  </si>
  <si>
    <t>xlines_TP10_186</t>
  </si>
  <si>
    <t>xlines_TP10_187</t>
  </si>
  <si>
    <t>xlines_TP10_188</t>
  </si>
  <si>
    <t>xlines_TP10_189</t>
  </si>
  <si>
    <t>xlines_TP10_190</t>
  </si>
  <si>
    <t>xlines_TP10_191</t>
  </si>
  <si>
    <t>xlines_TP10_192</t>
  </si>
  <si>
    <t>xlines_TP10_193</t>
  </si>
  <si>
    <t>xlines_TP10_194</t>
  </si>
  <si>
    <t>xlines_TP10_195</t>
  </si>
  <si>
    <t>xlines_TP10_196</t>
  </si>
  <si>
    <t>xlines_TP10_197</t>
  </si>
  <si>
    <t>xlines_TP10_198</t>
  </si>
  <si>
    <t>xlines_TP10_199</t>
  </si>
  <si>
    <t>xlines_TP10_200</t>
  </si>
  <si>
    <t>xlines_TP10_201</t>
  </si>
  <si>
    <t>xlines_TP10_202</t>
  </si>
  <si>
    <t>xlines_TP10_203</t>
  </si>
  <si>
    <t>xlines_TP10_204</t>
  </si>
  <si>
    <t>xlines_TP10_205</t>
  </si>
  <si>
    <t>xlines_TP10_206</t>
  </si>
  <si>
    <t>xlines_TP10_207</t>
  </si>
  <si>
    <t>xlines_TP10_208</t>
  </si>
  <si>
    <t>xlines_TP10_209</t>
  </si>
  <si>
    <t>xlines_TP10_210</t>
  </si>
  <si>
    <t>xlines_TP10_211</t>
  </si>
  <si>
    <t>xlines_TP10_212</t>
  </si>
  <si>
    <t>xlines_TP10_213</t>
  </si>
  <si>
    <t>xlines_TP10_214</t>
  </si>
  <si>
    <t>xlines_TP10_215</t>
  </si>
  <si>
    <t>xlines_TP10_216</t>
  </si>
  <si>
    <t>xlines_TP10_217</t>
  </si>
  <si>
    <t>xlines_TP10_218</t>
  </si>
  <si>
    <t>xlines_TP10_219</t>
  </si>
  <si>
    <t>xlines_TP10_220</t>
  </si>
  <si>
    <t>xlines_TP10_221</t>
  </si>
  <si>
    <t>xlines_TP10_222</t>
  </si>
  <si>
    <t>xlines_TP10_223</t>
  </si>
  <si>
    <t>xlines_TP10_224</t>
  </si>
  <si>
    <t>xlines_TP10_225</t>
  </si>
  <si>
    <t>xlines_TP10_226</t>
  </si>
  <si>
    <t>xlines_TP10_227</t>
  </si>
  <si>
    <t>xlines_TP10_228</t>
  </si>
  <si>
    <t>xlines_TP10_229</t>
  </si>
  <si>
    <t>xlines_TP10_230</t>
  </si>
  <si>
    <t>xlines_TP10_231</t>
  </si>
  <si>
    <t>xlines_TP10_232</t>
  </si>
  <si>
    <t>xlines_TP10_233</t>
  </si>
  <si>
    <t>xlines_TP10_234</t>
  </si>
  <si>
    <t>xlines_TP10_235</t>
  </si>
  <si>
    <t>xlines_TP10_236</t>
  </si>
  <si>
    <t>xlines_TP10_237</t>
  </si>
  <si>
    <t>xlines_TP10_238</t>
  </si>
  <si>
    <t>xlines_TP10_239</t>
  </si>
  <si>
    <t>xlines_TP10_240</t>
  </si>
  <si>
    <t>xlines_TP10_241</t>
  </si>
  <si>
    <t>xlines_TP10_242</t>
  </si>
  <si>
    <t>xlines_TP10_243</t>
  </si>
  <si>
    <t>xlines_TP10_244</t>
  </si>
  <si>
    <t>xlines_TP10_245</t>
  </si>
  <si>
    <t>xlines_TP10_246</t>
  </si>
  <si>
    <t>xlines_TP10_247</t>
  </si>
  <si>
    <t>xlines_TP10_248</t>
  </si>
  <si>
    <t>xlines_TP10_249</t>
  </si>
  <si>
    <t>xlines_TP10_250</t>
  </si>
  <si>
    <t>xlines_TP10_251</t>
  </si>
  <si>
    <t>xlines_TP10_252</t>
  </si>
  <si>
    <t>xlines_TP10_253</t>
  </si>
  <si>
    <t>xlines_TP10_254</t>
  </si>
  <si>
    <t>xlines_TP10_255</t>
  </si>
  <si>
    <t>xlines_TP10_256</t>
  </si>
  <si>
    <t>xlines_TP10_257</t>
  </si>
  <si>
    <t>xlines_TP10_258</t>
  </si>
  <si>
    <t>xlines_TP10_259</t>
  </si>
  <si>
    <t>xlines_TP10_260</t>
  </si>
  <si>
    <t>xlines_TP10_261</t>
  </si>
  <si>
    <t>xlines_TP10_262</t>
  </si>
  <si>
    <t>xlines_TP10_263</t>
  </si>
  <si>
    <t>xlines_TP10_264</t>
  </si>
  <si>
    <t>xlines_TP10_265</t>
  </si>
  <si>
    <t>xlines_TP10_266</t>
  </si>
  <si>
    <t>xlines_TP10_267</t>
  </si>
  <si>
    <t>xlines_TP10_268</t>
  </si>
  <si>
    <t>xlines_TP10_269</t>
  </si>
  <si>
    <t>xlines_TP10_270</t>
  </si>
  <si>
    <t>xlines_TP10_271</t>
  </si>
  <si>
    <t>xlines_TP10_272</t>
  </si>
  <si>
    <t>xlines_TP10_273</t>
  </si>
  <si>
    <t>xlines_TP10_274</t>
  </si>
  <si>
    <t>xlines_TP10_275</t>
  </si>
  <si>
    <t>xlines_TP10_276</t>
  </si>
  <si>
    <t>xlines_TP10_277</t>
  </si>
  <si>
    <t>xlines_TP10_278</t>
  </si>
  <si>
    <t>xlines_TP10_279</t>
  </si>
  <si>
    <t>xlines_TP10_280</t>
  </si>
  <si>
    <t>xlines_TP10_281</t>
  </si>
  <si>
    <t>xlines_TP10_282</t>
  </si>
  <si>
    <t>xlines_TP10_283</t>
  </si>
  <si>
    <t>xlines_TP10_284</t>
  </si>
  <si>
    <t>xlines_TP10_285</t>
  </si>
  <si>
    <t>xlines_TP10_286</t>
  </si>
  <si>
    <t>xlines_TP10_287</t>
  </si>
  <si>
    <t>xlines_TP10_288</t>
  </si>
  <si>
    <t>xlines_TP10_289</t>
  </si>
  <si>
    <t>xlines_TP10_290</t>
  </si>
  <si>
    <t>xlines_TP10_291</t>
  </si>
  <si>
    <t>xlines_TP10_292</t>
  </si>
  <si>
    <t>xlines_TP10_293</t>
  </si>
  <si>
    <t>xlines_TP10_294</t>
  </si>
  <si>
    <t>xlines_TP10_295</t>
  </si>
  <si>
    <t>xlines_TP10_296</t>
  </si>
  <si>
    <t>xlines_TP10_297</t>
  </si>
  <si>
    <t>xlines_TP10_298</t>
  </si>
  <si>
    <t>xlines_TP10_299</t>
  </si>
  <si>
    <t>xlines_TP10_300</t>
  </si>
  <si>
    <t>xlines_TP10_301</t>
  </si>
  <si>
    <t>xlines_TP10_302</t>
  </si>
  <si>
    <t>xlines_TP10_303</t>
  </si>
  <si>
    <t>xlines_TP10_304</t>
  </si>
  <si>
    <t>xlines_TP10_305</t>
  </si>
  <si>
    <t>xlines_TP10_306</t>
  </si>
  <si>
    <t>xlines_TP10_307</t>
  </si>
  <si>
    <t>xlines_TP10_308</t>
  </si>
  <si>
    <t>xlines_TP10_309</t>
  </si>
  <si>
    <t>xlines_TP10_310</t>
  </si>
  <si>
    <t>xlines_TP10_311</t>
  </si>
  <si>
    <t>xlines_TP10_312</t>
  </si>
  <si>
    <t>xlines_TP10_313</t>
  </si>
  <si>
    <t>xlines_TP10_314</t>
  </si>
  <si>
    <t>xlines_TP10_315</t>
  </si>
  <si>
    <t>xlines_TP10_316</t>
  </si>
  <si>
    <t>xlines_TP10_317</t>
  </si>
  <si>
    <t>xlines_TP10_318</t>
  </si>
  <si>
    <t>xlines_TP10_319</t>
  </si>
  <si>
    <t>xlines_TP10_320</t>
  </si>
  <si>
    <t>xlines_TP10_321</t>
  </si>
  <si>
    <t>xlines_TP10_322</t>
  </si>
  <si>
    <t>xlines_TP10_323</t>
  </si>
  <si>
    <t>xlines_TP10_324</t>
  </si>
  <si>
    <t>xlines_TP10_325</t>
  </si>
  <si>
    <t>xlines_TP10_326</t>
  </si>
  <si>
    <t>xlines_TP10_327</t>
  </si>
  <si>
    <t>xlines_TP10_328</t>
  </si>
  <si>
    <t>xlines_TP10_329</t>
  </si>
  <si>
    <t>xlines_TP10_330</t>
  </si>
  <si>
    <t>xlines_TP10_331</t>
  </si>
  <si>
    <t>xlines_TP10_332</t>
  </si>
  <si>
    <t>xlines_TP10_333</t>
  </si>
  <si>
    <t>xlines_TP10_334</t>
  </si>
  <si>
    <t>xlines_TP10_335</t>
  </si>
  <si>
    <t>xlines_TP10_336</t>
  </si>
  <si>
    <t>xlines_TP10_337</t>
  </si>
  <si>
    <t>xlines_TP10_338</t>
  </si>
  <si>
    <t>xlines_TP10_339</t>
  </si>
  <si>
    <t>xlines_TP10_340</t>
  </si>
  <si>
    <t>xlines_TP10_341</t>
  </si>
  <si>
    <t>xlines_TP10_342</t>
  </si>
  <si>
    <t>xlines_TP10_343</t>
  </si>
  <si>
    <t>xlines_TP10_344</t>
  </si>
  <si>
    <t>xlines_TP10_345</t>
  </si>
  <si>
    <t>xlines_TP10_346</t>
  </si>
  <si>
    <t>xlines_TP10_347</t>
  </si>
  <si>
    <t>xlines_TP10_348</t>
  </si>
  <si>
    <t>xlines_TP10_349</t>
  </si>
  <si>
    <t>xlines_TP10_350</t>
  </si>
  <si>
    <t>xlines_TP10_351</t>
  </si>
  <si>
    <t>xlines_TP10_352</t>
  </si>
  <si>
    <t>xlines_TP10_353</t>
  </si>
  <si>
    <t>xlines_TP10_354</t>
  </si>
  <si>
    <t>xlines_TP10_355</t>
  </si>
  <si>
    <t>xlines_TP10_356</t>
  </si>
  <si>
    <t>xlines_TP10_357</t>
  </si>
  <si>
    <t>xlines_TP10_358</t>
  </si>
  <si>
    <t>xlines_TP10_359</t>
  </si>
  <si>
    <t>xlines_TP10_360</t>
  </si>
  <si>
    <t>xlines_TP10_361</t>
  </si>
  <si>
    <t>xlines_TP10_362</t>
  </si>
  <si>
    <t>xlines_TP10_363</t>
  </si>
  <si>
    <t>xlines_TP10_364</t>
  </si>
  <si>
    <t>xlines_TP10_365</t>
  </si>
  <si>
    <t>xlines_TP10_366</t>
  </si>
  <si>
    <t>xlines_TP10_367</t>
  </si>
  <si>
    <t>xlines_TP10_368</t>
  </si>
  <si>
    <t>xlines_TP10_369</t>
  </si>
  <si>
    <t>xlines_TP10_370</t>
  </si>
  <si>
    <t>xlines_TP10_371</t>
  </si>
  <si>
    <t>xlines_TP10_372</t>
  </si>
  <si>
    <t>xlines_TP10_373</t>
  </si>
  <si>
    <t>xlines_TP10_374</t>
  </si>
  <si>
    <t>xlines_TP10_375</t>
  </si>
  <si>
    <t>xlines_TP10_376</t>
  </si>
  <si>
    <t>xlines_TP10_377</t>
  </si>
  <si>
    <t>xlines_TP10_378</t>
  </si>
  <si>
    <t>xlines_TP10_379</t>
  </si>
  <si>
    <t>xlines_TP10_380</t>
  </si>
  <si>
    <t>xlines_TP10_381</t>
  </si>
  <si>
    <t>xlines_TP10_382</t>
  </si>
  <si>
    <t>xlines_TP10_383</t>
  </si>
  <si>
    <t>xlines_TP10_384</t>
  </si>
  <si>
    <t>xlines_TP10_385</t>
  </si>
  <si>
    <t>xlines_TP10_386</t>
  </si>
  <si>
    <t>xlines_TP10_387</t>
  </si>
  <si>
    <t>xlines_TP10_388</t>
  </si>
  <si>
    <t>random_TP10_1</t>
  </si>
  <si>
    <t>random_TP10_2</t>
  </si>
  <si>
    <t>random_TP10_3</t>
  </si>
  <si>
    <t>random_TP10_4</t>
  </si>
  <si>
    <t>random_TP10_5</t>
  </si>
  <si>
    <t>random_TP10_6</t>
  </si>
  <si>
    <t>random_TP10_7</t>
  </si>
  <si>
    <t>random_TP10_8</t>
  </si>
  <si>
    <t>random_TP10_9</t>
  </si>
  <si>
    <t>random_TP10_10</t>
  </si>
  <si>
    <t>random_TP10_11</t>
  </si>
  <si>
    <t>random_TP10_12</t>
  </si>
  <si>
    <t>random_TP10_13</t>
  </si>
  <si>
    <t>random_TP10_14</t>
  </si>
  <si>
    <t>random_TP10_15</t>
  </si>
  <si>
    <t>random_TP10_16</t>
  </si>
  <si>
    <t>random_TP10_17</t>
  </si>
  <si>
    <t>random_TP10_18</t>
  </si>
  <si>
    <t>random_TP10_19</t>
  </si>
  <si>
    <t>random_TP10_20</t>
  </si>
  <si>
    <t>random_TP10_21</t>
  </si>
  <si>
    <t>random_TP10_22</t>
  </si>
  <si>
    <t>random_TP10_23</t>
  </si>
  <si>
    <t>random_TP10_24</t>
  </si>
  <si>
    <t>random_TP10_25</t>
  </si>
  <si>
    <t>random_TP10_26</t>
  </si>
  <si>
    <t>random_TP10_27</t>
  </si>
  <si>
    <t>random_TP10_28</t>
  </si>
  <si>
    <t>random_TP10_29</t>
  </si>
  <si>
    <t>random_TP10_30</t>
  </si>
  <si>
    <t>random_TP10_31</t>
  </si>
  <si>
    <t>random_TP10_32</t>
  </si>
  <si>
    <t>random_TP10_33</t>
  </si>
  <si>
    <t>random_TP10_34</t>
  </si>
  <si>
    <t>random_TP10_35</t>
  </si>
  <si>
    <t>random_TP10_36</t>
  </si>
  <si>
    <t>random_TP10_37</t>
  </si>
  <si>
    <t>random_TP10_38</t>
  </si>
  <si>
    <t>random_TP10_39</t>
  </si>
  <si>
    <t>random_TP10_40</t>
  </si>
  <si>
    <t>random_TP10_41</t>
  </si>
  <si>
    <t>random_TP10_42</t>
  </si>
  <si>
    <t>random_TP10_43</t>
  </si>
  <si>
    <t>random_TP10_44</t>
  </si>
  <si>
    <t>random_TP10_45</t>
  </si>
  <si>
    <t>random_TP10_46</t>
  </si>
  <si>
    <t>random_TP10_47</t>
  </si>
  <si>
    <t>random_TP10_48</t>
  </si>
  <si>
    <t>random_TP10_49</t>
  </si>
  <si>
    <t>random_TP10_50</t>
  </si>
  <si>
    <t>random_TP10_51</t>
  </si>
  <si>
    <t>random_TP10_52</t>
  </si>
  <si>
    <t>random_TP10_53</t>
  </si>
  <si>
    <t>random_TP10_54</t>
  </si>
  <si>
    <t>random_TP10_55</t>
  </si>
  <si>
    <t>random_TP10_56</t>
  </si>
  <si>
    <t>random_TP10_57</t>
  </si>
  <si>
    <t>random_TP10_58</t>
  </si>
  <si>
    <t>random_TP10_59</t>
  </si>
  <si>
    <t>random_TP10_60</t>
  </si>
  <si>
    <t>random_TP10_61</t>
  </si>
  <si>
    <t>random_TP10_62</t>
  </si>
  <si>
    <t>random_TP10_63</t>
  </si>
  <si>
    <t>random_TP10_64</t>
  </si>
  <si>
    <t>random_TP10_66</t>
  </si>
  <si>
    <t>random_TP10_67</t>
  </si>
  <si>
    <t>random_TP10_68</t>
  </si>
  <si>
    <t>random_TP10_69</t>
  </si>
  <si>
    <t>random_TP10_70</t>
  </si>
  <si>
    <t>random_TP10_71</t>
  </si>
  <si>
    <t>random_TP10_72</t>
  </si>
  <si>
    <t>random_TP10_73</t>
  </si>
  <si>
    <t>random_TP10_74</t>
  </si>
  <si>
    <t>random_TP10_75</t>
  </si>
  <si>
    <t>random_TP10_76</t>
  </si>
  <si>
    <t>random_TP10_77</t>
  </si>
  <si>
    <t>random_TP10_78</t>
  </si>
  <si>
    <t>random_TP10_79</t>
  </si>
  <si>
    <t>random_TP10_80</t>
  </si>
  <si>
    <t>random_TP10_81</t>
  </si>
  <si>
    <t>random_TP10_82</t>
  </si>
  <si>
    <t>random_TP10_83</t>
  </si>
  <si>
    <t>random_TP10_84</t>
  </si>
  <si>
    <t>random_TP10_85</t>
  </si>
  <si>
    <t>random_TP10_86</t>
  </si>
  <si>
    <t>random_TP10_87</t>
  </si>
  <si>
    <t>random_TP10_88</t>
  </si>
  <si>
    <t>random_TP10_89</t>
  </si>
  <si>
    <t>random_TP10_90</t>
  </si>
  <si>
    <t>random_TP10_91</t>
  </si>
  <si>
    <t>random_TP10_92</t>
  </si>
  <si>
    <t>random_TP10_93</t>
  </si>
  <si>
    <t>random_TP10_94</t>
  </si>
  <si>
    <t>random_TP10_95</t>
  </si>
  <si>
    <t>random_TP10_96</t>
  </si>
  <si>
    <t>random_TP10_97</t>
  </si>
  <si>
    <t>random_TP10_98</t>
  </si>
  <si>
    <t>random_TP10_99</t>
  </si>
  <si>
    <t>random_TP10_100</t>
  </si>
  <si>
    <t>random_TP10_101</t>
  </si>
  <si>
    <t>random_TP10_102</t>
  </si>
  <si>
    <t>random_TP10_103</t>
  </si>
  <si>
    <t>random_TP10_104</t>
  </si>
  <si>
    <t>random_TP10_105</t>
  </si>
  <si>
    <t>random_TP10_106</t>
  </si>
  <si>
    <t>random_TP10_107</t>
  </si>
  <si>
    <t>random_TP10_108</t>
  </si>
  <si>
    <t>random_TP10_109</t>
  </si>
  <si>
    <t>random_TP10_110</t>
  </si>
  <si>
    <t>random_TP10_111</t>
  </si>
  <si>
    <t>random_TP10_112</t>
  </si>
  <si>
    <t>random_TP10_113</t>
  </si>
  <si>
    <t>random_TP10_114</t>
  </si>
  <si>
    <t>random_TP10_115</t>
  </si>
  <si>
    <t>random_TP10_116</t>
  </si>
  <si>
    <t>random_TP10_117</t>
  </si>
  <si>
    <t>random_TP10_118</t>
  </si>
  <si>
    <t>random_TP10_119</t>
  </si>
  <si>
    <t>random_TP10_120</t>
  </si>
  <si>
    <t>random_TP10_121</t>
  </si>
  <si>
    <t>random_TP10_122</t>
  </si>
  <si>
    <t>random_TP10_123</t>
  </si>
  <si>
    <t>random_TP10_124</t>
  </si>
  <si>
    <t>random_TP10_125</t>
  </si>
  <si>
    <t>random_TP10_126</t>
  </si>
  <si>
    <t>random_TP10_127</t>
  </si>
  <si>
    <t>radius_TP10_1</t>
  </si>
  <si>
    <t>radius_TP10_2</t>
  </si>
  <si>
    <t>radius_TP10_3</t>
  </si>
  <si>
    <t>radius_TP10_4</t>
  </si>
  <si>
    <t>radius_TP10_5</t>
  </si>
  <si>
    <t>radius_TP10_6</t>
  </si>
  <si>
    <t>radius_TP10_7</t>
  </si>
  <si>
    <t>radius_TP10_8</t>
  </si>
  <si>
    <t>radius_TP10_9</t>
  </si>
  <si>
    <t>radius_TP10_10</t>
  </si>
  <si>
    <t>radius_TP10_11</t>
  </si>
  <si>
    <t>radius_TP10_12</t>
  </si>
  <si>
    <t>radius_TP10_13</t>
  </si>
  <si>
    <t>radius_TP10_14</t>
  </si>
  <si>
    <t>radius_TP10_15</t>
  </si>
  <si>
    <t>radius_TP10_16</t>
  </si>
  <si>
    <t>radius_TP10_17</t>
  </si>
  <si>
    <t>radius_TP10_18</t>
  </si>
  <si>
    <t>radius_TP10_19</t>
  </si>
  <si>
    <t>radius_TP10_20</t>
  </si>
  <si>
    <t>radius_TP10_21</t>
  </si>
  <si>
    <t>radius_TP10_22</t>
  </si>
  <si>
    <t>radius_TP10_23</t>
  </si>
  <si>
    <t>radius_TP10_24</t>
  </si>
  <si>
    <t>radius_TP10_25</t>
  </si>
  <si>
    <t>radius_TP10_26</t>
  </si>
  <si>
    <t>radius_TP10_27</t>
  </si>
  <si>
    <t>radius_TP10_28</t>
  </si>
  <si>
    <t>radius_TP10_29</t>
  </si>
  <si>
    <t>radius_TP10_30</t>
  </si>
  <si>
    <t>radius_TP10_31</t>
  </si>
  <si>
    <t>radius_TP10_32</t>
  </si>
  <si>
    <t>radius_TP10_33</t>
  </si>
  <si>
    <t>radius_TP10_34</t>
  </si>
  <si>
    <t>radius_TP10_35</t>
  </si>
  <si>
    <t>radius_TP10_36</t>
  </si>
  <si>
    <t>radius_TP10_37</t>
  </si>
  <si>
    <t>radius_TP10_38</t>
  </si>
  <si>
    <t>radius_TP10_39</t>
  </si>
  <si>
    <t>radius_TP10_40</t>
  </si>
  <si>
    <t>radius_TP10_41</t>
  </si>
  <si>
    <t>radius_TP10_42</t>
  </si>
  <si>
    <t>radius_TP10_43</t>
  </si>
  <si>
    <t>radius_TP10_44</t>
  </si>
  <si>
    <t>radius_TP10_45</t>
  </si>
  <si>
    <t>radius_TP10_46</t>
  </si>
  <si>
    <t>radius_TP10_47</t>
  </si>
  <si>
    <t>radius_TP10_48</t>
  </si>
  <si>
    <t>radius_TP10_49</t>
  </si>
  <si>
    <t>radius_TP10_50</t>
  </si>
  <si>
    <t>radius_TP10_51</t>
  </si>
  <si>
    <t>radius_TP10_52</t>
  </si>
  <si>
    <t>radius_TP10_53</t>
  </si>
  <si>
    <t>radius_TP10_54</t>
  </si>
  <si>
    <t>radius_TP10_55</t>
  </si>
  <si>
    <t>radius_TP10_56</t>
  </si>
  <si>
    <t>radius_TP10_57</t>
  </si>
  <si>
    <t>radius_TP10_58</t>
  </si>
  <si>
    <t>radius_TP10_59</t>
  </si>
  <si>
    <t>radius_TP10_60</t>
  </si>
  <si>
    <t>bowtie_TP10_1</t>
  </si>
  <si>
    <t>bowtie_TP10_2</t>
  </si>
  <si>
    <t>bowtie_TP10_3</t>
  </si>
  <si>
    <t>bowtie_TP10_4</t>
  </si>
  <si>
    <t>bowtie_TP10_5</t>
  </si>
  <si>
    <t>bowtie_TP10_6</t>
  </si>
  <si>
    <t>bowtie_TP10_7</t>
  </si>
  <si>
    <t>bowtie_TP10_8</t>
  </si>
  <si>
    <t>bowtie_TP10_9</t>
  </si>
  <si>
    <t>bowtie_TP10_10</t>
  </si>
  <si>
    <t>bowtie_TP10_11</t>
  </si>
  <si>
    <t>bowtie_TP10_12</t>
  </si>
  <si>
    <t>bowtie_TP10_13</t>
  </si>
  <si>
    <t>bowtie_TP10_14</t>
  </si>
  <si>
    <t>bowtie_TP10_15</t>
  </si>
  <si>
    <t>bowtie_TP10_17</t>
  </si>
  <si>
    <t>bowtie_TP10_18</t>
  </si>
  <si>
    <t>bowtie_TP10_19</t>
  </si>
  <si>
    <t>bowtie_TP10_20</t>
  </si>
  <si>
    <t>bowtie_TP10_21</t>
  </si>
  <si>
    <t>bowtie_TP10_22</t>
  </si>
  <si>
    <t>bowtie_TP10_23</t>
  </si>
  <si>
    <t>bowtie_TP10_24</t>
  </si>
  <si>
    <t>bowtie_TP10_25</t>
  </si>
  <si>
    <t>bowtie_TP10_26</t>
  </si>
  <si>
    <t>bowtie_TP10_27</t>
  </si>
  <si>
    <t>bowtie_TP10_28</t>
  </si>
  <si>
    <t>bowtie_TP10_29</t>
  </si>
  <si>
    <t>bowtie_TP10_30</t>
  </si>
  <si>
    <t>bowtie_TP10_31</t>
  </si>
  <si>
    <t>bowtie_TP10_32</t>
  </si>
  <si>
    <t>bowtie_TP10_33</t>
  </si>
  <si>
    <t>bowtie_TP10_34</t>
  </si>
  <si>
    <t>bowtie_TP10_35</t>
  </si>
  <si>
    <t>bowtie_TP10_36</t>
  </si>
  <si>
    <t>bowtie_TP10_37</t>
  </si>
  <si>
    <t>bowtie_TP10_38</t>
  </si>
  <si>
    <t>bowtie_TP10_39</t>
  </si>
  <si>
    <t>bowtie_TP10_40</t>
  </si>
  <si>
    <t>bowtie_TP10_41</t>
  </si>
  <si>
    <t>bowtie_TP10_42</t>
  </si>
  <si>
    <t>bowtie_TP10_43</t>
  </si>
  <si>
    <t>bowtie_TP10_44</t>
  </si>
  <si>
    <t>bowtie_TP10_45</t>
  </si>
  <si>
    <t>bowtie_TP10_46</t>
  </si>
  <si>
    <t>bowtie_TP10_47</t>
  </si>
  <si>
    <t>bowtie_TP10_48</t>
  </si>
  <si>
    <t>bowtie_TP10_49</t>
  </si>
  <si>
    <t>bowtie_TP10_50</t>
  </si>
  <si>
    <t>bowtie_TP10_51</t>
  </si>
  <si>
    <t>bowtie_TP10_52</t>
  </si>
  <si>
    <t>bowtie_TP10_53</t>
  </si>
  <si>
    <t>bowtie_TP10_55</t>
  </si>
  <si>
    <t>bowtie_TP10_56</t>
  </si>
  <si>
    <t>bowtie_TP10_57</t>
  </si>
  <si>
    <t>bowtie_TP10_58</t>
  </si>
  <si>
    <t>bowtie_TP10_59</t>
  </si>
  <si>
    <t>bowtie_TP10_60</t>
  </si>
  <si>
    <t>bowtie_TP10_61</t>
  </si>
  <si>
    <t>bowtie_TP10_62</t>
  </si>
  <si>
    <t>bowtie_TP10_63</t>
  </si>
  <si>
    <t>bowtie_TP10_64</t>
  </si>
  <si>
    <t>bowtie_TP10_65</t>
  </si>
  <si>
    <t>bowtie_TP10_66</t>
  </si>
  <si>
    <t>bowtie_TP10_67</t>
  </si>
  <si>
    <t>bowtie_TP10_68</t>
  </si>
  <si>
    <t>yzbox_TP10_1</t>
  </si>
  <si>
    <t>yzbox_TP10_2</t>
  </si>
  <si>
    <t>yzbox_TP10_3</t>
  </si>
  <si>
    <t>yzbox_TP10_4</t>
  </si>
  <si>
    <t>yzbox_TP10_5</t>
  </si>
  <si>
    <t>yzbox_TP10_6</t>
  </si>
  <si>
    <t>yzbox_TP10_7</t>
  </si>
  <si>
    <t>yzbox_TP10_8</t>
  </si>
  <si>
    <t>yzbox_TP10_9</t>
  </si>
  <si>
    <t>yzbox_TP10_10</t>
  </si>
  <si>
    <t>yzbox_TP10_11</t>
  </si>
  <si>
    <t>yzbox_TP10_12</t>
  </si>
  <si>
    <t>yzbox_TP10_13</t>
  </si>
  <si>
    <t>yzbox_TP10_14</t>
  </si>
  <si>
    <t>yzbox_TP10_15</t>
  </si>
  <si>
    <t>yzbox_TP10_16</t>
  </si>
  <si>
    <t>yzbox_TP10_17</t>
  </si>
  <si>
    <t>yzbox_TP10_18</t>
  </si>
  <si>
    <t>yzbox_TP10_19</t>
  </si>
  <si>
    <t>yzbox_TP10_20</t>
  </si>
  <si>
    <t>yzbox_TP10_21</t>
  </si>
  <si>
    <t>yzbox_TP10_22</t>
  </si>
  <si>
    <t>yzbox_TP10_23</t>
  </si>
  <si>
    <t>yzbox_TP10_24</t>
  </si>
  <si>
    <t>yzbox_TP10_25</t>
  </si>
  <si>
    <t>yzbox_TP10_26</t>
  </si>
  <si>
    <t>yzbox_TP10_27</t>
  </si>
  <si>
    <t>yzbox_TP10_28</t>
  </si>
  <si>
    <t>yzbox_TP10_29</t>
  </si>
  <si>
    <t>yzbox_TP10_30</t>
  </si>
  <si>
    <t>yzbox_TP10_31</t>
  </si>
  <si>
    <t>yzbox_TP10_32</t>
  </si>
  <si>
    <t>yzbox_TP10_33</t>
  </si>
  <si>
    <t>yzbox_TP10_34</t>
  </si>
  <si>
    <t>yzbox_TP10_35</t>
  </si>
  <si>
    <t>yzbox_TP10_36</t>
  </si>
  <si>
    <t>yzbox_TP10_37</t>
  </si>
  <si>
    <t>yzbox_TP10_38</t>
  </si>
  <si>
    <t>yzbox_TP10_39</t>
  </si>
  <si>
    <t>yzbox_TP10_40</t>
  </si>
  <si>
    <t>yzbox_TP10_41</t>
  </si>
  <si>
    <t>yzbox_TP10_42</t>
  </si>
  <si>
    <t>yzbox_TP10_43</t>
  </si>
  <si>
    <t>yzbox_TP10_44</t>
  </si>
  <si>
    <t>yzbox_TP10_45</t>
  </si>
  <si>
    <t>yzbox_TP10_46</t>
  </si>
  <si>
    <t>yzbox_TP10_47</t>
  </si>
  <si>
    <t>yzbox_TP10_48</t>
  </si>
  <si>
    <t>yzbox_TP10_49</t>
  </si>
  <si>
    <t>yzbox_TP10_50</t>
  </si>
  <si>
    <t>yzbox_TP10_51</t>
  </si>
  <si>
    <t>yzbox_TP10_52</t>
  </si>
  <si>
    <t>yzbox_TP10_53</t>
  </si>
  <si>
    <t>yzbox_TP10_54</t>
  </si>
  <si>
    <t>yzbox_TP10_55</t>
  </si>
  <si>
    <t>yzbox_TP10_56</t>
  </si>
  <si>
    <t>yzbox_TP10_57</t>
  </si>
  <si>
    <t>yzbox_TP10_58</t>
  </si>
  <si>
    <t>yzbox_TP10_59</t>
  </si>
  <si>
    <t>yzbox_TP10_60</t>
  </si>
  <si>
    <t>yzbox_TP10_61</t>
  </si>
  <si>
    <t>yzbox_TP10_62</t>
  </si>
  <si>
    <t>yzbox_TP10_63</t>
  </si>
  <si>
    <t>yzbox_TP10_64</t>
  </si>
  <si>
    <t>yzbox_TP10_65</t>
  </si>
  <si>
    <t>yzbox_TP10_66</t>
  </si>
  <si>
    <t>yzbox_TP10_67</t>
  </si>
  <si>
    <t>yzbox_TP10_68</t>
  </si>
  <si>
    <t>yzbox_TP10_69</t>
  </si>
  <si>
    <t>yzbox_TP10_70</t>
  </si>
  <si>
    <t>yzbox_TP10_71</t>
  </si>
  <si>
    <t>yzbox_TP10_72</t>
  </si>
  <si>
    <t>yzbox_TP10_73</t>
  </si>
  <si>
    <t>yzbox_TP10_74</t>
  </si>
  <si>
    <t>yzbox_TP10_75</t>
  </si>
  <si>
    <t>yzbox_TP10_76</t>
  </si>
  <si>
    <t>yzbox_TP10_77</t>
  </si>
  <si>
    <t>yzbox_TP10_78</t>
  </si>
  <si>
    <t>yzbox_TP10_79</t>
  </si>
  <si>
    <t>yzbox_TP10_80</t>
  </si>
  <si>
    <t>yzbox_TP10_81</t>
  </si>
  <si>
    <t>yzbox_TP10_82</t>
  </si>
  <si>
    <t>yzbox_TP10_83</t>
  </si>
  <si>
    <t>yzbox_TP10_84</t>
  </si>
  <si>
    <t>yzbox_TP10_85</t>
  </si>
  <si>
    <t>yzbox_TP10_86</t>
  </si>
  <si>
    <t>yzbox_TP10_87</t>
  </si>
  <si>
    <t>yzbox_TP10_88</t>
  </si>
  <si>
    <t>yzbox_TP10_89</t>
  </si>
  <si>
    <t>yzbox_TP10_90</t>
  </si>
  <si>
    <t>yzbox_TP10_91</t>
  </si>
  <si>
    <t>yzbox_TP10_92</t>
  </si>
  <si>
    <t>yzbox_TP10_93</t>
  </si>
  <si>
    <t>yzbox_TP10_94</t>
  </si>
  <si>
    <t>yzbox_TP10_95</t>
  </si>
  <si>
    <t>yzbox_TP10_96</t>
  </si>
  <si>
    <t>yzbox_TP10_97</t>
  </si>
  <si>
    <t>yzbox_TP10_98</t>
  </si>
  <si>
    <t>yzbox_TP10_99</t>
  </si>
  <si>
    <t>yzbox_TP10_100</t>
  </si>
  <si>
    <t>yzbox_TP10_101</t>
  </si>
  <si>
    <t>yzbox_TP10_102</t>
  </si>
  <si>
    <t>yzbox_TP10_103</t>
  </si>
  <si>
    <t>yzbox_TP10_104</t>
  </si>
  <si>
    <t>yzbox_TP10_105</t>
  </si>
  <si>
    <t>yzbox_TP10_106</t>
  </si>
  <si>
    <t>yzbox_TP10_107</t>
  </si>
  <si>
    <t>yzbox_TP10_108</t>
  </si>
  <si>
    <t>yzbox_TP10_109</t>
  </si>
  <si>
    <t>yzbox_TP10_110</t>
  </si>
  <si>
    <t>yzbox_TP10_111</t>
  </si>
  <si>
    <t>yzbox_TP10_112</t>
  </si>
  <si>
    <t>yzbox_TP10_113</t>
  </si>
  <si>
    <t>yzbox_TP10_114</t>
  </si>
  <si>
    <t>yzbox_TP10_115</t>
  </si>
  <si>
    <t>yzbox_TP10_116</t>
  </si>
  <si>
    <t>yzbox_TP10_117</t>
  </si>
  <si>
    <t>yzbox_TP10_118</t>
  </si>
  <si>
    <t>yzbox_TP10_119</t>
  </si>
  <si>
    <t>yzbox_TP10_120</t>
  </si>
  <si>
    <t>yzbox_TP10_121</t>
  </si>
  <si>
    <t>yzbox_TP10_122</t>
  </si>
  <si>
    <t>yzbox_TP10_123</t>
  </si>
  <si>
    <t>yzbox_TP10_124</t>
  </si>
  <si>
    <t>yzbox_TP10_125</t>
  </si>
  <si>
    <t>yzbox_TP10_126</t>
  </si>
  <si>
    <t>yzbox_TP10_127</t>
  </si>
  <si>
    <t>yzbox_TP10_128</t>
  </si>
  <si>
    <t>yzbox_TP10_129</t>
  </si>
  <si>
    <t>yzbox_TP10_130</t>
  </si>
  <si>
    <t>yzbox_TP10_131</t>
  </si>
  <si>
    <t>yzbox_TP10_132</t>
  </si>
  <si>
    <t>yzbox_TP10_133</t>
  </si>
  <si>
    <t>yzbox_TP10_134</t>
  </si>
  <si>
    <t>yzbox_TP10_135</t>
  </si>
  <si>
    <t>yzbox_TP10_136</t>
  </si>
  <si>
    <t>yzbox_TP10_137</t>
  </si>
  <si>
    <t>yzbox_TP10_138</t>
  </si>
  <si>
    <t>yzbox_TP10_139</t>
  </si>
  <si>
    <t>yzbox_TP10_140</t>
  </si>
  <si>
    <t>yzbox_TP10_141</t>
  </si>
  <si>
    <t>yzbox_TP10_142</t>
  </si>
  <si>
    <t>yzbox_TP10_143</t>
  </si>
  <si>
    <t>yzbox_TP10_144</t>
  </si>
  <si>
    <t>yzbox_TP10_145</t>
  </si>
  <si>
    <t>yzbox_TP10_146</t>
  </si>
  <si>
    <t>yzbox_TP10_147</t>
  </si>
  <si>
    <t>yzbox_TP10_148</t>
  </si>
  <si>
    <t>yzbox_TP10_149</t>
  </si>
  <si>
    <t>yzbox_TP10_150</t>
  </si>
  <si>
    <t>coupon_TP10_1</t>
  </si>
  <si>
    <t>coupon_TP10_2</t>
  </si>
  <si>
    <t>coupon_TP10_3</t>
  </si>
  <si>
    <t>coupon_TP10_4</t>
  </si>
  <si>
    <t>abc90_TP2_1</t>
  </si>
  <si>
    <t>abc90_TP2_2</t>
  </si>
  <si>
    <t>abc90_TP2_3</t>
  </si>
  <si>
    <t>abc90_TP2_4</t>
  </si>
  <si>
    <t>abc90_TP2_5</t>
  </si>
  <si>
    <t>abc90_TP2_6</t>
  </si>
  <si>
    <t>abc90_TP2_7</t>
  </si>
  <si>
    <t>abc90_TP2_9</t>
  </si>
  <si>
    <t>abc90_TP2_10</t>
  </si>
  <si>
    <t>abc90_TP2_11</t>
  </si>
  <si>
    <t>abc90_TP2_12</t>
  </si>
  <si>
    <t>abc90_TP2_13</t>
  </si>
  <si>
    <t>abc90_TP2_14</t>
  </si>
  <si>
    <t>abc90_TP2_15</t>
  </si>
  <si>
    <t>abc90_TP2_16</t>
  </si>
  <si>
    <t>abc90_TP2_17</t>
  </si>
  <si>
    <t>abc90_TP2_18</t>
  </si>
  <si>
    <t>abc90_TP2_19</t>
  </si>
  <si>
    <t>abc90_TP2_20</t>
  </si>
  <si>
    <t>abc90_TP2_21</t>
  </si>
  <si>
    <t>abc90_TP2_22</t>
  </si>
  <si>
    <t>abc90_TP2_23</t>
  </si>
  <si>
    <t>abc90_TP2_24</t>
  </si>
  <si>
    <t>abc90_TP2_25</t>
  </si>
  <si>
    <t>abc90_TP2_27</t>
  </si>
  <si>
    <t>abc90_TP2_28</t>
  </si>
  <si>
    <t>abc90_TP2_29</t>
  </si>
  <si>
    <t>abc90_TP2_30</t>
  </si>
  <si>
    <t>abc90_TP2_31</t>
  </si>
  <si>
    <t>abc90_TP2_32</t>
  </si>
  <si>
    <t>abc90_TP2_33</t>
  </si>
  <si>
    <t>abc90_TP2_34</t>
  </si>
  <si>
    <t>abc90_TP2_35</t>
  </si>
  <si>
    <t>abc90_TP2_36</t>
  </si>
  <si>
    <t>abc90_TP2_37</t>
  </si>
  <si>
    <t>abc90_TP2_38</t>
  </si>
  <si>
    <t>abc90_TP2_39</t>
  </si>
  <si>
    <t>abc90_TP2_40</t>
  </si>
  <si>
    <t>abc90_TP2_41</t>
  </si>
  <si>
    <t>abc90_TP2_42</t>
  </si>
  <si>
    <t>abc90_TP2_43</t>
  </si>
  <si>
    <t>abc90_TP2_44</t>
  </si>
  <si>
    <t>abc90_TP2_45</t>
  </si>
  <si>
    <t>abc90_TP2_47</t>
  </si>
  <si>
    <t>abc90_TP2_48</t>
  </si>
  <si>
    <t>abc90_TP3_1</t>
  </si>
  <si>
    <t>abc90_TP3_2</t>
  </si>
  <si>
    <t>abc90_TP3_3</t>
  </si>
  <si>
    <t>abc90_TP3_4</t>
  </si>
  <si>
    <t>abc90_TP3_5</t>
  </si>
  <si>
    <t>abc90_TP3_6</t>
  </si>
  <si>
    <t>abc90_TP3_7</t>
  </si>
  <si>
    <t>abc90_TP3_8</t>
  </si>
  <si>
    <t>abc90_TP3_9</t>
  </si>
  <si>
    <t>abc90_TP3_10</t>
  </si>
  <si>
    <t>abc90_TP3_11</t>
  </si>
  <si>
    <t>abc90_TP3_12</t>
  </si>
  <si>
    <t>abc90_TP3_13</t>
  </si>
  <si>
    <t>abc90_TP3_14</t>
  </si>
  <si>
    <t>abc90_TP3_15</t>
  </si>
  <si>
    <t>abc90_TP3_16</t>
  </si>
  <si>
    <t>abc90_TP3_17</t>
  </si>
  <si>
    <t>abc90_TP3_18</t>
  </si>
  <si>
    <t>abc90_TP3_19</t>
  </si>
  <si>
    <t>abc90_TP3_20</t>
  </si>
  <si>
    <t>abc90_TP3_21</t>
  </si>
  <si>
    <t>abc90_TP3_22</t>
  </si>
  <si>
    <t>abc90_TP3_23</t>
  </si>
  <si>
    <t>abc90_TP3_24</t>
  </si>
  <si>
    <t>abc90_TP3_25</t>
  </si>
  <si>
    <t>abc90_TP3_26</t>
  </si>
  <si>
    <t>abc90_TP3_27</t>
  </si>
  <si>
    <t>abc90_TP3_28</t>
  </si>
  <si>
    <t>abc90_TP3_29</t>
  </si>
  <si>
    <t>abc90_TP3_30</t>
  </si>
  <si>
    <t>abc90_TP3_31</t>
  </si>
  <si>
    <t>abc90_TP3_32</t>
  </si>
  <si>
    <t>abc90_TP3_33</t>
  </si>
  <si>
    <t>abc90_TP3_34</t>
  </si>
  <si>
    <t>abc90_TP3_35</t>
  </si>
  <si>
    <t>abc90_TP3_36</t>
  </si>
  <si>
    <t>abc90_TP3_37</t>
  </si>
  <si>
    <t>abc90_TP3_39</t>
  </si>
  <si>
    <t>abc90_TP3_40</t>
  </si>
  <si>
    <t>abc90_TP3_41</t>
  </si>
  <si>
    <t>abc90_TP3_42</t>
  </si>
  <si>
    <t>abc90_TP3_43</t>
  </si>
  <si>
    <t>abc90_TP3_44</t>
  </si>
  <si>
    <t>abc90_TP3_45</t>
  </si>
  <si>
    <t>abc90_TP3_46</t>
  </si>
  <si>
    <t>abc90_TP3_47</t>
  </si>
  <si>
    <t>abc90_TP3_48</t>
  </si>
  <si>
    <t>abc90_TP4_1</t>
  </si>
  <si>
    <t>abc90_TP4_2</t>
  </si>
  <si>
    <t>abc90_TP4_3</t>
  </si>
  <si>
    <t>abc90_TP4_4</t>
  </si>
  <si>
    <t>abc90_TP4_5</t>
  </si>
  <si>
    <t>abc90_TP4_6</t>
  </si>
  <si>
    <t>abc90_TP4_7</t>
  </si>
  <si>
    <t>abc90_TP4_8</t>
  </si>
  <si>
    <t>abc90_TP4_9</t>
  </si>
  <si>
    <t>abc90_TP4_10</t>
  </si>
  <si>
    <t>abc90_TP4_11</t>
  </si>
  <si>
    <t>abc90_TP4_12</t>
  </si>
  <si>
    <t>abc90_TP4_13</t>
  </si>
  <si>
    <t>abc90_TP4_14</t>
  </si>
  <si>
    <t>abc90_TP4_15</t>
  </si>
  <si>
    <t>abc90_TP4_16</t>
  </si>
  <si>
    <t>abc90_TP4_17</t>
  </si>
  <si>
    <t>abc90_TP4_18</t>
  </si>
  <si>
    <t>abc90_TP4_19</t>
  </si>
  <si>
    <t>abc90_TP4_20</t>
  </si>
  <si>
    <t>abc90_TP4_21</t>
  </si>
  <si>
    <t>abc90_TP4_22</t>
  </si>
  <si>
    <t>abc90_TP4_23</t>
  </si>
  <si>
    <t>abc90_TP4_24</t>
  </si>
  <si>
    <t>abc90_TP4_25</t>
  </si>
  <si>
    <t>abc90_TP4_26</t>
  </si>
  <si>
    <t>abc90_TP4_27</t>
  </si>
  <si>
    <t>abc90_TP4_28</t>
  </si>
  <si>
    <t>abc90_TP4_29</t>
  </si>
  <si>
    <t>abc90_TP4_30</t>
  </si>
  <si>
    <t>abc90_TP4_31</t>
  </si>
  <si>
    <t>abc90_TP4_32</t>
  </si>
  <si>
    <t>abc90_TP4_33</t>
  </si>
  <si>
    <t>abc90_TP4_34</t>
  </si>
  <si>
    <t>abc90_TP4_35</t>
  </si>
  <si>
    <t>abc90_TP4_36</t>
  </si>
  <si>
    <t>abc90_TP4_37</t>
  </si>
  <si>
    <t>abc90_TP4_38</t>
  </si>
  <si>
    <t>abc90_TP4_39</t>
  </si>
  <si>
    <t>abc90_TP4_40</t>
  </si>
  <si>
    <t>abc90_TP4_41</t>
  </si>
  <si>
    <t>abc90_TP4_42</t>
  </si>
  <si>
    <t>abc90_TP4_43</t>
  </si>
  <si>
    <t>abc90_TP4_44</t>
  </si>
  <si>
    <t>abc90_TP4_45</t>
  </si>
  <si>
    <t>abc90_TP4_46</t>
  </si>
  <si>
    <t>abc90_TP4_47</t>
  </si>
  <si>
    <t>abc90_TP4_48</t>
  </si>
  <si>
    <t>abcn90_TP2_1</t>
  </si>
  <si>
    <t>abcn90_TP2_2</t>
  </si>
  <si>
    <t>abcn90_TP2_3</t>
  </si>
  <si>
    <t>abcn90_TP2_4</t>
  </si>
  <si>
    <t>abcn90_TP2_5</t>
  </si>
  <si>
    <t>abcn90_TP2_7</t>
  </si>
  <si>
    <t>abcn90_TP2_12</t>
  </si>
  <si>
    <t>abcn90_TP2_13</t>
  </si>
  <si>
    <t>abcn90_TP2_14</t>
  </si>
  <si>
    <t>abcn90_TP2_15</t>
  </si>
  <si>
    <t>abcn90_TP2_16</t>
  </si>
  <si>
    <t>abcn90_TP2_17</t>
  </si>
  <si>
    <t>abcn90_TP2_18</t>
  </si>
  <si>
    <t>abcn90_TP2_19</t>
  </si>
  <si>
    <t>abcn90_TP2_20</t>
  </si>
  <si>
    <t>abcn90_TP2_21</t>
  </si>
  <si>
    <t>abcn90_TP2_22</t>
  </si>
  <si>
    <t>abcn90_TP2_23</t>
  </si>
  <si>
    <t>abcn90_TP2_24</t>
  </si>
  <si>
    <t>abcn90_TP2_25</t>
  </si>
  <si>
    <t>abc90_TP2_26</t>
  </si>
  <si>
    <t>abcn90_TP2_41</t>
  </si>
  <si>
    <t>abcn90_TP2_42</t>
  </si>
  <si>
    <t>abcn90_TP2_43</t>
  </si>
  <si>
    <t>abcn90_TP2_45</t>
  </si>
  <si>
    <t>abcn90_TP2_46</t>
  </si>
  <si>
    <t>abcn90_TP2_47</t>
  </si>
  <si>
    <t>abcn90_TP3_1</t>
  </si>
  <si>
    <t>abcn90_TP3_2</t>
  </si>
  <si>
    <t>abcn90_TP3_3</t>
  </si>
  <si>
    <t>abcn90_TP3_4</t>
  </si>
  <si>
    <t>abcn90_TP3_5</t>
  </si>
  <si>
    <t>abcn90_TP3_6</t>
  </si>
  <si>
    <t>abcn90_TP3_7</t>
  </si>
  <si>
    <t>abcn90_TP3_8</t>
  </si>
  <si>
    <t>abcn90_TP3_12</t>
  </si>
  <si>
    <t>abcn90_TP3_13</t>
  </si>
  <si>
    <t>abcn90_TP3_14</t>
  </si>
  <si>
    <t>abcn90_TP3_15</t>
  </si>
  <si>
    <t>abcn90_TP3_16</t>
  </si>
  <si>
    <t>abcn90_TP3_17</t>
  </si>
  <si>
    <t>abcn90_TP3_18</t>
  </si>
  <si>
    <t>abcn90_TP3_19</t>
  </si>
  <si>
    <t>abcn90_TP3_20</t>
  </si>
  <si>
    <t>abcn90_TP3_21</t>
  </si>
  <si>
    <t>abcn90_TP3_22</t>
  </si>
  <si>
    <t>abcn90_TP3_23</t>
  </si>
  <si>
    <t>abcn90_TP3_24</t>
  </si>
  <si>
    <t>abcn90_TP3_25</t>
  </si>
  <si>
    <t>abc90_TP3_38</t>
  </si>
  <si>
    <t>abcn90_TP3_41</t>
  </si>
  <si>
    <t>abcn90_TP3_42</t>
  </si>
  <si>
    <t>abcn90_TP3_43</t>
  </si>
  <si>
    <t>abcn90_TP3_44</t>
  </si>
  <si>
    <t>abcn90_TP3_45</t>
  </si>
  <si>
    <t>abcn90_TP3_46</t>
  </si>
  <si>
    <t>abcn90_TP3_47</t>
  </si>
  <si>
    <t>abcn90_TP3_48</t>
  </si>
  <si>
    <t>abcn90_TP4_1</t>
  </si>
  <si>
    <t>abcn90_TP4_2</t>
  </si>
  <si>
    <t>abcn90_TP4_3</t>
  </si>
  <si>
    <t>abcn90_TP4_4</t>
  </si>
  <si>
    <t>abcn90_TP4_5</t>
  </si>
  <si>
    <t>abcn90_TP4_6</t>
  </si>
  <si>
    <t>abcn90_TP4_7</t>
  </si>
  <si>
    <t>abcn90_TP4_8</t>
  </si>
  <si>
    <t>abcn90_TP4_12</t>
  </si>
  <si>
    <t>abcn90_TP4_13</t>
  </si>
  <si>
    <t>abcn90_TP4_14</t>
  </si>
  <si>
    <t>abcn90_TP4_15</t>
  </si>
  <si>
    <t>abcn90_TP4_16</t>
  </si>
  <si>
    <t>abcn90_TP4_17</t>
  </si>
  <si>
    <t>abcn90_TP4_18</t>
  </si>
  <si>
    <t>abcn90_TP4_19</t>
  </si>
  <si>
    <t>abcn90_TP4_20</t>
  </si>
  <si>
    <t>abcn90_TP4_21</t>
  </si>
  <si>
    <t>abcn90_TP4_22</t>
  </si>
  <si>
    <t>abcn90_TP4_23</t>
  </si>
  <si>
    <t>abcn90_TP4_24</t>
  </si>
  <si>
    <t>abcn90_TP4_25</t>
  </si>
  <si>
    <t>abcn90_TP4_41</t>
  </si>
  <si>
    <t>abcn90_TP4_42</t>
  </si>
  <si>
    <t>abcn90_TP4_43</t>
  </si>
  <si>
    <t>abcn90_TP4_44</t>
  </si>
  <si>
    <t>abcn90_TP4_45</t>
  </si>
  <si>
    <t>abcn90_TP4_46</t>
  </si>
  <si>
    <t>abcn90_TP4_47</t>
  </si>
  <si>
    <t>abcn90_TP4_48</t>
  </si>
  <si>
    <t>xlines_TP10_178</t>
  </si>
  <si>
    <t>random_TP10_65</t>
  </si>
  <si>
    <t>bowtie_TP10_16</t>
  </si>
  <si>
    <t>bowtie_TP10_54</t>
  </si>
  <si>
    <t>abc90_TP2_8</t>
  </si>
  <si>
    <t>abc90_TP2_46</t>
  </si>
  <si>
    <t>abcn90_TP2_44</t>
  </si>
  <si>
    <t>abcn90_TP2_6</t>
  </si>
  <si>
    <t>abcn90_TP2_8</t>
  </si>
  <si>
    <t>abcn90_TP2_48</t>
  </si>
  <si>
    <t>PH110</t>
  </si>
  <si>
    <t>3777.config.xml</t>
  </si>
  <si>
    <t>SMR_TP2</t>
  </si>
  <si>
    <t>SMR_TP3</t>
  </si>
  <si>
    <t>SMR_TP4</t>
  </si>
  <si>
    <t>PH101</t>
  </si>
  <si>
    <t>PH102</t>
  </si>
  <si>
    <t>J1m</t>
  </si>
  <si>
    <t>J2m</t>
  </si>
  <si>
    <t>J3m</t>
  </si>
  <si>
    <t>J4m</t>
  </si>
  <si>
    <t>J5m</t>
  </si>
  <si>
    <t>J6m</t>
  </si>
  <si>
    <t>J1</t>
  </si>
  <si>
    <t>J2</t>
  </si>
  <si>
    <t>J3</t>
  </si>
  <si>
    <t>J4</t>
  </si>
  <si>
    <t>J5</t>
  </si>
  <si>
    <t>J6</t>
  </si>
  <si>
    <t>Tmac</t>
  </si>
  <si>
    <t>https://github.com/toddrudberg/LinearAlgebra.git</t>
  </si>
  <si>
    <t>Xform likely used</t>
  </si>
  <si>
    <t>Rx</t>
  </si>
  <si>
    <t>Ry</t>
  </si>
  <si>
    <t>Rz</t>
  </si>
  <si>
    <t>Ra</t>
  </si>
  <si>
    <t>Rb</t>
  </si>
  <si>
    <t>Rc</t>
  </si>
  <si>
    <t>Cx</t>
  </si>
  <si>
    <t>Cy</t>
  </si>
  <si>
    <t>Cz</t>
  </si>
  <si>
    <t>Ca</t>
  </si>
  <si>
    <t>Cb</t>
  </si>
  <si>
    <t>Cc</t>
  </si>
  <si>
    <t>RTx</t>
  </si>
  <si>
    <t>Rty</t>
  </si>
  <si>
    <t>RTz</t>
  </si>
  <si>
    <t>Rta</t>
  </si>
  <si>
    <t>RTb</t>
  </si>
  <si>
    <t>RTc</t>
  </si>
  <si>
    <t>z</t>
  </si>
  <si>
    <t>y</t>
  </si>
  <si>
    <t>-x</t>
  </si>
  <si>
    <t>X-Z'</t>
  </si>
  <si>
    <t>Y-Y'</t>
  </si>
  <si>
    <t>Z-(-X')</t>
  </si>
  <si>
    <t>Aerr</t>
  </si>
  <si>
    <t>Berr</t>
  </si>
  <si>
    <t>Cerr</t>
  </si>
  <si>
    <t>rXmeas</t>
  </si>
  <si>
    <t>rYmeas</t>
  </si>
  <si>
    <t>rZmeas</t>
  </si>
  <si>
    <t>Roerr</t>
  </si>
  <si>
    <t>Max or (deg)</t>
  </si>
  <si>
    <t>Xfwd</t>
  </si>
  <si>
    <t>Yfwd</t>
  </si>
  <si>
    <t>Zfwd</t>
  </si>
  <si>
    <t>Xmeas'</t>
  </si>
  <si>
    <t>Ymeas'</t>
  </si>
  <si>
    <t>Zmeas'</t>
  </si>
  <si>
    <t>After Xform</t>
  </si>
  <si>
    <t>Before Xfrom</t>
  </si>
  <si>
    <t>ra=.5</t>
  </si>
  <si>
    <t>ra=2</t>
  </si>
  <si>
    <t>P1</t>
  </si>
  <si>
    <t>P2</t>
  </si>
  <si>
    <t>E:\LocalDev\MachineTracking\ATTKuka\Solver Files\ATT_KUKA.data.xml</t>
  </si>
  <si>
    <t>Last Output: 4/12/2024 11:07:52 AM</t>
  </si>
  <si>
    <t>E:\LocalDev\MachineTracking\ATTKuka\Solver Files\ATT_KUKA.dataout.xml</t>
  </si>
  <si>
    <t>lin</t>
  </si>
  <si>
    <t>orient</t>
  </si>
  <si>
    <t>Last Updated: 4/12/2024 11:48:52 AM</t>
  </si>
  <si>
    <t>O-wt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</si>
</sst>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0.000"/>
    <numFmt numFmtId="166" formatCode="0.0"/>
    <numFmt numFmtId="167" formatCode="0.00000"/>
    <numFmt numFmtId="168" formatCode="0.000000"/>
  </numFmts>
  <fonts count="41" x14ac:knownFonts="1">
    <font>
      <sz val="10"/>
      <name val="Arial"/>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sz val="10"/>
      <color theme="5" tint="-0.249977111117893"/>
      <name val="Arial"/>
      <family val="2"/>
    </font>
    <font>
      <sz val="10"/>
      <color rgb="FF000000"/>
      <name val="Arial"/>
      <family val="2"/>
    </font>
    <font>
      <sz val="9"/>
      <color indexed="81"/>
      <name val="Tahoma"/>
      <family val="2"/>
    </font>
    <font>
      <b/>
      <sz val="9"/>
      <color indexed="81"/>
      <name val="Tahoma"/>
      <family val="2"/>
    </font>
    <font>
      <sz val="12"/>
      <color rgb="FF000000"/>
      <name val="Arial"/>
      <family val="2"/>
    </font>
    <font>
      <sz val="14"/>
      <color rgb="FF000000"/>
      <name val="Arial"/>
      <family val="2"/>
    </font>
    <font>
      <b/>
      <sz val="10"/>
      <name val="Arial"/>
      <family val="2"/>
    </font>
    <font>
      <b/>
      <sz val="12"/>
      <color indexed="81"/>
      <name val="Tahoma"/>
      <family val="2"/>
    </font>
    <font>
      <sz val="12"/>
      <color indexed="81"/>
      <name val="Tahoma"/>
      <family val="2"/>
    </font>
    <font>
      <sz val="10"/>
      <color theme="0" tint="-0.14999847407452621"/>
      <name val="Arial"/>
      <family val="2"/>
    </font>
    <font>
      <sz val="14"/>
      <color indexed="81"/>
      <name val="Tahoma"/>
      <family val="2"/>
    </font>
    <font>
      <b/>
      <sz val="12"/>
      <color rgb="FF000000"/>
      <name val="Arial"/>
      <family val="2"/>
    </font>
    <font>
      <sz val="16"/>
      <name val="Arial"/>
      <family val="2"/>
    </font>
    <font>
      <b/>
      <sz val="16"/>
      <name val="Arial"/>
      <family val="2"/>
    </font>
    <font>
      <sz val="10"/>
      <color theme="0" tint="-0.249977111117893"/>
      <name val="Arial"/>
      <family val="2"/>
    </font>
    <font>
      <u/>
      <sz val="10"/>
      <color theme="10"/>
      <name val="Arial"/>
      <family val="2"/>
    </font>
    <font>
      <b/>
      <sz val="11"/>
      <color indexed="81"/>
      <name val="Tahoma"/>
      <family val="2"/>
    </font>
    <font>
      <sz val="10"/>
      <name val="Arial"/>
      <family val="2"/>
    </font>
    <font>
      <sz val="10"/>
      <name val="Arial"/>
      <family val="2"/>
    </font>
    <font>
      <b/>
      <sz val="10"/>
      <name val="Arial"/>
      <family val="2"/>
    </font>
    <font>
      <sz val="11"/>
      <color rgb="FF000000"/>
      <name val="Calibri"/>
      <family val="2"/>
    </font>
  </fonts>
  <fills count="2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4.9989318521683403E-2"/>
        <bgColor indexed="64"/>
      </patternFill>
    </fill>
  </fills>
  <borders count="2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65">
    <xf numFmtId="0" fontId="0" fillId="0" borderId="0"/>
    <xf numFmtId="0" fontId="1"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2" fillId="0" borderId="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35" fillId="0" borderId="0" applyNumberFormat="0" applyFill="0" applyBorder="0" applyAlignment="0" applyProtection="0"/>
    <xf numFmtId="9" fontId="37" fillId="0" borderId="0" applyFont="0" applyFill="0" applyBorder="0" applyAlignment="0" applyProtection="0"/>
  </cellStyleXfs>
  <cellXfs count="176">
    <xf numFmtId="0" fontId="0" fillId="0" borderId="0" xfId="0"/>
    <xf numFmtId="1" fontId="0" fillId="0" borderId="0" xfId="0" applyNumberFormat="1"/>
    <xf numFmtId="0" fontId="1" fillId="0" borderId="0" xfId="0" applyFont="1"/>
    <xf numFmtId="164" fontId="0" fillId="0" borderId="0" xfId="0" applyNumberFormat="1"/>
    <xf numFmtId="0" fontId="1" fillId="0" borderId="0" xfId="0" applyFont="1" applyAlignment="1">
      <alignment horizontal="center"/>
    </xf>
    <xf numFmtId="0" fontId="0" fillId="0" borderId="0" xfId="0" applyAlignment="1">
      <alignment horizontal="center"/>
    </xf>
    <xf numFmtId="0" fontId="0" fillId="0" borderId="0" xfId="0" applyBorder="1"/>
    <xf numFmtId="0" fontId="1" fillId="0" borderId="0" xfId="0" applyFont="1" applyBorder="1" applyAlignment="1">
      <alignment horizontal="center"/>
    </xf>
    <xf numFmtId="1" fontId="0" fillId="0" borderId="0" xfId="0" applyNumberFormat="1" applyAlignment="1">
      <alignment horizontal="center"/>
    </xf>
    <xf numFmtId="0" fontId="1" fillId="0" borderId="0" xfId="0" applyFont="1" applyBorder="1"/>
    <xf numFmtId="164" fontId="1" fillId="0" borderId="0" xfId="0" applyNumberFormat="1" applyFont="1" applyBorder="1"/>
    <xf numFmtId="49" fontId="0" fillId="0" borderId="0" xfId="0" applyNumberFormat="1"/>
    <xf numFmtId="0" fontId="1" fillId="0" borderId="0" xfId="0" quotePrefix="1" applyFont="1"/>
    <xf numFmtId="0" fontId="26" fillId="0" borderId="17" xfId="0" applyFont="1" applyBorder="1" applyAlignment="1">
      <alignment horizontal="center"/>
    </xf>
    <xf numFmtId="0" fontId="26" fillId="0" borderId="20" xfId="0" applyFont="1" applyBorder="1" applyAlignment="1">
      <alignment horizontal="center"/>
    </xf>
    <xf numFmtId="0" fontId="26" fillId="0" borderId="16" xfId="0" applyFont="1" applyBorder="1" applyAlignment="1">
      <alignment horizontal="center"/>
    </xf>
    <xf numFmtId="0" fontId="0" fillId="0" borderId="17" xfId="0" applyBorder="1"/>
    <xf numFmtId="0" fontId="0" fillId="0" borderId="18" xfId="0" applyBorder="1"/>
    <xf numFmtId="0" fontId="0" fillId="0" borderId="10" xfId="0" applyBorder="1"/>
    <xf numFmtId="0" fontId="0" fillId="0" borderId="11" xfId="0" applyBorder="1"/>
    <xf numFmtId="0" fontId="0" fillId="0" borderId="12" xfId="0" applyBorder="1"/>
    <xf numFmtId="0" fontId="0" fillId="0" borderId="21" xfId="0" applyBorder="1"/>
    <xf numFmtId="0" fontId="0" fillId="0" borderId="22" xfId="0" applyBorder="1"/>
    <xf numFmtId="0" fontId="0" fillId="0" borderId="13" xfId="0" applyBorder="1"/>
    <xf numFmtId="0" fontId="0" fillId="0" borderId="14" xfId="0" applyBorder="1"/>
    <xf numFmtId="0" fontId="0" fillId="0" borderId="15" xfId="0" applyBorder="1"/>
    <xf numFmtId="0" fontId="29" fillId="0" borderId="16" xfId="0" applyFont="1" applyBorder="1" applyAlignment="1">
      <alignment horizontal="center"/>
    </xf>
    <xf numFmtId="0" fontId="1" fillId="0" borderId="12" xfId="0" applyFont="1" applyBorder="1"/>
    <xf numFmtId="0" fontId="1" fillId="0" borderId="23" xfId="0" applyFont="1" applyBorder="1"/>
    <xf numFmtId="165" fontId="1" fillId="0" borderId="19" xfId="0" applyNumberFormat="1" applyFont="1" applyBorder="1"/>
    <xf numFmtId="0" fontId="0" fillId="0" borderId="19" xfId="0" applyBorder="1" applyAlignment="1">
      <alignment horizontal="right"/>
    </xf>
    <xf numFmtId="0" fontId="1" fillId="0" borderId="21" xfId="0" applyFont="1" applyBorder="1" applyAlignment="1">
      <alignment horizontal="left"/>
    </xf>
    <xf numFmtId="0" fontId="0" fillId="0" borderId="21" xfId="0" applyBorder="1" applyAlignment="1">
      <alignment horizontal="left"/>
    </xf>
    <xf numFmtId="0" fontId="29" fillId="0" borderId="0" xfId="0" applyFont="1"/>
    <xf numFmtId="0" fontId="26" fillId="0" borderId="20" xfId="0" applyFont="1" applyBorder="1" applyAlignment="1">
      <alignment horizontal="center" wrapText="1"/>
    </xf>
    <xf numFmtId="0" fontId="1" fillId="0" borderId="12" xfId="0" applyFont="1" applyBorder="1" applyAlignment="1">
      <alignment horizontal="center" wrapText="1"/>
    </xf>
    <xf numFmtId="0" fontId="1" fillId="0" borderId="22" xfId="0" applyFont="1" applyBorder="1" applyAlignment="1">
      <alignment wrapText="1"/>
    </xf>
    <xf numFmtId="0" fontId="1" fillId="0" borderId="22" xfId="0" applyFont="1" applyFill="1" applyBorder="1" applyAlignment="1">
      <alignment wrapText="1"/>
    </xf>
    <xf numFmtId="0" fontId="1" fillId="0" borderId="15" xfId="0" applyFont="1" applyFill="1" applyBorder="1" applyAlignment="1">
      <alignment wrapText="1"/>
    </xf>
    <xf numFmtId="0" fontId="0" fillId="0" borderId="0" xfId="0" applyAlignment="1">
      <alignment wrapText="1"/>
    </xf>
    <xf numFmtId="0" fontId="26" fillId="0" borderId="16" xfId="0" applyFont="1" applyBorder="1"/>
    <xf numFmtId="0" fontId="1" fillId="0" borderId="16" xfId="0" applyFont="1" applyBorder="1" applyAlignment="1">
      <alignment horizontal="center" vertical="center"/>
    </xf>
    <xf numFmtId="0" fontId="26" fillId="0" borderId="17" xfId="0" applyFont="1" applyBorder="1" applyAlignment="1">
      <alignment horizontal="center" vertical="center"/>
    </xf>
    <xf numFmtId="0" fontId="26" fillId="0" borderId="18" xfId="0" applyFont="1" applyBorder="1" applyAlignment="1">
      <alignment horizontal="center" vertical="center"/>
    </xf>
    <xf numFmtId="0" fontId="26" fillId="0" borderId="16" xfId="0" applyFont="1" applyBorder="1" applyAlignment="1">
      <alignment horizontal="center" vertical="center"/>
    </xf>
    <xf numFmtId="0" fontId="32" fillId="24" borderId="24" xfId="0" applyFont="1" applyFill="1" applyBorder="1"/>
    <xf numFmtId="0" fontId="32" fillId="24" borderId="23" xfId="0" applyFont="1" applyFill="1" applyBorder="1" applyAlignment="1">
      <alignment vertical="center"/>
    </xf>
    <xf numFmtId="0" fontId="32" fillId="24" borderId="19" xfId="0" applyFont="1" applyFill="1" applyBorder="1" applyAlignment="1">
      <alignment vertical="center" wrapText="1"/>
    </xf>
    <xf numFmtId="0" fontId="34" fillId="0" borderId="23" xfId="0" applyFont="1" applyBorder="1"/>
    <xf numFmtId="0" fontId="34" fillId="0" borderId="24" xfId="0" applyFont="1" applyBorder="1"/>
    <xf numFmtId="0" fontId="34" fillId="0" borderId="19" xfId="0" applyFont="1" applyBorder="1" applyAlignment="1">
      <alignment wrapText="1"/>
    </xf>
    <xf numFmtId="0" fontId="34" fillId="0" borderId="10" xfId="0" applyFont="1" applyBorder="1"/>
    <xf numFmtId="166" fontId="34" fillId="0" borderId="11" xfId="0" applyNumberFormat="1" applyFont="1" applyBorder="1"/>
    <xf numFmtId="0" fontId="34" fillId="0" borderId="12" xfId="0" applyFont="1" applyBorder="1" applyAlignment="1">
      <alignment wrapText="1"/>
    </xf>
    <xf numFmtId="0" fontId="34" fillId="0" borderId="21" xfId="0" applyFont="1" applyBorder="1"/>
    <xf numFmtId="166" fontId="34" fillId="0" borderId="0" xfId="0" applyNumberFormat="1" applyFont="1" applyBorder="1"/>
    <xf numFmtId="0" fontId="34" fillId="0" borderId="22" xfId="0" applyFont="1" applyBorder="1" applyAlignment="1">
      <alignment wrapText="1"/>
    </xf>
    <xf numFmtId="0" fontId="0" fillId="0" borderId="15" xfId="0" applyBorder="1" applyAlignment="1">
      <alignment wrapText="1"/>
    </xf>
    <xf numFmtId="0" fontId="0" fillId="25" borderId="16" xfId="0" applyFill="1" applyBorder="1"/>
    <xf numFmtId="0" fontId="0" fillId="25" borderId="18" xfId="0" applyFill="1" applyBorder="1"/>
    <xf numFmtId="0" fontId="1" fillId="25" borderId="19" xfId="0" applyFont="1" applyFill="1" applyBorder="1" applyAlignment="1">
      <alignment horizontal="center"/>
    </xf>
    <xf numFmtId="0" fontId="1" fillId="25" borderId="20" xfId="0" applyFont="1" applyFill="1" applyBorder="1" applyAlignment="1">
      <alignment horizontal="center"/>
    </xf>
    <xf numFmtId="0" fontId="0" fillId="25" borderId="20" xfId="0" applyFill="1" applyBorder="1"/>
    <xf numFmtId="0" fontId="0" fillId="25" borderId="17" xfId="0" applyFill="1" applyBorder="1"/>
    <xf numFmtId="0" fontId="26" fillId="0" borderId="10" xfId="0" applyFont="1" applyBorder="1"/>
    <xf numFmtId="0" fontId="26" fillId="0" borderId="11" xfId="0" applyFont="1" applyBorder="1" applyAlignment="1">
      <alignment horizontal="right"/>
    </xf>
    <xf numFmtId="0" fontId="26" fillId="0" borderId="21" xfId="0" applyFont="1" applyBorder="1"/>
    <xf numFmtId="0" fontId="26" fillId="0" borderId="0" xfId="0" applyFont="1" applyBorder="1" applyAlignment="1">
      <alignment horizontal="right"/>
    </xf>
    <xf numFmtId="0" fontId="26" fillId="0" borderId="13" xfId="0" applyFont="1" applyBorder="1"/>
    <xf numFmtId="0" fontId="26" fillId="0" borderId="14" xfId="0" applyFont="1" applyBorder="1" applyAlignment="1">
      <alignment horizontal="right"/>
    </xf>
    <xf numFmtId="0" fontId="35" fillId="0" borderId="0" xfId="63" applyBorder="1"/>
    <xf numFmtId="0" fontId="0" fillId="0" borderId="20" xfId="0" applyBorder="1"/>
    <xf numFmtId="0" fontId="0" fillId="0" borderId="24" xfId="0" applyBorder="1"/>
    <xf numFmtId="0" fontId="0" fillId="0" borderId="19" xfId="0" applyBorder="1"/>
    <xf numFmtId="0" fontId="26" fillId="26" borderId="20" xfId="0" applyFont="1" applyFill="1" applyBorder="1"/>
    <xf numFmtId="0" fontId="1" fillId="0" borderId="24" xfId="0" applyFont="1" applyBorder="1"/>
    <xf numFmtId="0" fontId="1" fillId="0" borderId="0" xfId="0" applyFont="1" applyFill="1" applyBorder="1"/>
    <xf numFmtId="165" fontId="0" fillId="0" borderId="0" xfId="0" applyNumberFormat="1" applyBorder="1"/>
    <xf numFmtId="165" fontId="1" fillId="0" borderId="0" xfId="0" applyNumberFormat="1" applyFont="1" applyBorder="1"/>
    <xf numFmtId="0" fontId="1" fillId="0" borderId="21" xfId="0" applyFont="1" applyBorder="1" applyAlignment="1">
      <alignment horizontal="center" vertical="center"/>
    </xf>
    <xf numFmtId="166" fontId="0" fillId="0" borderId="0" xfId="0" applyNumberFormat="1"/>
    <xf numFmtId="0" fontId="0" fillId="0" borderId="0" xfId="0" applyBorder="1" applyAlignment="1">
      <alignment horizontal="center" vertical="center"/>
    </xf>
    <xf numFmtId="0" fontId="1" fillId="0" borderId="0" xfId="0" applyFont="1" applyBorder="1" applyAlignment="1">
      <alignment horizontal="center" vertical="center"/>
    </xf>
    <xf numFmtId="0" fontId="1" fillId="0" borderId="0" xfId="0" applyFont="1" applyFill="1" applyBorder="1" applyAlignment="1">
      <alignment horizontal="center" vertical="center"/>
    </xf>
    <xf numFmtId="1" fontId="1" fillId="0" borderId="0" xfId="0" applyNumberFormat="1" applyFont="1" applyBorder="1" applyAlignment="1">
      <alignment horizontal="center"/>
    </xf>
    <xf numFmtId="0" fontId="1" fillId="0" borderId="0" xfId="0" applyFont="1" applyBorder="1" applyAlignment="1">
      <alignment horizontal="left"/>
    </xf>
    <xf numFmtId="164" fontId="1" fillId="0" borderId="0" xfId="0" applyNumberFormat="1" applyFont="1" applyBorder="1" applyAlignment="1">
      <alignment horizontal="center"/>
    </xf>
    <xf numFmtId="0" fontId="38" fillId="0" borderId="0" xfId="0" applyFont="1"/>
    <xf numFmtId="0" fontId="38" fillId="0" borderId="23" xfId="0" applyFont="1" applyBorder="1"/>
    <xf numFmtId="165" fontId="38" fillId="0" borderId="19" xfId="0" applyNumberFormat="1" applyFont="1" applyBorder="1"/>
    <xf numFmtId="0" fontId="38" fillId="0" borderId="10" xfId="0" applyFont="1" applyBorder="1"/>
    <xf numFmtId="0" fontId="38" fillId="0" borderId="11" xfId="0" applyFont="1" applyBorder="1"/>
    <xf numFmtId="0" fontId="38" fillId="0" borderId="20" xfId="0" applyFont="1" applyBorder="1"/>
    <xf numFmtId="165" fontId="38" fillId="0" borderId="0" xfId="0" applyNumberFormat="1" applyFont="1"/>
    <xf numFmtId="0" fontId="38" fillId="0" borderId="19" xfId="0" applyFont="1" applyBorder="1" applyAlignment="1">
      <alignment horizontal="right"/>
    </xf>
    <xf numFmtId="0" fontId="38" fillId="0" borderId="13" xfId="0" applyFont="1" applyBorder="1"/>
    <xf numFmtId="0" fontId="38" fillId="0" borderId="14" xfId="0" applyFont="1" applyBorder="1"/>
    <xf numFmtId="0" fontId="38" fillId="27" borderId="15" xfId="0" applyFont="1" applyFill="1" applyBorder="1"/>
    <xf numFmtId="0" fontId="38" fillId="0" borderId="0" xfId="0" applyFont="1" applyBorder="1"/>
    <xf numFmtId="0" fontId="38" fillId="26" borderId="10" xfId="0" applyFont="1" applyFill="1" applyBorder="1"/>
    <xf numFmtId="0" fontId="39" fillId="26" borderId="20" xfId="0" applyFont="1" applyFill="1" applyBorder="1" applyAlignment="1"/>
    <xf numFmtId="0" fontId="38" fillId="26" borderId="13" xfId="0" applyFont="1" applyFill="1" applyBorder="1"/>
    <xf numFmtId="0" fontId="38" fillId="26" borderId="20" xfId="0" applyFont="1" applyFill="1" applyBorder="1"/>
    <xf numFmtId="0" fontId="38" fillId="26" borderId="24" xfId="0" applyFont="1" applyFill="1" applyBorder="1" applyAlignment="1">
      <alignment horizontal="center"/>
    </xf>
    <xf numFmtId="0" fontId="38" fillId="26" borderId="19" xfId="0" applyFont="1" applyFill="1" applyBorder="1" applyAlignment="1">
      <alignment horizontal="center"/>
    </xf>
    <xf numFmtId="0" fontId="38" fillId="26" borderId="18" xfId="0" applyFont="1" applyFill="1" applyBorder="1" applyAlignment="1">
      <alignment horizontal="center"/>
    </xf>
    <xf numFmtId="0" fontId="38" fillId="26" borderId="20" xfId="0" applyFont="1" applyFill="1" applyBorder="1" applyAlignment="1">
      <alignment horizontal="center"/>
    </xf>
    <xf numFmtId="0" fontId="38" fillId="0" borderId="0" xfId="0" applyFont="1" applyBorder="1" applyAlignment="1">
      <alignment horizontal="center"/>
    </xf>
    <xf numFmtId="0" fontId="38" fillId="0" borderId="21" xfId="0" applyFont="1" applyBorder="1"/>
    <xf numFmtId="0" fontId="38" fillId="26" borderId="17" xfId="0" applyFont="1" applyFill="1" applyBorder="1"/>
    <xf numFmtId="0" fontId="38" fillId="0" borderId="17" xfId="0" applyFont="1" applyBorder="1" applyAlignment="1">
      <alignment horizontal="center"/>
    </xf>
    <xf numFmtId="0" fontId="38" fillId="0" borderId="0" xfId="0" applyFont="1" applyAlignment="1">
      <alignment horizontal="center"/>
    </xf>
    <xf numFmtId="0" fontId="38" fillId="0" borderId="0" xfId="0" applyFont="1" applyFill="1" applyBorder="1" applyAlignment="1">
      <alignment horizontal="center"/>
    </xf>
    <xf numFmtId="0" fontId="38" fillId="26" borderId="18" xfId="0" applyFont="1" applyFill="1" applyBorder="1"/>
    <xf numFmtId="0" fontId="38" fillId="0" borderId="18" xfId="0" applyFont="1" applyBorder="1" applyAlignment="1">
      <alignment horizontal="center"/>
    </xf>
    <xf numFmtId="0" fontId="38" fillId="0" borderId="17" xfId="0" applyFont="1" applyBorder="1" applyAlignment="1">
      <alignment horizontal="left" indent="3"/>
    </xf>
    <xf numFmtId="0" fontId="0" fillId="0" borderId="0" xfId="0" applyFill="1" applyBorder="1"/>
    <xf numFmtId="0" fontId="0" fillId="0" borderId="0" xfId="0" applyFill="1"/>
    <xf numFmtId="0" fontId="0" fillId="0" borderId="14" xfId="0" applyFill="1" applyBorder="1"/>
    <xf numFmtId="0" fontId="1" fillId="0" borderId="17" xfId="0" applyFont="1" applyFill="1" applyBorder="1"/>
    <xf numFmtId="0" fontId="0" fillId="0" borderId="18" xfId="0" applyFill="1" applyBorder="1"/>
    <xf numFmtId="164" fontId="0" fillId="0" borderId="0" xfId="0" applyNumberFormat="1" applyBorder="1"/>
    <xf numFmtId="164" fontId="0" fillId="0" borderId="22" xfId="0" applyNumberFormat="1" applyBorder="1"/>
    <xf numFmtId="0" fontId="0" fillId="0" borderId="22" xfId="0" applyFill="1" applyBorder="1"/>
    <xf numFmtId="165" fontId="0" fillId="0" borderId="14" xfId="0" applyNumberFormat="1" applyFill="1" applyBorder="1"/>
    <xf numFmtId="165" fontId="0" fillId="0" borderId="15" xfId="0" applyNumberFormat="1" applyFill="1" applyBorder="1"/>
    <xf numFmtId="0" fontId="1" fillId="25" borderId="23" xfId="0" applyFont="1" applyFill="1" applyBorder="1" applyAlignment="1">
      <alignment horizontal="center"/>
    </xf>
    <xf numFmtId="0" fontId="0" fillId="0" borderId="21" xfId="0" applyFill="1" applyBorder="1"/>
    <xf numFmtId="165" fontId="0" fillId="0" borderId="13" xfId="0" applyNumberFormat="1" applyFill="1" applyBorder="1"/>
    <xf numFmtId="164" fontId="0" fillId="0" borderId="0" xfId="0" applyNumberFormat="1" applyFill="1"/>
    <xf numFmtId="165" fontId="0" fillId="0" borderId="0" xfId="0" applyNumberFormat="1" applyFill="1" applyBorder="1"/>
    <xf numFmtId="165" fontId="1" fillId="0" borderId="0" xfId="0" applyNumberFormat="1" applyFont="1" applyBorder="1" applyAlignment="1">
      <alignment horizontal="center" vertical="center"/>
    </xf>
    <xf numFmtId="165" fontId="0" fillId="0" borderId="0" xfId="0" applyNumberFormat="1" applyBorder="1" applyAlignment="1">
      <alignment vertical="center"/>
    </xf>
    <xf numFmtId="0" fontId="1" fillId="0" borderId="0" xfId="0" applyFont="1" applyBorder="1" applyAlignment="1">
      <alignment horizontal="left" vertical="center"/>
    </xf>
    <xf numFmtId="167" fontId="0" fillId="0" borderId="0" xfId="0" applyNumberFormat="1" applyBorder="1"/>
    <xf numFmtId="164" fontId="1" fillId="0" borderId="0" xfId="0" applyNumberFormat="1" applyFont="1" applyBorder="1" applyAlignment="1">
      <alignment horizontal="right"/>
    </xf>
    <xf numFmtId="9" fontId="1" fillId="24" borderId="0" xfId="64" applyFont="1" applyFill="1" applyBorder="1"/>
    <xf numFmtId="164" fontId="0" fillId="0" borderId="0" xfId="0" applyNumberFormat="1" applyBorder="1" applyAlignment="1">
      <alignment horizontal="center"/>
    </xf>
    <xf numFmtId="0" fontId="40" fillId="0" borderId="0" xfId="0" applyFont="1"/>
    <xf numFmtId="165" fontId="20" fillId="0" borderId="0" xfId="0" applyNumberFormat="1" applyFont="1" applyFill="1" applyBorder="1" applyAlignment="1">
      <alignment horizontal="center" vertical="center"/>
    </xf>
    <xf numFmtId="165" fontId="0" fillId="0" borderId="0" xfId="0" applyNumberFormat="1" applyBorder="1" applyAlignment="1">
      <alignment horizontal="center" vertical="center"/>
    </xf>
    <xf numFmtId="165" fontId="40" fillId="0" borderId="0" xfId="0" applyNumberFormat="1" applyFont="1"/>
    <xf numFmtId="165" fontId="0" fillId="0" borderId="0" xfId="0" applyNumberFormat="1"/>
    <xf numFmtId="0" fontId="1" fillId="26" borderId="16" xfId="0" applyFont="1" applyFill="1" applyBorder="1"/>
    <xf numFmtId="0" fontId="1" fillId="26" borderId="17" xfId="0" applyFont="1" applyFill="1" applyBorder="1"/>
    <xf numFmtId="0" fontId="1" fillId="26" borderId="23" xfId="0" applyFont="1" applyFill="1" applyBorder="1" applyAlignment="1">
      <alignment horizontal="center"/>
    </xf>
    <xf numFmtId="0" fontId="1" fillId="26" borderId="24" xfId="0" applyFont="1" applyFill="1" applyBorder="1" applyAlignment="1">
      <alignment horizontal="center"/>
    </xf>
    <xf numFmtId="165" fontId="1" fillId="0" borderId="0" xfId="0" applyNumberFormat="1" applyFont="1" applyBorder="1" applyAlignment="1">
      <alignment vertical="center"/>
    </xf>
    <xf numFmtId="0" fontId="0" fillId="0" borderId="0" xfId="0" applyAlignment="1">
      <alignment horizontal="center" vertical="center"/>
    </xf>
    <xf numFmtId="9" fontId="1" fillId="0" borderId="0" xfId="0" applyNumberFormat="1" applyFont="1" applyBorder="1"/>
    <xf numFmtId="9" fontId="1" fillId="0" borderId="0" xfId="0" applyNumberFormat="1" applyFont="1" applyBorder="1" applyAlignment="1">
      <alignment horizontal="left"/>
    </xf>
    <xf numFmtId="167" fontId="1" fillId="0" borderId="0" xfId="0" applyNumberFormat="1" applyFont="1" applyBorder="1"/>
    <xf numFmtId="168" fontId="1" fillId="0" borderId="0" xfId="0" applyNumberFormat="1" applyFont="1" applyBorder="1" applyAlignment="1">
      <alignment horizontal="left"/>
    </xf>
    <xf numFmtId="0" fontId="1" fillId="0" borderId="0" xfId="0" applyFont="1" applyAlignment="1">
      <alignment horizontal="center"/>
    </xf>
    <xf numFmtId="0" fontId="38" fillId="26" borderId="16" xfId="0" applyFont="1" applyFill="1" applyBorder="1" applyAlignment="1">
      <alignment horizontal="center" vertical="center"/>
    </xf>
    <xf numFmtId="0" fontId="38" fillId="26" borderId="17" xfId="0" applyFont="1" applyFill="1" applyBorder="1" applyAlignment="1">
      <alignment horizontal="center" vertical="center"/>
    </xf>
    <xf numFmtId="0" fontId="38" fillId="26" borderId="18" xfId="0" applyFont="1" applyFill="1" applyBorder="1" applyAlignment="1">
      <alignment horizontal="center" vertical="center"/>
    </xf>
    <xf numFmtId="0" fontId="39" fillId="26" borderId="23" xfId="0" applyFont="1" applyFill="1" applyBorder="1" applyAlignment="1">
      <alignment horizontal="center"/>
    </xf>
    <xf numFmtId="0" fontId="39" fillId="26" borderId="24" xfId="0" applyFont="1" applyFill="1" applyBorder="1" applyAlignment="1">
      <alignment horizontal="center"/>
    </xf>
    <xf numFmtId="0" fontId="39" fillId="26" borderId="19" xfId="0" applyFont="1" applyFill="1" applyBorder="1" applyAlignment="1">
      <alignment horizontal="center"/>
    </xf>
    <xf numFmtId="0" fontId="39" fillId="26" borderId="23" xfId="0" applyFont="1" applyFill="1" applyBorder="1" applyAlignment="1">
      <alignment horizontal="center" vertical="center"/>
    </xf>
    <xf numFmtId="0" fontId="39" fillId="26" borderId="24" xfId="0" applyFont="1" applyFill="1" applyBorder="1" applyAlignment="1">
      <alignment horizontal="center" vertical="center"/>
    </xf>
    <xf numFmtId="0" fontId="39" fillId="26" borderId="19" xfId="0" applyFont="1" applyFill="1" applyBorder="1" applyAlignment="1">
      <alignment horizontal="center" vertical="center"/>
    </xf>
    <xf numFmtId="0" fontId="38" fillId="0" borderId="0" xfId="0" applyFont="1" applyAlignment="1">
      <alignment horizontal="center"/>
    </xf>
    <xf numFmtId="0" fontId="26" fillId="25" borderId="23" xfId="0" applyFont="1" applyFill="1" applyBorder="1" applyAlignment="1">
      <alignment horizontal="center"/>
    </xf>
    <xf numFmtId="0" fontId="26" fillId="25" borderId="19" xfId="0" applyFont="1" applyFill="1" applyBorder="1" applyAlignment="1">
      <alignment horizontal="center"/>
    </xf>
    <xf numFmtId="0" fontId="26" fillId="25" borderId="24" xfId="0" applyFont="1" applyFill="1" applyBorder="1" applyAlignment="1">
      <alignment horizontal="center"/>
    </xf>
    <xf numFmtId="0" fontId="1" fillId="25" borderId="10" xfId="0" applyFont="1" applyFill="1" applyBorder="1" applyAlignment="1">
      <alignment horizontal="center"/>
    </xf>
    <xf numFmtId="0" fontId="1" fillId="25" borderId="11" xfId="0" applyFont="1" applyFill="1" applyBorder="1" applyAlignment="1">
      <alignment horizontal="center"/>
    </xf>
    <xf numFmtId="0" fontId="1" fillId="25" borderId="12" xfId="0" applyFont="1" applyFill="1" applyBorder="1" applyAlignment="1">
      <alignment horizontal="center"/>
    </xf>
    <xf numFmtId="0" fontId="1" fillId="25" borderId="10" xfId="0" applyFont="1" applyFill="1" applyBorder="1" applyAlignment="1">
      <alignment horizontal="center" vertical="center"/>
    </xf>
    <xf numFmtId="0" fontId="1" fillId="25" borderId="11" xfId="0" applyFont="1" applyFill="1" applyBorder="1" applyAlignment="1">
      <alignment horizontal="center" vertical="center"/>
    </xf>
    <xf numFmtId="0" fontId="1" fillId="25" borderId="12" xfId="0" applyFont="1" applyFill="1" applyBorder="1" applyAlignment="1">
      <alignment horizontal="center" vertical="center"/>
    </xf>
    <xf numFmtId="0" fontId="1" fillId="25" borderId="13" xfId="0" applyFont="1" applyFill="1" applyBorder="1" applyAlignment="1">
      <alignment horizontal="center" vertical="center"/>
    </xf>
    <xf numFmtId="0" fontId="1" fillId="25" borderId="14" xfId="0" applyFont="1" applyFill="1" applyBorder="1" applyAlignment="1">
      <alignment horizontal="center" vertical="center"/>
    </xf>
    <xf numFmtId="0" fontId="1" fillId="25" borderId="15" xfId="0" applyFont="1" applyFill="1" applyBorder="1" applyAlignment="1">
      <alignment horizontal="center" vertical="center"/>
    </xf>
  </cellXfs>
  <cellStyles count="65">
    <cellStyle name="20% - Accent1 2" xfId="2"/>
    <cellStyle name="20% - Accent2 2" xfId="3"/>
    <cellStyle name="20% - Accent3 2" xfId="4"/>
    <cellStyle name="20% - Accent4 2" xfId="5"/>
    <cellStyle name="20% - Accent5 2" xfId="6"/>
    <cellStyle name="20% - Accent6 2" xfId="7"/>
    <cellStyle name="40% - Accent1 2" xfId="8"/>
    <cellStyle name="40% - Accent2 2" xfId="9"/>
    <cellStyle name="40% - Accent3 2" xfId="10"/>
    <cellStyle name="40% - Accent4 2" xfId="11"/>
    <cellStyle name="40% - Accent5 2" xfId="12"/>
    <cellStyle name="40% - Accent6 2" xfId="13"/>
    <cellStyle name="60% - Accent1 2" xfId="14"/>
    <cellStyle name="60% - Accent2 2" xfId="15"/>
    <cellStyle name="60% - Accent3 2" xfId="16"/>
    <cellStyle name="60% - Accent4 2" xfId="17"/>
    <cellStyle name="60% - Accent5 2" xfId="18"/>
    <cellStyle name="60% - Accent6 2" xfId="19"/>
    <cellStyle name="Accent1 2" xfId="20"/>
    <cellStyle name="Accent2 2" xfId="21"/>
    <cellStyle name="Accent3 2" xfId="22"/>
    <cellStyle name="Accent4 2" xfId="23"/>
    <cellStyle name="Accent5 2" xfId="24"/>
    <cellStyle name="Accent6 2" xfId="25"/>
    <cellStyle name="Bad 2" xfId="26"/>
    <cellStyle name="Calculation 2" xfId="27"/>
    <cellStyle name="Check Cell 2" xfId="28"/>
    <cellStyle name="Explanatory Text 2" xfId="29"/>
    <cellStyle name="Good 2" xfId="30"/>
    <cellStyle name="Heading 1 2" xfId="31"/>
    <cellStyle name="Heading 2 2" xfId="32"/>
    <cellStyle name="Heading 3 2" xfId="33"/>
    <cellStyle name="Heading 4 2" xfId="34"/>
    <cellStyle name="Hyperlink" xfId="63" builtinId="8"/>
    <cellStyle name="Input 2" xfId="35"/>
    <cellStyle name="Linked Cell 2" xfId="36"/>
    <cellStyle name="Neutral 2" xfId="37"/>
    <cellStyle name="Normal" xfId="0" builtinId="0"/>
    <cellStyle name="Normal 11" xfId="46"/>
    <cellStyle name="Normal 12" xfId="47"/>
    <cellStyle name="Normal 13" xfId="48"/>
    <cellStyle name="Normal 14" xfId="49"/>
    <cellStyle name="Normal 15" xfId="50"/>
    <cellStyle name="Normal 16" xfId="51"/>
    <cellStyle name="Normal 17" xfId="52"/>
    <cellStyle name="Normal 18" xfId="53"/>
    <cellStyle name="Normal 19" xfId="54"/>
    <cellStyle name="Normal 2" xfId="1"/>
    <cellStyle name="Normal 2 2" xfId="38"/>
    <cellStyle name="Normal 20" xfId="55"/>
    <cellStyle name="Normal 21" xfId="56"/>
    <cellStyle name="Normal 22" xfId="57"/>
    <cellStyle name="Normal 23" xfId="58"/>
    <cellStyle name="Normal 3" xfId="59"/>
    <cellStyle name="Normal 4" xfId="60"/>
    <cellStyle name="Normal 5" xfId="44"/>
    <cellStyle name="Normal 6" xfId="45"/>
    <cellStyle name="Normal 7" xfId="61"/>
    <cellStyle name="Normal 8" xfId="62"/>
    <cellStyle name="Note 2" xfId="39"/>
    <cellStyle name="Output 2" xfId="40"/>
    <cellStyle name="Percent" xfId="64" builtinId="5"/>
    <cellStyle name="Title 2" xfId="41"/>
    <cellStyle name="Total 2" xfId="42"/>
    <cellStyle name="Warning Text 2" xfId="43"/>
  </cellStyles>
  <dxfs count="10">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alignment horizontal="center" vertical="center" textRotation="0" wrapText="0" indent="0" justifyLastLine="0" shrinkToFit="0" readingOrder="0"/>
    </dxf>
    <dxf>
      <fill>
        <patternFill>
          <bgColor theme="8"/>
        </patternFill>
      </fill>
    </dxf>
    <dxf>
      <fill>
        <patternFill>
          <bgColor theme="8"/>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EITransform">
        <xsd:complexType>
          <xsd:sequence minOccurs="0">
            <xsd:element minOccurs="0" nillable="true" name="variables" form="unqualified">
              <xsd:complexType>
                <xsd:sequence minOccurs="0">
                  <xsd:element minOccurs="0" nillable="true" name="static" form="unqualified">
                    <xsd:complexType>
                      <xsd:sequence minOccurs="0">
                        <xsd:element minOccurs="0" nillable="true" name="_Debug" form="unqualified">
                          <xsd:complexType>
                            <xsd:attribute name="value" form="unqualified" type="xsd:string"/>
                          </xsd:complexType>
                        </xsd:element>
                        <xsd:element minOccurs="0" nillable="true" name="ymrxoff" form="unqualified">
                          <xsd:complexType>
                            <xsd:attribute name="value" form="unqualified" type="xsd:double"/>
                          </xsd:complexType>
                        </xsd:element>
                        <xsd:element minOccurs="0" nillable="true" name="ymrzoff" form="unqualified">
                          <xsd:complexType>
                            <xsd:attribute name="value" form="unqualified" type="xsd:double"/>
                          </xsd:complexType>
                        </xsd:element>
                        <xsd:element minOccurs="0" nillable="true" name="zmrxoff" form="unqualified">
                          <xsd:complexType>
                            <xsd:attribute name="value" form="unqualified" type="xsd:double"/>
                          </xsd:complexType>
                        </xsd:element>
                        <xsd:element minOccurs="0" nillable="true" name="zmryoff" form="unqualified">
                          <xsd:complexType>
                            <xsd:attribute name="value" form="unqualified" type="xsd:double"/>
                          </xsd:complexType>
                        </xsd:element>
                        <xsd:element minOccurs="0" nillable="true" name="c1rxoff" form="unqualified">
                          <xsd:complexType>
                            <xsd:attribute name="value" form="unqualified" type="xsd:double"/>
                          </xsd:complexType>
                        </xsd:element>
                        <xsd:element minOccurs="0" nillable="true" name="c1ryoff" form="unqualified">
                          <xsd:complexType>
                            <xsd:attribute name="value" form="unqualified" type="xsd:double"/>
                          </xsd:complexType>
                        </xsd:element>
                        <xsd:element minOccurs="0" nillable="true" name="c1rzoff" form="unqualified">
                          <xsd:complexType>
                            <xsd:attribute name="value" form="unqualified" type="xsd:double"/>
                          </xsd:complexType>
                        </xsd:element>
                        <xsd:element minOccurs="0" nillable="true" name="c1x" form="unqualified">
                          <xsd:complexType>
                            <xsd:attribute name="value" form="unqualified" type="xsd:double"/>
                          </xsd:complexType>
                        </xsd:element>
                        <xsd:element minOccurs="0" nillable="true" name="c1y" form="unqualified">
                          <xsd:complexType>
                            <xsd:attribute name="value" form="unqualified" type="xsd:double"/>
                          </xsd:complexType>
                        </xsd:element>
                        <xsd:element minOccurs="0" nillable="true" name="amrxoff" form="unqualified">
                          <xsd:complexType>
                            <xsd:attribute name="value" form="unqualified" type="xsd:double"/>
                          </xsd:complexType>
                        </xsd:element>
                        <xsd:element minOccurs="0" nillable="true" name="amryoff" form="unqualified">
                          <xsd:complexType>
                            <xsd:attribute name="value" form="unqualified" type="xsd:double"/>
                          </xsd:complexType>
                        </xsd:element>
                        <xsd:element minOccurs="0" nillable="true" name="amrzoff" form="unqualified">
                          <xsd:complexType>
                            <xsd:attribute name="value" form="unqualified" type="xsd:double"/>
                          </xsd:complexType>
                        </xsd:element>
                        <xsd:element minOccurs="0" nillable="true" name="lAy" form="unqualified">
                          <xsd:complexType>
                            <xsd:attribute name="value" form="unqualified" type="xsd:double"/>
                          </xsd:complexType>
                        </xsd:element>
                        <xsd:element minOccurs="0" nillable="true" name="lAz" form="unqualified">
                          <xsd:complexType>
                            <xsd:attribute name="value" form="unqualified" type="xsd:double"/>
                          </xsd:complexType>
                        </xsd:element>
                        <xsd:element minOccurs="0" nillable="true" name="bmrxoff" form="unqualified">
                          <xsd:complexType>
                            <xsd:attribute name="value" form="unqualified" type="xsd:double"/>
                          </xsd:complexType>
                        </xsd:element>
                        <xsd:element minOccurs="0" nillable="true" name="bmryoff" form="unqualified">
                          <xsd:complexType>
                            <xsd:attribute name="value" form="unqualified" type="xsd:double"/>
                          </xsd:complexType>
                        </xsd:element>
                        <xsd:element minOccurs="0" nillable="true" name="bmrzoff" form="unqualified">
                          <xsd:complexType>
                            <xsd:attribute name="value" form="unqualified" type="xsd:double"/>
                          </xsd:complexType>
                        </xsd:element>
                        <xsd:element minOccurs="0" nillable="true" name="lBx" form="unqualified">
                          <xsd:complexType>
                            <xsd:attribute name="value" form="unqualified" type="xsd:double"/>
                          </xsd:complexType>
                        </xsd:element>
                        <xsd:element minOccurs="0" nillable="true" name="lBz" form="unqualified">
                          <xsd:complexType>
                            <xsd:attribute name="value" form="unqualified" type="xsd:double"/>
                          </xsd:complexType>
                        </xsd:element>
                        <xsd:element minOccurs="0" nillable="true" name="cmrxoff" form="unqualified">
                          <xsd:complexType>
                            <xsd:attribute name="value" form="unqualified" type="xsd:double"/>
                          </xsd:complexType>
                        </xsd:element>
                        <xsd:element minOccurs="0" nillable="true" name="cmryoff" form="unqualified">
                          <xsd:complexType>
                            <xsd:attribute name="value" form="unqualified" type="xsd:double"/>
                          </xsd:complexType>
                        </xsd:element>
                        <xsd:element minOccurs="0" nillable="true" name="cmrzoff" form="unqualified">
                          <xsd:complexType>
                            <xsd:attribute name="value" form="unqualified" type="xsd:double"/>
                          </xsd:complexType>
                        </xsd:element>
                        <xsd:element minOccurs="0" nillable="true" name="lCx" form="unqualified">
                          <xsd:complexType>
                            <xsd:attribute name="value" form="unqualified" type="xsd:double"/>
                          </xsd:complexType>
                        </xsd:element>
                        <xsd:element minOccurs="0" nillable="true" name="lCy" form="unqualified">
                          <xsd:complexType>
                            <xsd:attribute name="value" form="unqualified" type="xsd:double"/>
                          </xsd:complexType>
                        </xsd:element>
                        <xsd:element minOccurs="0" nillable="true" name="BaseShift" form="unqualified">
                          <xsd:complexType>
                            <xsd:attribute name="X" form="unqualified" type="xsd:double"/>
                            <xsd:attribute name="Y" form="unqualified" type="xsd:double"/>
                            <xsd:attribute name="Z" form="unqualified" type="xsd:double"/>
                            <xsd:attribute name="rX" form="unqualified" type="xsd:double"/>
                            <xsd:attribute name="rY" form="unqualified" type="xsd:double"/>
                            <xsd:attribute name="rZ" form="unqualified" type="xsd:double"/>
                          </xsd:complexType>
                        </xsd:element>
                        <xsd:element minOccurs="0" nillable="true" name="LHMachine" form="unqualified">
                          <xsd:complexType>
                            <xsd:attribute name="value" form="unqualified" type="xsd:double"/>
                            <xsd:attribute name="Hide" form="unqualified" type="xsd:boolean"/>
                          </xsd:complexType>
                        </xsd:element>
                        <xsd:element minOccurs="0" nillable="true" name="lTHx" form="unqualified">
                          <xsd:complexType>
                            <xsd:attribute name="value" form="unqualified" type="xsd:double"/>
                            <xsd:attribute name="Hide" form="unqualified" type="xsd:boolean"/>
                          </xsd:complexType>
                        </xsd:element>
                        <xsd:element minOccurs="0" nillable="true" name="lTHy" form="unqualified">
                          <xsd:complexType>
                            <xsd:attribute name="value" form="unqualified" type="xsd:double"/>
                            <xsd:attribute name="Hide" form="unqualified" type="xsd:boolean"/>
                          </xsd:complexType>
                        </xsd:element>
                        <xsd:element minOccurs="0" nillable="true" name="lTHz" form="unqualified">
                          <xsd:complexType>
                            <xsd:attribute name="value" form="unqualified" type="xsd:double"/>
                            <xsd:attribute name="Hide" form="unqualified" type="xsd:boolean"/>
                          </xsd:complexType>
                        </xsd:element>
                        <xsd:element minOccurs="0" nillable="true" name="rTHz" form="unqualified">
                          <xsd:complexType>
                            <xsd:attribute name="value" form="unqualified" type="xsd:double"/>
                            <xsd:attribute name="Hide" form="unqualified" type="xsd:boolean"/>
                          </xsd:complexType>
                        </xsd:element>
                        <xsd:element minOccurs="0" nillable="true" name="TP1X" form="unqualified">
                          <xsd:complexType>
                            <xsd:attribute name="value" form="unqualified" type="xsd:double"/>
                            <xsd:attribute name="Hide" form="unqualified" type="xsd:boolean"/>
                          </xsd:complexType>
                        </xsd:element>
                        <xsd:element minOccurs="0" nillable="true" name="TP1Y" form="unqualified">
                          <xsd:complexType>
                            <xsd:attribute name="value" form="unqualified" type="xsd:double"/>
                            <xsd:attribute name="Hide" form="unqualified" type="xsd:boolean"/>
                          </xsd:complexType>
                        </xsd:element>
                        <xsd:element minOccurs="0" nillable="true" name="TP1Z" form="unqualified">
                          <xsd:complexType>
                            <xsd:attribute name="value" form="unqualified" type="xsd:double"/>
                            <xsd:attribute name="Hide" form="unqualified" type="xsd:boolean"/>
                          </xsd:complexType>
                        </xsd:element>
                        <xsd:element minOccurs="0" nillable="true" name="TP2X" form="unqualified">
                          <xsd:complexType>
                            <xsd:attribute name="value" form="unqualified" type="xsd:double"/>
                            <xsd:attribute name="Hide" form="unqualified" type="xsd:boolean"/>
                          </xsd:complexType>
                        </xsd:element>
                        <xsd:element minOccurs="0" nillable="true" name="TP2Y" form="unqualified">
                          <xsd:complexType>
                            <xsd:attribute name="value" form="unqualified" type="xsd:double"/>
                            <xsd:attribute name="Hide" form="unqualified" type="xsd:boolean"/>
                          </xsd:complexType>
                        </xsd:element>
                        <xsd:element minOccurs="0" nillable="true" name="TP2Z" form="unqualified">
                          <xsd:complexType>
                            <xsd:attribute name="value" form="unqualified" type="xsd:double"/>
                            <xsd:attribute name="Hide" form="unqualified" type="xsd:boolean"/>
                          </xsd:complexType>
                        </xsd:element>
                        <xsd:element minOccurs="0" nillable="true" name="TP3X" form="unqualified">
                          <xsd:complexType>
                            <xsd:attribute name="value" form="unqualified" type="xsd:double"/>
                            <xsd:attribute name="Hide" form="unqualified" type="xsd:boolean"/>
                          </xsd:complexType>
                        </xsd:element>
                        <xsd:element minOccurs="0" nillable="true" name="TP3Y" form="unqualified">
                          <xsd:complexType>
                            <xsd:attribute name="value" form="unqualified" type="xsd:double"/>
                            <xsd:attribute name="Hide" form="unqualified" type="xsd:boolean"/>
                          </xsd:complexType>
                        </xsd:element>
                        <xsd:element minOccurs="0" nillable="true" name="TP3Z" form="unqualified">
                          <xsd:complexType>
                            <xsd:attribute name="value" form="unqualified" type="xsd:double"/>
                            <xsd:attribute name="Hide" form="unqualified" type="xsd:boolean"/>
                          </xsd:complexType>
                        </xsd:element>
                        <xsd:element minOccurs="0" nillable="true" name="TP4X" form="unqualified">
                          <xsd:complexType>
                            <xsd:attribute name="value" form="unqualified" type="xsd:double"/>
                            <xsd:attribute name="Hide" form="unqualified" type="xsd:boolean"/>
                          </xsd:complexType>
                        </xsd:element>
                        <xsd:element minOccurs="0" nillable="true" name="TP4Y" form="unqualified">
                          <xsd:complexType>
                            <xsd:attribute name="value" form="unqualified" type="xsd:double"/>
                            <xsd:attribute name="Hide" form="unqualified" type="xsd:boolean"/>
                          </xsd:complexType>
                        </xsd:element>
                        <xsd:element minOccurs="0" nillable="true" name="TP4Z" form="unqualified">
                          <xsd:complexType>
                            <xsd:attribute name="value" form="unqualified" type="xsd:double"/>
                            <xsd:attribute name="Hide" form="unqualified" type="xsd:boolean"/>
                          </xsd:complexType>
                        </xsd:element>
                        <xsd:element minOccurs="0" nillable="true" name="TP5X" form="unqualified">
                          <xsd:complexType>
                            <xsd:attribute name="value" form="unqualified" type="xsd:double"/>
                            <xsd:attribute name="Hide" form="unqualified" type="xsd:boolean"/>
                          </xsd:complexType>
                        </xsd:element>
                        <xsd:element minOccurs="0" nillable="true" name="TP5Y" form="unqualified">
                          <xsd:complexType>
                            <xsd:attribute name="value" form="unqualified" type="xsd:double"/>
                            <xsd:attribute name="Hide" form="unqualified" type="xsd:boolean"/>
                          </xsd:complexType>
                        </xsd:element>
                        <xsd:element minOccurs="0" nillable="true" name="TP5Z" form="unqualified">
                          <xsd:complexType>
                            <xsd:attribute name="value" form="unqualified" type="xsd:double"/>
                            <xsd:attribute name="Hide" form="unqualified" type="xsd:boolean"/>
                          </xsd:complexType>
                        </xsd:element>
                        <xsd:element minOccurs="0" nillable="true" name="TP6X" form="unqualified">
                          <xsd:complexType>
                            <xsd:attribute name="value" form="unqualified" type="xsd:double"/>
                            <xsd:attribute name="Hide" form="unqualified" type="xsd:boolean"/>
                          </xsd:complexType>
                        </xsd:element>
                        <xsd:element minOccurs="0" nillable="true" name="TP6Y" form="unqualified">
                          <xsd:complexType>
                            <xsd:attribute name="value" form="unqualified" type="xsd:double"/>
                            <xsd:attribute name="Hide" form="unqualified" type="xsd:boolean"/>
                          </xsd:complexType>
                        </xsd:element>
                        <xsd:element minOccurs="0" nillable="true" name="TP6Z" form="unqualified">
                          <xsd:complexType>
                            <xsd:attribute name="value" form="unqualified" type="xsd:double"/>
                            <xsd:attribute name="Hide" form="unqualified" type="xsd:boolean"/>
                          </xsd:complexType>
                        </xsd:element>
                        <xsd:element minOccurs="0" nillable="true" name="TP7X" form="unqualified">
                          <xsd:complexType>
                            <xsd:attribute name="value" form="unqualified" type="xsd:double"/>
                            <xsd:attribute name="Hide" form="unqualified" type="xsd:boolean"/>
                          </xsd:complexType>
                        </xsd:element>
                        <xsd:element minOccurs="0" nillable="true" name="TP7Y" form="unqualified">
                          <xsd:complexType>
                            <xsd:attribute name="value" form="unqualified" type="xsd:double"/>
                            <xsd:attribute name="Hide" form="unqualified" type="xsd:boolean"/>
                          </xsd:complexType>
                        </xsd:element>
                        <xsd:element minOccurs="0" nillable="true" name="TP7Z" form="unqualified">
                          <xsd:complexType>
                            <xsd:attribute name="value" form="unqualified" type="xsd:double"/>
                            <xsd:attribute name="Hide" form="unqualified" type="xsd:boolean"/>
                          </xsd:complexType>
                        </xsd:element>
                        <xsd:element minOccurs="0" nillable="true" name="TP8X" form="unqualified">
                          <xsd:complexType>
                            <xsd:attribute name="value" form="unqualified" type="xsd:double"/>
                            <xsd:attribute name="Hide" form="unqualified" type="xsd:boolean"/>
                          </xsd:complexType>
                        </xsd:element>
                        <xsd:element minOccurs="0" nillable="true" name="TP8Y" form="unqualified">
                          <xsd:complexType>
                            <xsd:attribute name="value" form="unqualified" type="xsd:double"/>
                            <xsd:attribute name="Hide" form="unqualified" type="xsd:boolean"/>
                          </xsd:complexType>
                        </xsd:element>
                        <xsd:element minOccurs="0" nillable="true" name="TP8Z" form="unqualified">
                          <xsd:complexType>
                            <xsd:attribute name="value" form="unqualified" type="xsd:double"/>
                            <xsd:attribute name="Hide" form="unqualified" type="xsd:boolean"/>
                          </xsd:complexType>
                        </xsd:element>
                        <xsd:element minOccurs="0" nillable="true" name="TP9X" form="unqualified">
                          <xsd:complexType>
                            <xsd:attribute name="value" form="unqualified" type="xsd:double"/>
                            <xsd:attribute name="Hide" form="unqualified" type="xsd:boolean"/>
                          </xsd:complexType>
                        </xsd:element>
                        <xsd:element minOccurs="0" nillable="true" name="TP9Y" form="unqualified">
                          <xsd:complexType>
                            <xsd:attribute name="value" form="unqualified" type="xsd:double"/>
                            <xsd:attribute name="Hide" form="unqualified" type="xsd:boolean"/>
                          </xsd:complexType>
                        </xsd:element>
                        <xsd:element minOccurs="0" nillable="true" name="TP9Z" form="unqualified">
                          <xsd:complexType>
                            <xsd:attribute name="value" form="unqualified" type="xsd:double"/>
                            <xsd:attribute name="Hide" form="unqualified" type="xsd:boolean"/>
                          </xsd:complexType>
                        </xsd:element>
                        <xsd:element minOccurs="0" nillable="true" name="TP10X" form="unqualified">
                          <xsd:complexType>
                            <xsd:attribute name="value" form="unqualified" type="xsd:double"/>
                            <xsd:attribute name="Hide" form="unqualified" type="xsd:boolean"/>
                          </xsd:complexType>
                        </xsd:element>
                        <xsd:element minOccurs="0" nillable="true" name="TP10Y" form="unqualified">
                          <xsd:complexType>
                            <xsd:attribute name="value" form="unqualified" type="xsd:double"/>
                            <xsd:attribute name="Hide" form="unqualified" type="xsd:boolean"/>
                          </xsd:complexType>
                        </xsd:element>
                        <xsd:element minOccurs="0" nillable="true" name="TP10Z" form="unqualified">
                          <xsd:complexType>
                            <xsd:attribute name="value" form="unqualified" type="xsd:double"/>
                            <xsd:attribute name="Hide" form="unqualified" type="xsd:boolean"/>
                          </xsd:complexType>
                        </xsd:element>
                      </xsd:sequence>
                      <xsd:attribute name="multiply" form="unqualified" type="xsd:double"/>
                    </xsd:complexType>
                  </xsd:element>
                  <xsd:element minOccurs="0" nillable="true" name="machineaxes" form="unqualified">
                    <xsd:complexType>
                      <xsd:sequence minOccurs="0">
                        <xsd:element minOccurs="0" nillable="true" name="Xm" form="unqualified">
                          <xsd:complexType>
                            <xsd:attribute name="rotary" form="unqualified" type="xsd:string"/>
                            <xsd:attribute name="scalefactor" form="unqualified" type="xsd:double"/>
                          </xsd:complexType>
                        </xsd:element>
                        <xsd:element minOccurs="0" nillable="true" name="Ym" form="unqualified">
                          <xsd:complexType>
                            <xsd:attribute name="rotary" form="unqualified" type="xsd:string"/>
                            <xsd:attribute name="scalefactor" form="unqualified" type="xsd:double"/>
                          </xsd:complexType>
                        </xsd:element>
                        <xsd:element minOccurs="0" nillable="true" name="Zm" form="unqualified">
                          <xsd:complexType>
                            <xsd:attribute name="rotary" form="unqualified" type="xsd:string"/>
                            <xsd:attribute name="scalefactor" form="unqualified" type="xsd:double"/>
                          </xsd:complexType>
                        </xsd:element>
                        <xsd:element minOccurs="0" nillable="true" name="C1" form="unqualified">
                          <xsd:complexType>
                            <xsd:attribute name="rotary" form="unqualified" type="xsd:string"/>
                            <xsd:attribute name="scalefactor" form="unqualified" type="xsd:double"/>
                          </xsd:complexType>
                        </xsd:element>
                        <xsd:element minOccurs="0" nillable="true" name="Am" form="unqualified">
                          <xsd:complexType>
                            <xsd:attribute name="rotary" form="unqualified" type="xsd:string"/>
                            <xsd:attribute name="scalefactor" form="unqualified" type="xsd:double"/>
                          </xsd:complexType>
                        </xsd:element>
                        <xsd:element minOccurs="0" nillable="true" name="Bm" form="unqualified">
                          <xsd:complexType>
                            <xsd:attribute name="rotary" form="unqualified" type="xsd:string"/>
                            <xsd:attribute name="scalefactor" form="unqualified" type="xsd:double"/>
                          </xsd:complexType>
                        </xsd:element>
                        <xsd:element minOccurs="0" nillable="true" name="Cm" form="unqualified">
                          <xsd:complexType>
                            <xsd:attribute name="rotary" form="unqualified" type="xsd:string"/>
                            <xsd:attribute name="scalefactor" form="unqualified" type="xsd:double"/>
                          </xsd:complexType>
                        </xsd:element>
                        <xsd:element minOccurs="0" nillable="true" name="TP1" form="unqualified">
                          <xsd:complexType>
                            <xsd:attribute name="rotary" form="unqualified" type="xsd:string"/>
                            <xsd:attribute name="scalefactor" form="unqualified" type="xsd:double"/>
                            <xsd:attribute name="Hide" form="unqualified" type="xsd:boolean"/>
                          </xsd:complexType>
                        </xsd:element>
                        <xsd:element minOccurs="0" nillable="true" name="TP3" form="unqualified">
                          <xsd:complexType>
                            <xsd:attribute name="rotary" form="unqualified" type="xsd:string"/>
                            <xsd:attribute name="scalefactor" form="unqualified" type="xsd:double"/>
                            <xsd:attribute name="Hide" form="unqualified" type="xsd:boolean"/>
                          </xsd:complexType>
                        </xsd:element>
                        <xsd:element minOccurs="0" nillable="true" name="TP4" form="unqualified">
                          <xsd:complexType>
                            <xsd:attribute name="rotary" form="unqualified" type="xsd:string"/>
                            <xsd:attribute name="scalefactor" form="unqualified" type="xsd:double"/>
                            <xsd:attribute name="Hide" form="unqualified" type="xsd:boolean"/>
                          </xsd:complexType>
                        </xsd:element>
                        <xsd:element minOccurs="0" nillable="true" name="TP6" form="unqualified">
                          <xsd:complexType>
                            <xsd:attribute name="rotary" form="unqualified" type="xsd:string"/>
                            <xsd:attribute name="scalefactor" form="unqualified" type="xsd:double"/>
                            <xsd:attribute name="Hide" form="unqualified" type="xsd:boolean"/>
                          </xsd:complexType>
                        </xsd:element>
                        <xsd:element minOccurs="0" nillable="true" name="TP10" form="unqualified">
                          <xsd:complexType>
                            <xsd:attribute name="rotary" form="unqualified" type="xsd:string"/>
                            <xsd:attribute name="scalefactor" form="unqualified" type="xsd:double"/>
                            <xsd:attribute name="Hide" form="unqualified" type="xsd:boolean"/>
                          </xsd:complexType>
                        </xsd:element>
                      </xsd:sequence>
                      <xsd:attribute name="multiply" form="unqualified" type="xsd:double"/>
                    </xsd:complexType>
                  </xsd:element>
                  <xsd:element minOccurs="0" nillable="true" name="comptables" form="unqualified">
                    <xsd:complexType>
                      <xsd:sequence minOccurs="0">
                        <xsd:element minOccurs="0" maxOccurs="unbounded" nillable="true" name="table" form="unqualified">
                          <xsd:complexType>
                            <xsd:sequence minOccurs="0">
                              <xsd:element minOccurs="0" maxOccurs="unbounded" nillable="true" name="station" form="unqualified">
                                <xsd:complexType>
                                  <xsd:attribute name="loc" form="unqualified" type="xsd:double"/>
                                  <xsd:attribute name="X" form="unqualified" type="xsd:double"/>
                                  <xsd:attribute name="Y" form="unqualified" type="xsd:double"/>
                                  <xsd:attribute name="Z" form="unqualified" type="xsd:double"/>
                                  <xsd:attribute name="rX" form="unqualified" type="xsd:double"/>
                                  <xsd:attribute name="rY" form="unqualified" type="xsd:double"/>
                                  <xsd:attribute name="rZ" form="unqualified" type="xsd:double"/>
                                </xsd:complexType>
                              </xsd:element>
                            </xsd:sequence>
                            <xsd:attribute name="axis" form="unqualified" type="xsd:string"/>
                          </xsd:complexType>
                        </xsd:element>
                      </xsd:sequence>
                      <xsd:attribute name="linear_multiply" form="unqualified" type="xsd:double"/>
                      <xsd:attribute name="angle_multiply" form="unqualified" type="xsd:double"/>
                    </xsd:complexType>
                  </xsd:element>
                </xsd:sequence>
              </xsd:complexType>
            </xsd:element>
            <xsd:element minOccurs="0" nillable="true" name="TransForms" form="unqualified">
              <xsd:complexType>
                <xsd:sequence minOccurs="0">
                  <xsd:element minOccurs="0" maxOccurs="unbounded" nillable="true" name="DH" form="unqualified">
                    <xsd:complexType>
                      <xsd:attribute name="n" form="unqualified" type="xsd:integer"/>
                      <xsd:attribute name="theta" form="unqualified" type="xsd:string"/>
                      <xsd:attribute name="d" form="unqualified" type="xsd:string"/>
                      <xsd:attribute name="a" form="unqualified" type="xsd:string"/>
                      <xsd:attribute name="alpha" form="unqualified" type="xsd:string"/>
                    </xsd:complexType>
                  </xsd:element>
                </xsd:sequence>
              </xsd:complexType>
            </xsd:element>
          </xsd:sequence>
        </xsd:complexType>
      </xsd:element>
    </xsd:schema>
  </Schema>
  <Schema ID="Schema3">
    <xsd:schema xmlns:xsd="http://www.w3.org/2001/XMLSchema" xmlns="">
      <xsd:element nillable="true" name="Electroimpact_SolverResultToolPoints">
        <xsd:complexType>
          <xsd:sequence minOccurs="0">
            <xsd:element minOccurs="0" maxOccurs="unbounded" nillable="true" name="Data" form="unqualified">
              <xsd:complexType>
                <xsd:attribute name="Xtp" form="unqualified" type="xsd:double"/>
                <xsd:attribute name="Ytp" form="unqualified" type="xsd:double"/>
                <xsd:attribute name="Ztp" form="unqualified" type="xsd:double"/>
                <xsd:attribute name="Atp" form="unqualified" type="xsd:double"/>
                <xsd:attribute name="Btp" form="unqualified" type="xsd:double"/>
                <xsd:attribute name="Ctp" form="unqualified" type="xsd:double"/>
                <xsd:attribute name="Xm" form="unqualified" type="xsd:double"/>
                <xsd:attribute name="Ym" form="unqualified" type="xsd:double"/>
                <xsd:attribute name="Zm" form="unqualified" type="xsd:double"/>
                <xsd:attribute name="Cpm" form="unqualified" type="xsd:double"/>
                <xsd:attribute name="Am" form="unqualified" type="xsd:double"/>
                <xsd:attribute name="Bm" form="unqualified" type="xsd:double"/>
                <xsd:attribute name="Cm" form="unqualified" type="xsd:double"/>
                <xsd:attribute name="TP" form="unqualified" type="xsd:double"/>
              </xsd:complexType>
            </xsd:element>
          </xsd:sequence>
        </xsd:complexType>
      </xsd:element>
    </xsd:schema>
  </Schema>
  <Map ID="106" Name="EITransform_Map" RootElement="EITransform" SchemaID="Schema2" ShowImportExportValidationErrors="false" AutoFit="true" Append="false" PreserveSortAFLayout="true" PreserveFormat="true">
    <DataBinding FileBinding="true" ConnectionID="32" DataBindingLoadMode="1"/>
  </Map>
  <Map ID="110" Name="Electroimpact_SolverResultToolPoints_Map" RootElement="Electroimpact_SolverResultToolPoints" SchemaID="Schema3" ShowImportExportValidationErrors="false" AutoFit="true" Append="false" PreserveSortAFLayout="true" PreserveFormat="true">
    <DataBinding FileBinding="true" ConnectionID="2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xmlMaps" Target="xmlMaps.xml"/><Relationship Id="rId10" Type="http://schemas.openxmlformats.org/officeDocument/2006/relationships/chartsheet" Target="chartsheets/sheet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14.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15.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16.xml.rels><?xml version="1.0" encoding="UTF-8" standalone="yes"?>
<Relationships xmlns="http://schemas.openxmlformats.org/package/2006/relationships"><Relationship Id="rId1" Type="http://schemas.openxmlformats.org/officeDocument/2006/relationships/themeOverride" Target="../theme/themeOverride14.xml"/></Relationships>
</file>

<file path=xl/charts/_rels/chart17.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18.xml.rels><?xml version="1.0" encoding="UTF-8" standalone="yes"?>
<Relationships xmlns="http://schemas.openxmlformats.org/package/2006/relationships"><Relationship Id="rId1" Type="http://schemas.openxmlformats.org/officeDocument/2006/relationships/themeOverride" Target="../theme/themeOverride16.xml"/></Relationships>
</file>

<file path=xl/charts/_rels/chart19.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20.xml.rels><?xml version="1.0" encoding="UTF-8" standalone="yes"?>
<Relationships xmlns="http://schemas.openxmlformats.org/package/2006/relationships"><Relationship Id="rId1" Type="http://schemas.openxmlformats.org/officeDocument/2006/relationships/themeOverride" Target="../theme/themeOverride18.xml"/></Relationships>
</file>

<file path=xl/charts/_rels/chart21.xml.rels><?xml version="1.0" encoding="UTF-8" standalone="yes"?>
<Relationships xmlns="http://schemas.openxmlformats.org/package/2006/relationships"><Relationship Id="rId1" Type="http://schemas.openxmlformats.org/officeDocument/2006/relationships/themeOverride" Target="../theme/themeOverride19.xml"/></Relationships>
</file>

<file path=xl/charts/_rels/chart22.xml.rels><?xml version="1.0" encoding="UTF-8" standalone="yes"?>
<Relationships xmlns="http://schemas.openxmlformats.org/package/2006/relationships"><Relationship Id="rId1" Type="http://schemas.openxmlformats.org/officeDocument/2006/relationships/themeOverride" Target="../theme/themeOverride20.xml"/></Relationships>
</file>

<file path=xl/charts/_rels/chart23.xml.rels><?xml version="1.0" encoding="UTF-8" standalone="yes"?>
<Relationships xmlns="http://schemas.openxmlformats.org/package/2006/relationships"><Relationship Id="rId1" Type="http://schemas.openxmlformats.org/officeDocument/2006/relationships/themeOverride" Target="../theme/themeOverride21.xml"/></Relationships>
</file>

<file path=xl/charts/_rels/chart24.xml.rels><?xml version="1.0" encoding="UTF-8" standalone="yes"?>
<Relationships xmlns="http://schemas.openxmlformats.org/package/2006/relationships"><Relationship Id="rId1" Type="http://schemas.openxmlformats.org/officeDocument/2006/relationships/themeOverride" Target="../theme/themeOverride22.xml"/></Relationships>
</file>

<file path=xl/charts/_rels/chart25.xml.rels><?xml version="1.0" encoding="UTF-8" standalone="yes"?>
<Relationships xmlns="http://schemas.openxmlformats.org/package/2006/relationships"><Relationship Id="rId1" Type="http://schemas.openxmlformats.org/officeDocument/2006/relationships/themeOverride" Target="../theme/themeOverride23.xml"/></Relationships>
</file>

<file path=xl/charts/_rels/chart26.xml.rels><?xml version="1.0" encoding="UTF-8" standalone="yes"?>
<Relationships xmlns="http://schemas.openxmlformats.org/package/2006/relationships"><Relationship Id="rId1" Type="http://schemas.openxmlformats.org/officeDocument/2006/relationships/themeOverride" Target="../theme/themeOverride24.xml"/></Relationships>
</file>

<file path=xl/charts/_rels/chart27.xml.rels><?xml version="1.0" encoding="UTF-8" standalone="yes"?>
<Relationships xmlns="http://schemas.openxmlformats.org/package/2006/relationships"><Relationship Id="rId1" Type="http://schemas.openxmlformats.org/officeDocument/2006/relationships/themeOverride" Target="../theme/themeOverride25.xml"/></Relationships>
</file>

<file path=xl/charts/_rels/chart29.xml.rels><?xml version="1.0" encoding="UTF-8" standalone="yes"?>
<Relationships xmlns="http://schemas.openxmlformats.org/package/2006/relationships"><Relationship Id="rId1" Type="http://schemas.openxmlformats.org/officeDocument/2006/relationships/themeOverride" Target="../theme/themeOverride26.xml"/></Relationships>
</file>

<file path=xl/charts/_rels/chart30.xml.rels><?xml version="1.0" encoding="UTF-8" standalone="yes"?>
<Relationships xmlns="http://schemas.openxmlformats.org/package/2006/relationships"><Relationship Id="rId1" Type="http://schemas.openxmlformats.org/officeDocument/2006/relationships/themeOverride" Target="../theme/themeOverride27.xml"/></Relationships>
</file>

<file path=xl/charts/_rels/chart31.xml.rels><?xml version="1.0" encoding="UTF-8" standalone="yes"?>
<Relationships xmlns="http://schemas.openxmlformats.org/package/2006/relationships"><Relationship Id="rId1" Type="http://schemas.openxmlformats.org/officeDocument/2006/relationships/themeOverride" Target="../theme/themeOverride28.xml"/></Relationships>
</file>

<file path=xl/charts/_rels/chart32.xml.rels><?xml version="1.0" encoding="UTF-8" standalone="yes"?>
<Relationships xmlns="http://schemas.openxmlformats.org/package/2006/relationships"><Relationship Id="rId1" Type="http://schemas.openxmlformats.org/officeDocument/2006/relationships/themeOverride" Target="../theme/themeOverride29.xml"/></Relationships>
</file>

<file path=xl/charts/_rels/chart33.xml.rels><?xml version="1.0" encoding="UTF-8" standalone="yes"?>
<Relationships xmlns="http://schemas.openxmlformats.org/package/2006/relationships"><Relationship Id="rId1" Type="http://schemas.openxmlformats.org/officeDocument/2006/relationships/themeOverride" Target="../theme/themeOverride3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'Friday Data'!$G$1:$G$83</c:f>
              <c:numCache>
                <c:formatCode>General</c:formatCode>
                <c:ptCount val="83"/>
                <c:pt idx="0">
                  <c:v>2776.3624110000001</c:v>
                </c:pt>
                <c:pt idx="1">
                  <c:v>2667.7285149999998</c:v>
                </c:pt>
                <c:pt idx="2">
                  <c:v>1515.2617499999999</c:v>
                </c:pt>
                <c:pt idx="3">
                  <c:v>1735.9339460000001</c:v>
                </c:pt>
                <c:pt idx="4">
                  <c:v>1108.6876580000001</c:v>
                </c:pt>
                <c:pt idx="5">
                  <c:v>2591.5902759999999</c:v>
                </c:pt>
                <c:pt idx="6">
                  <c:v>2088.9567729999999</c:v>
                </c:pt>
                <c:pt idx="7">
                  <c:v>1950.212462</c:v>
                </c:pt>
                <c:pt idx="8">
                  <c:v>2108.2725460000001</c:v>
                </c:pt>
                <c:pt idx="9">
                  <c:v>2747.3497320000001</c:v>
                </c:pt>
                <c:pt idx="10">
                  <c:v>763.01551589999997</c:v>
                </c:pt>
                <c:pt idx="11">
                  <c:v>930.92441550000001</c:v>
                </c:pt>
                <c:pt idx="12">
                  <c:v>922.11590509999996</c:v>
                </c:pt>
                <c:pt idx="13">
                  <c:v>83.741380309999997</c:v>
                </c:pt>
                <c:pt idx="14">
                  <c:v>510.73592389999999</c:v>
                </c:pt>
                <c:pt idx="15">
                  <c:v>1214.3777869999999</c:v>
                </c:pt>
                <c:pt idx="16">
                  <c:v>631.40474940000001</c:v>
                </c:pt>
                <c:pt idx="17">
                  <c:v>126.8176497</c:v>
                </c:pt>
                <c:pt idx="18">
                  <c:v>-318.58808529999999</c:v>
                </c:pt>
                <c:pt idx="19">
                  <c:v>-356.9897168</c:v>
                </c:pt>
                <c:pt idx="20">
                  <c:v>-84.103435430000005</c:v>
                </c:pt>
                <c:pt idx="21">
                  <c:v>514.42987059999996</c:v>
                </c:pt>
                <c:pt idx="22">
                  <c:v>1132.647669</c:v>
                </c:pt>
                <c:pt idx="23">
                  <c:v>1352.421711</c:v>
                </c:pt>
                <c:pt idx="24">
                  <c:v>955.6787071</c:v>
                </c:pt>
                <c:pt idx="25">
                  <c:v>1301.6303170000001</c:v>
                </c:pt>
                <c:pt idx="26">
                  <c:v>1266.2228419999999</c:v>
                </c:pt>
                <c:pt idx="27">
                  <c:v>1847.4003849999999</c:v>
                </c:pt>
                <c:pt idx="28">
                  <c:v>2140.8973380000002</c:v>
                </c:pt>
                <c:pt idx="29">
                  <c:v>1804.922961</c:v>
                </c:pt>
                <c:pt idx="30">
                  <c:v>1720.277411</c:v>
                </c:pt>
                <c:pt idx="31">
                  <c:v>1386.730769</c:v>
                </c:pt>
                <c:pt idx="32">
                  <c:v>1594.294046</c:v>
                </c:pt>
                <c:pt idx="33">
                  <c:v>1485.02548</c:v>
                </c:pt>
                <c:pt idx="34">
                  <c:v>1460.9430729999999</c:v>
                </c:pt>
                <c:pt idx="35">
                  <c:v>1486.66256</c:v>
                </c:pt>
                <c:pt idx="36">
                  <c:v>1349.1206110000001</c:v>
                </c:pt>
                <c:pt idx="37">
                  <c:v>1226.342711</c:v>
                </c:pt>
                <c:pt idx="38">
                  <c:v>1371.45165</c:v>
                </c:pt>
                <c:pt idx="39">
                  <c:v>1304.9390390000001</c:v>
                </c:pt>
                <c:pt idx="40">
                  <c:v>1376.6251540000001</c:v>
                </c:pt>
                <c:pt idx="41">
                  <c:v>1603.8350869999999</c:v>
                </c:pt>
                <c:pt idx="42">
                  <c:v>1269.8503539999999</c:v>
                </c:pt>
                <c:pt idx="43">
                  <c:v>1391.6186760000001</c:v>
                </c:pt>
                <c:pt idx="44">
                  <c:v>1612.794748</c:v>
                </c:pt>
                <c:pt idx="45">
                  <c:v>1168.6139049999999</c:v>
                </c:pt>
                <c:pt idx="46">
                  <c:v>943.30040140000006</c:v>
                </c:pt>
                <c:pt idx="47">
                  <c:v>924.81451049999998</c:v>
                </c:pt>
                <c:pt idx="48">
                  <c:v>269.16728169999999</c:v>
                </c:pt>
                <c:pt idx="49">
                  <c:v>323.79911429999999</c:v>
                </c:pt>
                <c:pt idx="50">
                  <c:v>368.85246819999998</c:v>
                </c:pt>
                <c:pt idx="51">
                  <c:v>528.5591799</c:v>
                </c:pt>
                <c:pt idx="52">
                  <c:v>794.43341729999997</c:v>
                </c:pt>
                <c:pt idx="53">
                  <c:v>715.14904360000003</c:v>
                </c:pt>
                <c:pt idx="54">
                  <c:v>763.14507249999997</c:v>
                </c:pt>
                <c:pt idx="55">
                  <c:v>666.6464575</c:v>
                </c:pt>
                <c:pt idx="56">
                  <c:v>863.50180690000002</c:v>
                </c:pt>
                <c:pt idx="57">
                  <c:v>659.55831539999997</c:v>
                </c:pt>
                <c:pt idx="58">
                  <c:v>92.444073860000003</c:v>
                </c:pt>
                <c:pt idx="59">
                  <c:v>300.53042840000001</c:v>
                </c:pt>
                <c:pt idx="60">
                  <c:v>203.70872940000001</c:v>
                </c:pt>
                <c:pt idx="61">
                  <c:v>402.95340119999997</c:v>
                </c:pt>
                <c:pt idx="62">
                  <c:v>52.098582200000003</c:v>
                </c:pt>
                <c:pt idx="63">
                  <c:v>1103.9726860000001</c:v>
                </c:pt>
                <c:pt idx="64">
                  <c:v>964.32312939999997</c:v>
                </c:pt>
                <c:pt idx="65">
                  <c:v>-564.11956580000003</c:v>
                </c:pt>
                <c:pt idx="66">
                  <c:v>-567.19400780000001</c:v>
                </c:pt>
                <c:pt idx="67">
                  <c:v>-575.36762499999998</c:v>
                </c:pt>
                <c:pt idx="68">
                  <c:v>-648.46316850000005</c:v>
                </c:pt>
                <c:pt idx="69">
                  <c:v>-392.1506364</c:v>
                </c:pt>
                <c:pt idx="70">
                  <c:v>-285.7021072</c:v>
                </c:pt>
                <c:pt idx="71">
                  <c:v>101.0312122</c:v>
                </c:pt>
                <c:pt idx="72">
                  <c:v>1286.3519920000001</c:v>
                </c:pt>
                <c:pt idx="73">
                  <c:v>895.80294949999995</c:v>
                </c:pt>
                <c:pt idx="74">
                  <c:v>758.39902900000004</c:v>
                </c:pt>
                <c:pt idx="75">
                  <c:v>1087.0685080000001</c:v>
                </c:pt>
                <c:pt idx="76">
                  <c:v>1113.0204759999999</c:v>
                </c:pt>
                <c:pt idx="77">
                  <c:v>1063.764261</c:v>
                </c:pt>
                <c:pt idx="78">
                  <c:v>201.70508000000001</c:v>
                </c:pt>
                <c:pt idx="79">
                  <c:v>197.04842790000001</c:v>
                </c:pt>
                <c:pt idx="80">
                  <c:v>800.10140409999997</c:v>
                </c:pt>
                <c:pt idx="81">
                  <c:v>83.094713990000002</c:v>
                </c:pt>
                <c:pt idx="82">
                  <c:v>715.04617040000005</c:v>
                </c:pt>
              </c:numCache>
            </c:numRef>
          </c:val>
          <c:smooth val="0"/>
        </c:ser>
        <c:ser>
          <c:idx val="1"/>
          <c:order val="1"/>
          <c:spPr>
            <a:ln w="28575" cap="rnd">
              <a:solidFill>
                <a:schemeClr val="accent2"/>
              </a:solidFill>
              <a:round/>
            </a:ln>
            <a:effectLst/>
          </c:spPr>
          <c:marker>
            <c:symbol val="none"/>
          </c:marker>
          <c:val>
            <c:numRef>
              <c:f>'Friday Data'!$H$1:$H$83</c:f>
              <c:numCache>
                <c:formatCode>General</c:formatCode>
                <c:ptCount val="83"/>
                <c:pt idx="0">
                  <c:v>277.0818984</c:v>
                </c:pt>
                <c:pt idx="1">
                  <c:v>689.46930840000005</c:v>
                </c:pt>
                <c:pt idx="2">
                  <c:v>898.54077299999994</c:v>
                </c:pt>
                <c:pt idx="3">
                  <c:v>1230.581719</c:v>
                </c:pt>
                <c:pt idx="4">
                  <c:v>994.0148299</c:v>
                </c:pt>
                <c:pt idx="5">
                  <c:v>1315.21632</c:v>
                </c:pt>
                <c:pt idx="6">
                  <c:v>-2.2054624820000002</c:v>
                </c:pt>
                <c:pt idx="7">
                  <c:v>-386.39620600000001</c:v>
                </c:pt>
                <c:pt idx="8">
                  <c:v>357.1193864</c:v>
                </c:pt>
                <c:pt idx="9">
                  <c:v>234.08100390000001</c:v>
                </c:pt>
                <c:pt idx="10">
                  <c:v>-53.036529790000003</c:v>
                </c:pt>
                <c:pt idx="11">
                  <c:v>-917.42145570000002</c:v>
                </c:pt>
                <c:pt idx="12">
                  <c:v>-903.30447389999995</c:v>
                </c:pt>
                <c:pt idx="13">
                  <c:v>-622.82642190000001</c:v>
                </c:pt>
                <c:pt idx="14">
                  <c:v>-130.8699311</c:v>
                </c:pt>
                <c:pt idx="15">
                  <c:v>485.41437669999999</c:v>
                </c:pt>
                <c:pt idx="16">
                  <c:v>733.42196090000004</c:v>
                </c:pt>
                <c:pt idx="17">
                  <c:v>518.50046499999996</c:v>
                </c:pt>
                <c:pt idx="18">
                  <c:v>426.1595706</c:v>
                </c:pt>
                <c:pt idx="19">
                  <c:v>422.9582077</c:v>
                </c:pt>
                <c:pt idx="20">
                  <c:v>-217.1510112</c:v>
                </c:pt>
                <c:pt idx="21">
                  <c:v>-761.17000940000003</c:v>
                </c:pt>
                <c:pt idx="22">
                  <c:v>-560.50614089999999</c:v>
                </c:pt>
                <c:pt idx="23">
                  <c:v>-600.8509497</c:v>
                </c:pt>
                <c:pt idx="24">
                  <c:v>-260.61944010000002</c:v>
                </c:pt>
                <c:pt idx="25">
                  <c:v>-254.8235736</c:v>
                </c:pt>
                <c:pt idx="26">
                  <c:v>183.7054741</c:v>
                </c:pt>
                <c:pt idx="27">
                  <c:v>-377.25992380000002</c:v>
                </c:pt>
                <c:pt idx="28">
                  <c:v>301.66846379999998</c:v>
                </c:pt>
                <c:pt idx="29">
                  <c:v>443.48561719999998</c:v>
                </c:pt>
                <c:pt idx="30">
                  <c:v>610.42448739999998</c:v>
                </c:pt>
                <c:pt idx="31">
                  <c:v>828.70625370000005</c:v>
                </c:pt>
                <c:pt idx="32">
                  <c:v>562.2280548</c:v>
                </c:pt>
                <c:pt idx="33">
                  <c:v>943.76392559999999</c:v>
                </c:pt>
                <c:pt idx="34">
                  <c:v>1179.7532880000001</c:v>
                </c:pt>
                <c:pt idx="35">
                  <c:v>1295.2425370000001</c:v>
                </c:pt>
                <c:pt idx="36">
                  <c:v>1820.2295770000001</c:v>
                </c:pt>
                <c:pt idx="37">
                  <c:v>1939.4272129999999</c:v>
                </c:pt>
                <c:pt idx="38">
                  <c:v>1813.3610960000001</c:v>
                </c:pt>
                <c:pt idx="39">
                  <c:v>1095.825572</c:v>
                </c:pt>
                <c:pt idx="40">
                  <c:v>1808.871011</c:v>
                </c:pt>
                <c:pt idx="41">
                  <c:v>1127.1903239999999</c:v>
                </c:pt>
                <c:pt idx="42">
                  <c:v>1019.217146</c:v>
                </c:pt>
                <c:pt idx="43">
                  <c:v>1240.365912</c:v>
                </c:pt>
                <c:pt idx="44">
                  <c:v>1076.2150939999999</c:v>
                </c:pt>
                <c:pt idx="45">
                  <c:v>675.37646830000006</c:v>
                </c:pt>
                <c:pt idx="46">
                  <c:v>-506.50492170000001</c:v>
                </c:pt>
                <c:pt idx="47">
                  <c:v>-464.96308379999999</c:v>
                </c:pt>
                <c:pt idx="48">
                  <c:v>-557.96266100000003</c:v>
                </c:pt>
                <c:pt idx="49">
                  <c:v>-49.826155489999998</c:v>
                </c:pt>
                <c:pt idx="50">
                  <c:v>-862.05191490000004</c:v>
                </c:pt>
                <c:pt idx="51">
                  <c:v>-715.61853259999998</c:v>
                </c:pt>
                <c:pt idx="52">
                  <c:v>-439.90676610000003</c:v>
                </c:pt>
                <c:pt idx="53">
                  <c:v>-442.97715410000001</c:v>
                </c:pt>
                <c:pt idx="54">
                  <c:v>-991.98250359999997</c:v>
                </c:pt>
                <c:pt idx="55">
                  <c:v>-531.49034059999997</c:v>
                </c:pt>
                <c:pt idx="56">
                  <c:v>-859.31166889999997</c:v>
                </c:pt>
                <c:pt idx="57">
                  <c:v>-307.97904770000002</c:v>
                </c:pt>
                <c:pt idx="58">
                  <c:v>-523.27263340000002</c:v>
                </c:pt>
                <c:pt idx="59">
                  <c:v>-457.42718710000003</c:v>
                </c:pt>
                <c:pt idx="60">
                  <c:v>32.346021100000002</c:v>
                </c:pt>
                <c:pt idx="61">
                  <c:v>103.044765</c:v>
                </c:pt>
                <c:pt idx="62">
                  <c:v>723.68593490000001</c:v>
                </c:pt>
                <c:pt idx="63">
                  <c:v>342.86513860000002</c:v>
                </c:pt>
                <c:pt idx="64">
                  <c:v>503.97924769999997</c:v>
                </c:pt>
                <c:pt idx="65">
                  <c:v>815.32056669999997</c:v>
                </c:pt>
                <c:pt idx="66">
                  <c:v>742.01826540000002</c:v>
                </c:pt>
                <c:pt idx="67">
                  <c:v>269.85268289999999</c:v>
                </c:pt>
                <c:pt idx="68">
                  <c:v>196.76108450000001</c:v>
                </c:pt>
                <c:pt idx="69">
                  <c:v>-228.49683519999999</c:v>
                </c:pt>
                <c:pt idx="70">
                  <c:v>1074.4994119999999</c:v>
                </c:pt>
                <c:pt idx="71">
                  <c:v>1042.6610439999999</c:v>
                </c:pt>
                <c:pt idx="72">
                  <c:v>1049.4730489999999</c:v>
                </c:pt>
                <c:pt idx="73">
                  <c:v>1010.185778</c:v>
                </c:pt>
                <c:pt idx="74">
                  <c:v>1540.7675730000001</c:v>
                </c:pt>
                <c:pt idx="75">
                  <c:v>1593.009595</c:v>
                </c:pt>
                <c:pt idx="76">
                  <c:v>1602.832467</c:v>
                </c:pt>
                <c:pt idx="77">
                  <c:v>1574.1862060000001</c:v>
                </c:pt>
                <c:pt idx="78">
                  <c:v>1177.6086539999999</c:v>
                </c:pt>
                <c:pt idx="79">
                  <c:v>1185.4918319999999</c:v>
                </c:pt>
                <c:pt idx="80">
                  <c:v>1227.036333</c:v>
                </c:pt>
                <c:pt idx="81">
                  <c:v>1132.128827</c:v>
                </c:pt>
                <c:pt idx="82">
                  <c:v>-277.46092859999999</c:v>
                </c:pt>
              </c:numCache>
            </c:numRef>
          </c:val>
          <c:smooth val="0"/>
        </c:ser>
        <c:ser>
          <c:idx val="2"/>
          <c:order val="2"/>
          <c:spPr>
            <a:ln w="28575" cap="rnd">
              <a:solidFill>
                <a:schemeClr val="accent3"/>
              </a:solidFill>
              <a:round/>
            </a:ln>
            <a:effectLst/>
          </c:spPr>
          <c:marker>
            <c:symbol val="none"/>
          </c:marker>
          <c:val>
            <c:numRef>
              <c:f>'Friday Data'!$I$1:$I$83</c:f>
              <c:numCache>
                <c:formatCode>General</c:formatCode>
                <c:ptCount val="83"/>
                <c:pt idx="0">
                  <c:v>1051.454244</c:v>
                </c:pt>
                <c:pt idx="1">
                  <c:v>1116.3989899999999</c:v>
                </c:pt>
                <c:pt idx="2">
                  <c:v>2076.0318139999999</c:v>
                </c:pt>
                <c:pt idx="3">
                  <c:v>2123.304533</c:v>
                </c:pt>
                <c:pt idx="4">
                  <c:v>2444.7242460000002</c:v>
                </c:pt>
                <c:pt idx="5">
                  <c:v>1803.1849569999999</c:v>
                </c:pt>
                <c:pt idx="6">
                  <c:v>1882.234001</c:v>
                </c:pt>
                <c:pt idx="7">
                  <c:v>610.28820540000004</c:v>
                </c:pt>
                <c:pt idx="8">
                  <c:v>742.84985380000001</c:v>
                </c:pt>
                <c:pt idx="9">
                  <c:v>672.26681489999999</c:v>
                </c:pt>
                <c:pt idx="10">
                  <c:v>1108.0748410000001</c:v>
                </c:pt>
                <c:pt idx="11">
                  <c:v>929.30813169999999</c:v>
                </c:pt>
                <c:pt idx="12">
                  <c:v>875.74425729999996</c:v>
                </c:pt>
                <c:pt idx="13">
                  <c:v>814.4283398</c:v>
                </c:pt>
                <c:pt idx="14">
                  <c:v>2070.168991</c:v>
                </c:pt>
                <c:pt idx="15">
                  <c:v>2370.712219</c:v>
                </c:pt>
                <c:pt idx="16">
                  <c:v>2371.9597450000001</c:v>
                </c:pt>
                <c:pt idx="17">
                  <c:v>2178.7689740000001</c:v>
                </c:pt>
                <c:pt idx="18">
                  <c:v>820.46140089999994</c:v>
                </c:pt>
                <c:pt idx="19">
                  <c:v>825.78660539999998</c:v>
                </c:pt>
                <c:pt idx="20">
                  <c:v>894.73307720000003</c:v>
                </c:pt>
                <c:pt idx="21">
                  <c:v>1036.6919969999999</c:v>
                </c:pt>
                <c:pt idx="22">
                  <c:v>601.90583149999998</c:v>
                </c:pt>
                <c:pt idx="23">
                  <c:v>895.5616374</c:v>
                </c:pt>
                <c:pt idx="24">
                  <c:v>1323.7239830000001</c:v>
                </c:pt>
                <c:pt idx="25">
                  <c:v>1571.022072</c:v>
                </c:pt>
                <c:pt idx="26">
                  <c:v>1611.2161080000001</c:v>
                </c:pt>
                <c:pt idx="27">
                  <c:v>804.97139340000001</c:v>
                </c:pt>
                <c:pt idx="28">
                  <c:v>1796.2319219999999</c:v>
                </c:pt>
                <c:pt idx="29">
                  <c:v>2057.9608459999999</c:v>
                </c:pt>
                <c:pt idx="30">
                  <c:v>1808.7088020000001</c:v>
                </c:pt>
                <c:pt idx="31">
                  <c:v>2233.2466840000002</c:v>
                </c:pt>
                <c:pt idx="32">
                  <c:v>2501.6336489999999</c:v>
                </c:pt>
                <c:pt idx="33">
                  <c:v>2298.1971480000002</c:v>
                </c:pt>
                <c:pt idx="34">
                  <c:v>2213.5283159999999</c:v>
                </c:pt>
                <c:pt idx="35">
                  <c:v>1558.379461</c:v>
                </c:pt>
                <c:pt idx="36">
                  <c:v>1704.0043439999999</c:v>
                </c:pt>
                <c:pt idx="37">
                  <c:v>1534.5966080000001</c:v>
                </c:pt>
                <c:pt idx="38">
                  <c:v>1851.0014799999999</c:v>
                </c:pt>
                <c:pt idx="39">
                  <c:v>1780.3499260000001</c:v>
                </c:pt>
                <c:pt idx="40">
                  <c:v>1690.7623490000001</c:v>
                </c:pt>
                <c:pt idx="41">
                  <c:v>1875.3704069999999</c:v>
                </c:pt>
                <c:pt idx="42">
                  <c:v>1888.9523320000001</c:v>
                </c:pt>
                <c:pt idx="43">
                  <c:v>2553.049931</c:v>
                </c:pt>
                <c:pt idx="44">
                  <c:v>2518.3363840000002</c:v>
                </c:pt>
                <c:pt idx="45">
                  <c:v>2539.7126039999998</c:v>
                </c:pt>
                <c:pt idx="46">
                  <c:v>2003.205811</c:v>
                </c:pt>
                <c:pt idx="47">
                  <c:v>1382.1367769999999</c:v>
                </c:pt>
                <c:pt idx="48">
                  <c:v>1509.6499719999999</c:v>
                </c:pt>
                <c:pt idx="49">
                  <c:v>1542.166109</c:v>
                </c:pt>
                <c:pt idx="50">
                  <c:v>1011.324211</c:v>
                </c:pt>
                <c:pt idx="51">
                  <c:v>927.13111449999997</c:v>
                </c:pt>
                <c:pt idx="52">
                  <c:v>660.40497359999995</c:v>
                </c:pt>
                <c:pt idx="53">
                  <c:v>721.92295539999998</c:v>
                </c:pt>
                <c:pt idx="54">
                  <c:v>810.55010449999997</c:v>
                </c:pt>
                <c:pt idx="55">
                  <c:v>673.69534510000005</c:v>
                </c:pt>
                <c:pt idx="56">
                  <c:v>1458.752833</c:v>
                </c:pt>
                <c:pt idx="57">
                  <c:v>1448.6549030000001</c:v>
                </c:pt>
                <c:pt idx="58">
                  <c:v>1146.942507</c:v>
                </c:pt>
                <c:pt idx="59">
                  <c:v>877.95135040000002</c:v>
                </c:pt>
                <c:pt idx="60">
                  <c:v>982.33970079999995</c:v>
                </c:pt>
                <c:pt idx="61">
                  <c:v>833.71269910000001</c:v>
                </c:pt>
                <c:pt idx="62">
                  <c:v>1107.4594360000001</c:v>
                </c:pt>
                <c:pt idx="63">
                  <c:v>2420.391498</c:v>
                </c:pt>
                <c:pt idx="64">
                  <c:v>1849.267521</c:v>
                </c:pt>
                <c:pt idx="65">
                  <c:v>814.7632734</c:v>
                </c:pt>
                <c:pt idx="66">
                  <c:v>1079.9969530000001</c:v>
                </c:pt>
                <c:pt idx="67">
                  <c:v>949.12878679999994</c:v>
                </c:pt>
                <c:pt idx="68">
                  <c:v>939.81387610000002</c:v>
                </c:pt>
                <c:pt idx="69">
                  <c:v>826.39651089999995</c:v>
                </c:pt>
                <c:pt idx="70">
                  <c:v>950.11785199999997</c:v>
                </c:pt>
                <c:pt idx="71">
                  <c:v>2407.6528320000002</c:v>
                </c:pt>
                <c:pt idx="72">
                  <c:v>2049.8518159999999</c:v>
                </c:pt>
                <c:pt idx="73">
                  <c:v>1616.0574340000001</c:v>
                </c:pt>
                <c:pt idx="74">
                  <c:v>1702.702094</c:v>
                </c:pt>
                <c:pt idx="75">
                  <c:v>1906.326088</c:v>
                </c:pt>
                <c:pt idx="76">
                  <c:v>1956.8238309999999</c:v>
                </c:pt>
                <c:pt idx="77">
                  <c:v>2204.1877690000001</c:v>
                </c:pt>
                <c:pt idx="78">
                  <c:v>2045.831242</c:v>
                </c:pt>
                <c:pt idx="79">
                  <c:v>1687.6364550000001</c:v>
                </c:pt>
                <c:pt idx="80">
                  <c:v>1593.5236359999999</c:v>
                </c:pt>
                <c:pt idx="81">
                  <c:v>2096.6920970000001</c:v>
                </c:pt>
                <c:pt idx="82">
                  <c:v>939.01107639999998</c:v>
                </c:pt>
              </c:numCache>
            </c:numRef>
          </c:val>
          <c:smooth val="0"/>
        </c:ser>
        <c:dLbls>
          <c:showLegendKey val="0"/>
          <c:showVal val="0"/>
          <c:showCatName val="0"/>
          <c:showSerName val="0"/>
          <c:showPercent val="0"/>
          <c:showBubbleSize val="0"/>
        </c:dLbls>
        <c:smooth val="0"/>
        <c:axId val="369165040"/>
        <c:axId val="369167392"/>
      </c:lineChart>
      <c:catAx>
        <c:axId val="3691650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167392"/>
        <c:crosses val="autoZero"/>
        <c:auto val="1"/>
        <c:lblAlgn val="ctr"/>
        <c:lblOffset val="100"/>
        <c:noMultiLvlLbl val="0"/>
      </c:catAx>
      <c:valAx>
        <c:axId val="369167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16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DataPaste!$Q$3:$Q$390</c:f>
              <c:numCache>
                <c:formatCode>General</c:formatCode>
                <c:ptCount val="388"/>
                <c:pt idx="0">
                  <c:v>39499.5861</c:v>
                </c:pt>
                <c:pt idx="1">
                  <c:v>38999.618499999997</c:v>
                </c:pt>
                <c:pt idx="2">
                  <c:v>38499.585800000001</c:v>
                </c:pt>
                <c:pt idx="3">
                  <c:v>37999.57</c:v>
                </c:pt>
                <c:pt idx="4">
                  <c:v>37499.530200000001</c:v>
                </c:pt>
                <c:pt idx="5">
                  <c:v>36999.5599</c:v>
                </c:pt>
                <c:pt idx="6">
                  <c:v>36499.5432</c:v>
                </c:pt>
                <c:pt idx="7">
                  <c:v>35999.530299999999</c:v>
                </c:pt>
                <c:pt idx="8">
                  <c:v>35499.5317</c:v>
                </c:pt>
                <c:pt idx="9">
                  <c:v>34999.532599999999</c:v>
                </c:pt>
                <c:pt idx="10">
                  <c:v>34499.504300000001</c:v>
                </c:pt>
                <c:pt idx="11">
                  <c:v>33999.489800000003</c:v>
                </c:pt>
                <c:pt idx="12">
                  <c:v>33499.499499999998</c:v>
                </c:pt>
                <c:pt idx="13">
                  <c:v>32999.5429</c:v>
                </c:pt>
                <c:pt idx="14">
                  <c:v>32499.5075</c:v>
                </c:pt>
                <c:pt idx="15">
                  <c:v>31999.487499999999</c:v>
                </c:pt>
                <c:pt idx="16">
                  <c:v>31499.451499999999</c:v>
                </c:pt>
                <c:pt idx="17">
                  <c:v>30999.447899999999</c:v>
                </c:pt>
                <c:pt idx="18">
                  <c:v>30499.446599999999</c:v>
                </c:pt>
                <c:pt idx="19">
                  <c:v>29999.434600000001</c:v>
                </c:pt>
                <c:pt idx="20">
                  <c:v>29499.4293</c:v>
                </c:pt>
                <c:pt idx="21">
                  <c:v>28999.503199999999</c:v>
                </c:pt>
                <c:pt idx="22">
                  <c:v>28499.488600000001</c:v>
                </c:pt>
                <c:pt idx="23">
                  <c:v>27999.492300000002</c:v>
                </c:pt>
                <c:pt idx="24">
                  <c:v>27499.4702</c:v>
                </c:pt>
                <c:pt idx="25">
                  <c:v>26999.472699999998</c:v>
                </c:pt>
                <c:pt idx="26">
                  <c:v>26499.426299999999</c:v>
                </c:pt>
                <c:pt idx="27">
                  <c:v>25999.439600000002</c:v>
                </c:pt>
                <c:pt idx="28">
                  <c:v>25499.407999999999</c:v>
                </c:pt>
                <c:pt idx="29">
                  <c:v>24999.4107</c:v>
                </c:pt>
                <c:pt idx="30">
                  <c:v>24499.372100000001</c:v>
                </c:pt>
                <c:pt idx="31">
                  <c:v>23999.322199999999</c:v>
                </c:pt>
                <c:pt idx="32">
                  <c:v>23499.305100000001</c:v>
                </c:pt>
                <c:pt idx="33">
                  <c:v>22999.301500000001</c:v>
                </c:pt>
                <c:pt idx="34">
                  <c:v>22499.273000000001</c:v>
                </c:pt>
                <c:pt idx="35">
                  <c:v>21999.297299999998</c:v>
                </c:pt>
                <c:pt idx="36">
                  <c:v>21499.303100000001</c:v>
                </c:pt>
                <c:pt idx="37">
                  <c:v>20999.312900000001</c:v>
                </c:pt>
                <c:pt idx="38">
                  <c:v>20499.296399999999</c:v>
                </c:pt>
                <c:pt idx="39">
                  <c:v>19999.302500000002</c:v>
                </c:pt>
                <c:pt idx="40">
                  <c:v>19499.2988</c:v>
                </c:pt>
                <c:pt idx="41">
                  <c:v>18999.257600000001</c:v>
                </c:pt>
                <c:pt idx="42">
                  <c:v>18499.244500000001</c:v>
                </c:pt>
                <c:pt idx="43">
                  <c:v>17999.262699999999</c:v>
                </c:pt>
                <c:pt idx="44">
                  <c:v>17499.221600000001</c:v>
                </c:pt>
                <c:pt idx="45">
                  <c:v>16999.200400000002</c:v>
                </c:pt>
                <c:pt idx="46">
                  <c:v>16499.165300000001</c:v>
                </c:pt>
                <c:pt idx="47">
                  <c:v>15999.1582</c:v>
                </c:pt>
                <c:pt idx="48">
                  <c:v>15499.155000000001</c:v>
                </c:pt>
                <c:pt idx="49">
                  <c:v>14999.158100000001</c:v>
                </c:pt>
                <c:pt idx="50">
                  <c:v>14499.142</c:v>
                </c:pt>
                <c:pt idx="51">
                  <c:v>13999.179099999999</c:v>
                </c:pt>
                <c:pt idx="52">
                  <c:v>13499.1427</c:v>
                </c:pt>
                <c:pt idx="53">
                  <c:v>12999.1358</c:v>
                </c:pt>
                <c:pt idx="54">
                  <c:v>12499.114600000001</c:v>
                </c:pt>
                <c:pt idx="55">
                  <c:v>11999.1405</c:v>
                </c:pt>
                <c:pt idx="56">
                  <c:v>11499.1219</c:v>
                </c:pt>
                <c:pt idx="57">
                  <c:v>10999.1068</c:v>
                </c:pt>
                <c:pt idx="58">
                  <c:v>10499.082700000001</c:v>
                </c:pt>
                <c:pt idx="59">
                  <c:v>9999.1389999999992</c:v>
                </c:pt>
                <c:pt idx="60">
                  <c:v>9499.1183000000001</c:v>
                </c:pt>
                <c:pt idx="61">
                  <c:v>8999.1018999999997</c:v>
                </c:pt>
                <c:pt idx="62">
                  <c:v>8499.0686999999998</c:v>
                </c:pt>
                <c:pt idx="63">
                  <c:v>7999.1522999999997</c:v>
                </c:pt>
                <c:pt idx="64">
                  <c:v>7499.1220999999996</c:v>
                </c:pt>
                <c:pt idx="65">
                  <c:v>6999.1003000000001</c:v>
                </c:pt>
                <c:pt idx="66">
                  <c:v>6499.0645000000004</c:v>
                </c:pt>
                <c:pt idx="67">
                  <c:v>5999.0823</c:v>
                </c:pt>
                <c:pt idx="68">
                  <c:v>5499.0610999999999</c:v>
                </c:pt>
                <c:pt idx="69">
                  <c:v>4999.0335999999998</c:v>
                </c:pt>
                <c:pt idx="70">
                  <c:v>4499.0034999999998</c:v>
                </c:pt>
                <c:pt idx="71">
                  <c:v>3999.0338999999999</c:v>
                </c:pt>
                <c:pt idx="72">
                  <c:v>3499.0185000000001</c:v>
                </c:pt>
                <c:pt idx="73">
                  <c:v>2999.0127000000002</c:v>
                </c:pt>
                <c:pt idx="74">
                  <c:v>2498.9994999999999</c:v>
                </c:pt>
                <c:pt idx="75">
                  <c:v>1999.0353</c:v>
                </c:pt>
                <c:pt idx="76">
                  <c:v>1499.0137</c:v>
                </c:pt>
                <c:pt idx="77">
                  <c:v>998.98119999999994</c:v>
                </c:pt>
                <c:pt idx="78">
                  <c:v>498.93209999999999</c:v>
                </c:pt>
                <c:pt idx="79">
                  <c:v>998.97130000000004</c:v>
                </c:pt>
                <c:pt idx="80">
                  <c:v>1499.0073</c:v>
                </c:pt>
                <c:pt idx="81">
                  <c:v>1999.0292999999999</c:v>
                </c:pt>
                <c:pt idx="82">
                  <c:v>2498.9956999999999</c:v>
                </c:pt>
                <c:pt idx="83">
                  <c:v>2998.9940000000001</c:v>
                </c:pt>
                <c:pt idx="84">
                  <c:v>3499.0201000000002</c:v>
                </c:pt>
                <c:pt idx="85">
                  <c:v>3999.0315000000001</c:v>
                </c:pt>
                <c:pt idx="86">
                  <c:v>4499.0005000000001</c:v>
                </c:pt>
                <c:pt idx="87">
                  <c:v>4999.0338000000002</c:v>
                </c:pt>
                <c:pt idx="88">
                  <c:v>5499.0578999999998</c:v>
                </c:pt>
                <c:pt idx="89">
                  <c:v>5999.0802999999996</c:v>
                </c:pt>
                <c:pt idx="90">
                  <c:v>6499.0537999999997</c:v>
                </c:pt>
                <c:pt idx="91">
                  <c:v>6999.0922</c:v>
                </c:pt>
                <c:pt idx="92">
                  <c:v>7499.1156000000001</c:v>
                </c:pt>
                <c:pt idx="93">
                  <c:v>7999.1310000000003</c:v>
                </c:pt>
                <c:pt idx="94">
                  <c:v>8499.0635999999995</c:v>
                </c:pt>
                <c:pt idx="95">
                  <c:v>8999.0895999999993</c:v>
                </c:pt>
                <c:pt idx="96">
                  <c:v>9499.1152000000002</c:v>
                </c:pt>
                <c:pt idx="97">
                  <c:v>9999.1339000000007</c:v>
                </c:pt>
                <c:pt idx="98">
                  <c:v>10499.083699999999</c:v>
                </c:pt>
                <c:pt idx="99">
                  <c:v>10999.105100000001</c:v>
                </c:pt>
                <c:pt idx="100">
                  <c:v>11499.1245</c:v>
                </c:pt>
                <c:pt idx="101">
                  <c:v>11999.144200000001</c:v>
                </c:pt>
                <c:pt idx="102">
                  <c:v>12499.1167</c:v>
                </c:pt>
                <c:pt idx="103">
                  <c:v>12999.123</c:v>
                </c:pt>
                <c:pt idx="104">
                  <c:v>13499.144399999999</c:v>
                </c:pt>
                <c:pt idx="105">
                  <c:v>13999.1643</c:v>
                </c:pt>
                <c:pt idx="106">
                  <c:v>14499.145200000001</c:v>
                </c:pt>
                <c:pt idx="107">
                  <c:v>14999.1474</c:v>
                </c:pt>
                <c:pt idx="108">
                  <c:v>15499.161899999999</c:v>
                </c:pt>
                <c:pt idx="109">
                  <c:v>15999.159</c:v>
                </c:pt>
                <c:pt idx="110">
                  <c:v>16499.157299999999</c:v>
                </c:pt>
                <c:pt idx="111">
                  <c:v>16999.1983</c:v>
                </c:pt>
                <c:pt idx="112">
                  <c:v>17499.224200000001</c:v>
                </c:pt>
                <c:pt idx="113">
                  <c:v>17999.2559</c:v>
                </c:pt>
                <c:pt idx="114">
                  <c:v>18499.2438</c:v>
                </c:pt>
                <c:pt idx="115">
                  <c:v>18999.252400000001</c:v>
                </c:pt>
                <c:pt idx="116">
                  <c:v>19499.283899999999</c:v>
                </c:pt>
                <c:pt idx="117">
                  <c:v>19999.299500000001</c:v>
                </c:pt>
                <c:pt idx="118">
                  <c:v>20499.290199999999</c:v>
                </c:pt>
                <c:pt idx="119">
                  <c:v>20999.300899999998</c:v>
                </c:pt>
                <c:pt idx="120">
                  <c:v>21499.297299999998</c:v>
                </c:pt>
                <c:pt idx="121">
                  <c:v>21999.286100000001</c:v>
                </c:pt>
                <c:pt idx="122">
                  <c:v>22499.257900000001</c:v>
                </c:pt>
                <c:pt idx="123">
                  <c:v>22999.292099999999</c:v>
                </c:pt>
                <c:pt idx="124">
                  <c:v>23499.295999999998</c:v>
                </c:pt>
                <c:pt idx="125">
                  <c:v>23999.317999999999</c:v>
                </c:pt>
                <c:pt idx="126">
                  <c:v>24499.365600000001</c:v>
                </c:pt>
                <c:pt idx="127">
                  <c:v>24999.402300000002</c:v>
                </c:pt>
                <c:pt idx="128">
                  <c:v>25499.400699999998</c:v>
                </c:pt>
                <c:pt idx="129">
                  <c:v>25999.432400000002</c:v>
                </c:pt>
                <c:pt idx="130">
                  <c:v>26499.417799999999</c:v>
                </c:pt>
                <c:pt idx="131">
                  <c:v>26999.469799999999</c:v>
                </c:pt>
                <c:pt idx="132">
                  <c:v>27499.463800000001</c:v>
                </c:pt>
                <c:pt idx="133">
                  <c:v>27999.488700000002</c:v>
                </c:pt>
                <c:pt idx="134">
                  <c:v>28499.4892</c:v>
                </c:pt>
                <c:pt idx="135">
                  <c:v>28999.502400000001</c:v>
                </c:pt>
                <c:pt idx="136">
                  <c:v>29499.420999999998</c:v>
                </c:pt>
                <c:pt idx="137">
                  <c:v>29999.424500000001</c:v>
                </c:pt>
                <c:pt idx="138">
                  <c:v>30499.433000000001</c:v>
                </c:pt>
                <c:pt idx="139">
                  <c:v>30999.434300000001</c:v>
                </c:pt>
                <c:pt idx="140">
                  <c:v>31499.434799999999</c:v>
                </c:pt>
                <c:pt idx="141">
                  <c:v>31999.477699999999</c:v>
                </c:pt>
                <c:pt idx="142">
                  <c:v>32499.5033</c:v>
                </c:pt>
                <c:pt idx="143">
                  <c:v>32999.5334</c:v>
                </c:pt>
                <c:pt idx="144">
                  <c:v>33499.476999999999</c:v>
                </c:pt>
                <c:pt idx="145">
                  <c:v>33999.464999999997</c:v>
                </c:pt>
                <c:pt idx="146">
                  <c:v>34499.487500000003</c:v>
                </c:pt>
                <c:pt idx="147">
                  <c:v>34999.514799999997</c:v>
                </c:pt>
                <c:pt idx="148">
                  <c:v>35499.515800000001</c:v>
                </c:pt>
                <c:pt idx="149">
                  <c:v>35999.4997</c:v>
                </c:pt>
                <c:pt idx="150">
                  <c:v>36499.489600000001</c:v>
                </c:pt>
                <c:pt idx="151">
                  <c:v>36999.487999999998</c:v>
                </c:pt>
                <c:pt idx="152">
                  <c:v>37499.460299999999</c:v>
                </c:pt>
                <c:pt idx="153">
                  <c:v>37999.513400000003</c:v>
                </c:pt>
                <c:pt idx="154">
                  <c:v>38499.546699999999</c:v>
                </c:pt>
                <c:pt idx="155">
                  <c:v>38999.590600000003</c:v>
                </c:pt>
                <c:pt idx="156">
                  <c:v>39499.584999999999</c:v>
                </c:pt>
                <c:pt idx="157">
                  <c:v>39499.557999999997</c:v>
                </c:pt>
                <c:pt idx="158">
                  <c:v>38999.606399999997</c:v>
                </c:pt>
                <c:pt idx="159">
                  <c:v>38499.605199999998</c:v>
                </c:pt>
                <c:pt idx="160">
                  <c:v>37999.572</c:v>
                </c:pt>
                <c:pt idx="161">
                  <c:v>37499.546600000001</c:v>
                </c:pt>
                <c:pt idx="162">
                  <c:v>36999.601499999997</c:v>
                </c:pt>
                <c:pt idx="163">
                  <c:v>36499.571100000001</c:v>
                </c:pt>
                <c:pt idx="164">
                  <c:v>35999.563000000002</c:v>
                </c:pt>
                <c:pt idx="165">
                  <c:v>35499.5556</c:v>
                </c:pt>
                <c:pt idx="166">
                  <c:v>34999.567000000003</c:v>
                </c:pt>
                <c:pt idx="167">
                  <c:v>34499.5602</c:v>
                </c:pt>
                <c:pt idx="168">
                  <c:v>33999.545400000003</c:v>
                </c:pt>
                <c:pt idx="169">
                  <c:v>33499.555399999997</c:v>
                </c:pt>
                <c:pt idx="170">
                  <c:v>32999.629999999997</c:v>
                </c:pt>
                <c:pt idx="171">
                  <c:v>32499.622800000001</c:v>
                </c:pt>
                <c:pt idx="172">
                  <c:v>31999.589599999999</c:v>
                </c:pt>
                <c:pt idx="173">
                  <c:v>31499.569599999999</c:v>
                </c:pt>
                <c:pt idx="174">
                  <c:v>30999.592400000001</c:v>
                </c:pt>
                <c:pt idx="175">
                  <c:v>30499.5867</c:v>
                </c:pt>
                <c:pt idx="176">
                  <c:v>29999.5628</c:v>
                </c:pt>
                <c:pt idx="177">
                  <c:v>0</c:v>
                </c:pt>
                <c:pt idx="178">
                  <c:v>28999.715899999999</c:v>
                </c:pt>
                <c:pt idx="179">
                  <c:v>28499.691200000001</c:v>
                </c:pt>
                <c:pt idx="180">
                  <c:v>27999.699700000001</c:v>
                </c:pt>
                <c:pt idx="181">
                  <c:v>27499.6963</c:v>
                </c:pt>
                <c:pt idx="182">
                  <c:v>26999.699400000001</c:v>
                </c:pt>
                <c:pt idx="183">
                  <c:v>26499.6927</c:v>
                </c:pt>
                <c:pt idx="184">
                  <c:v>25999.6895</c:v>
                </c:pt>
                <c:pt idx="185">
                  <c:v>25499.686699999998</c:v>
                </c:pt>
                <c:pt idx="186">
                  <c:v>24999.696</c:v>
                </c:pt>
                <c:pt idx="187">
                  <c:v>24499.6554</c:v>
                </c:pt>
                <c:pt idx="188">
                  <c:v>23999.6096</c:v>
                </c:pt>
                <c:pt idx="189">
                  <c:v>23499.586200000002</c:v>
                </c:pt>
                <c:pt idx="190">
                  <c:v>22999.5795</c:v>
                </c:pt>
                <c:pt idx="191">
                  <c:v>22499.552199999998</c:v>
                </c:pt>
                <c:pt idx="192">
                  <c:v>21999.607100000001</c:v>
                </c:pt>
                <c:pt idx="193">
                  <c:v>21499.605599999999</c:v>
                </c:pt>
                <c:pt idx="194">
                  <c:v>20999.593000000001</c:v>
                </c:pt>
                <c:pt idx="195">
                  <c:v>20499.583200000001</c:v>
                </c:pt>
                <c:pt idx="196">
                  <c:v>19999.598699999999</c:v>
                </c:pt>
                <c:pt idx="197">
                  <c:v>19499.600900000001</c:v>
                </c:pt>
                <c:pt idx="198">
                  <c:v>18999.5834</c:v>
                </c:pt>
                <c:pt idx="199">
                  <c:v>18499.568200000002</c:v>
                </c:pt>
                <c:pt idx="200">
                  <c:v>17999.633900000001</c:v>
                </c:pt>
                <c:pt idx="201">
                  <c:v>17499.608</c:v>
                </c:pt>
                <c:pt idx="202">
                  <c:v>16999.583200000001</c:v>
                </c:pt>
                <c:pt idx="203">
                  <c:v>16499.555</c:v>
                </c:pt>
                <c:pt idx="204">
                  <c:v>15999.5551</c:v>
                </c:pt>
                <c:pt idx="205">
                  <c:v>15499.5641</c:v>
                </c:pt>
                <c:pt idx="206">
                  <c:v>14999.561799999999</c:v>
                </c:pt>
                <c:pt idx="207">
                  <c:v>14499.564399999999</c:v>
                </c:pt>
                <c:pt idx="208">
                  <c:v>13999.604499999999</c:v>
                </c:pt>
                <c:pt idx="209">
                  <c:v>13499.5838</c:v>
                </c:pt>
                <c:pt idx="210">
                  <c:v>12999.592500000001</c:v>
                </c:pt>
                <c:pt idx="211">
                  <c:v>12499.581899999999</c:v>
                </c:pt>
                <c:pt idx="212">
                  <c:v>11999.621800000001</c:v>
                </c:pt>
                <c:pt idx="213">
                  <c:v>11499.6067</c:v>
                </c:pt>
                <c:pt idx="214">
                  <c:v>10999.5946</c:v>
                </c:pt>
                <c:pt idx="215">
                  <c:v>10499.580599999999</c:v>
                </c:pt>
                <c:pt idx="216">
                  <c:v>9999.6134000000002</c:v>
                </c:pt>
                <c:pt idx="217">
                  <c:v>9499.5918999999994</c:v>
                </c:pt>
                <c:pt idx="218">
                  <c:v>8999.5735000000004</c:v>
                </c:pt>
                <c:pt idx="219">
                  <c:v>8499.5391</c:v>
                </c:pt>
                <c:pt idx="220">
                  <c:v>7999.6412</c:v>
                </c:pt>
                <c:pt idx="221">
                  <c:v>7499.6220000000003</c:v>
                </c:pt>
                <c:pt idx="222">
                  <c:v>6999.6112999999996</c:v>
                </c:pt>
                <c:pt idx="223">
                  <c:v>6499.5802999999996</c:v>
                </c:pt>
                <c:pt idx="224">
                  <c:v>5999.5936000000002</c:v>
                </c:pt>
                <c:pt idx="225">
                  <c:v>5499.5810000000001</c:v>
                </c:pt>
                <c:pt idx="226">
                  <c:v>4999.5664999999999</c:v>
                </c:pt>
                <c:pt idx="227">
                  <c:v>4499.5367999999999</c:v>
                </c:pt>
                <c:pt idx="228">
                  <c:v>3999.56</c:v>
                </c:pt>
                <c:pt idx="229">
                  <c:v>3499.5453000000002</c:v>
                </c:pt>
                <c:pt idx="230">
                  <c:v>2999.5113999999999</c:v>
                </c:pt>
                <c:pt idx="231">
                  <c:v>2499.5185999999999</c:v>
                </c:pt>
                <c:pt idx="232">
                  <c:v>1999.5488</c:v>
                </c:pt>
                <c:pt idx="233">
                  <c:v>1499.5333000000001</c:v>
                </c:pt>
                <c:pt idx="234">
                  <c:v>999.50959999999998</c:v>
                </c:pt>
                <c:pt idx="235">
                  <c:v>499.47820000000002</c:v>
                </c:pt>
                <c:pt idx="236">
                  <c:v>499.4914</c:v>
                </c:pt>
                <c:pt idx="237">
                  <c:v>999.54750000000001</c:v>
                </c:pt>
                <c:pt idx="238">
                  <c:v>1499.5826</c:v>
                </c:pt>
                <c:pt idx="239">
                  <c:v>1999.5889999999999</c:v>
                </c:pt>
                <c:pt idx="240">
                  <c:v>2499.5571</c:v>
                </c:pt>
                <c:pt idx="241">
                  <c:v>2999.5427</c:v>
                </c:pt>
                <c:pt idx="242">
                  <c:v>3499.5657999999999</c:v>
                </c:pt>
                <c:pt idx="243">
                  <c:v>3999.5671000000002</c:v>
                </c:pt>
                <c:pt idx="244">
                  <c:v>4499.5424999999996</c:v>
                </c:pt>
                <c:pt idx="245">
                  <c:v>4999.5871999999999</c:v>
                </c:pt>
                <c:pt idx="246">
                  <c:v>5499.6010999999999</c:v>
                </c:pt>
                <c:pt idx="247">
                  <c:v>5999.6257999999998</c:v>
                </c:pt>
                <c:pt idx="248">
                  <c:v>6499.6264000000001</c:v>
                </c:pt>
                <c:pt idx="249">
                  <c:v>6999.6607999999997</c:v>
                </c:pt>
                <c:pt idx="250">
                  <c:v>7499.6817000000001</c:v>
                </c:pt>
                <c:pt idx="251">
                  <c:v>7999.6980999999996</c:v>
                </c:pt>
                <c:pt idx="252">
                  <c:v>8499.5848999999998</c:v>
                </c:pt>
                <c:pt idx="253">
                  <c:v>8999.6203000000005</c:v>
                </c:pt>
                <c:pt idx="254">
                  <c:v>9499.6308000000008</c:v>
                </c:pt>
                <c:pt idx="255">
                  <c:v>9999.6509000000005</c:v>
                </c:pt>
                <c:pt idx="256">
                  <c:v>10499.605799999999</c:v>
                </c:pt>
                <c:pt idx="257">
                  <c:v>10999.618700000001</c:v>
                </c:pt>
                <c:pt idx="258">
                  <c:v>11499.635399999999</c:v>
                </c:pt>
                <c:pt idx="259">
                  <c:v>11999.6659</c:v>
                </c:pt>
                <c:pt idx="260">
                  <c:v>12499.620199999999</c:v>
                </c:pt>
                <c:pt idx="261">
                  <c:v>12999.6374</c:v>
                </c:pt>
                <c:pt idx="262">
                  <c:v>13499.6423</c:v>
                </c:pt>
                <c:pt idx="263">
                  <c:v>13999.669099999999</c:v>
                </c:pt>
                <c:pt idx="264">
                  <c:v>14499.6216</c:v>
                </c:pt>
                <c:pt idx="265">
                  <c:v>14999.6235</c:v>
                </c:pt>
                <c:pt idx="266">
                  <c:v>15499.628000000001</c:v>
                </c:pt>
                <c:pt idx="267">
                  <c:v>15999.617200000001</c:v>
                </c:pt>
                <c:pt idx="268">
                  <c:v>16499.609400000001</c:v>
                </c:pt>
                <c:pt idx="269">
                  <c:v>16999.626199999999</c:v>
                </c:pt>
                <c:pt idx="270">
                  <c:v>17499.647000000001</c:v>
                </c:pt>
                <c:pt idx="271">
                  <c:v>17999.6643</c:v>
                </c:pt>
                <c:pt idx="272">
                  <c:v>18499.611799999999</c:v>
                </c:pt>
                <c:pt idx="273">
                  <c:v>18999.634699999999</c:v>
                </c:pt>
                <c:pt idx="274">
                  <c:v>19499.655599999998</c:v>
                </c:pt>
                <c:pt idx="275">
                  <c:v>19999.652600000001</c:v>
                </c:pt>
                <c:pt idx="276">
                  <c:v>20499.634099999999</c:v>
                </c:pt>
                <c:pt idx="277">
                  <c:v>20999.6263</c:v>
                </c:pt>
                <c:pt idx="278">
                  <c:v>21499.6348</c:v>
                </c:pt>
                <c:pt idx="279">
                  <c:v>21999.645700000001</c:v>
                </c:pt>
                <c:pt idx="280">
                  <c:v>22499.615099999999</c:v>
                </c:pt>
                <c:pt idx="281">
                  <c:v>22999.633600000001</c:v>
                </c:pt>
                <c:pt idx="282">
                  <c:v>23499.640599999999</c:v>
                </c:pt>
                <c:pt idx="283">
                  <c:v>23999.675500000001</c:v>
                </c:pt>
                <c:pt idx="284">
                  <c:v>24499.723300000001</c:v>
                </c:pt>
                <c:pt idx="285">
                  <c:v>24999.782599999999</c:v>
                </c:pt>
                <c:pt idx="286">
                  <c:v>25499.7592</c:v>
                </c:pt>
                <c:pt idx="287">
                  <c:v>25999.739799999999</c:v>
                </c:pt>
                <c:pt idx="288">
                  <c:v>26499.732400000001</c:v>
                </c:pt>
                <c:pt idx="289">
                  <c:v>26999.740900000001</c:v>
                </c:pt>
                <c:pt idx="290">
                  <c:v>27499.743699999999</c:v>
                </c:pt>
                <c:pt idx="291">
                  <c:v>27999.748</c:v>
                </c:pt>
                <c:pt idx="292">
                  <c:v>28499.7107</c:v>
                </c:pt>
                <c:pt idx="293">
                  <c:v>28999.745699999999</c:v>
                </c:pt>
                <c:pt idx="294">
                  <c:v>29499.612300000001</c:v>
                </c:pt>
                <c:pt idx="295">
                  <c:v>29999.607499999998</c:v>
                </c:pt>
                <c:pt idx="296">
                  <c:v>30499.620699999999</c:v>
                </c:pt>
                <c:pt idx="297">
                  <c:v>30999.584900000002</c:v>
                </c:pt>
                <c:pt idx="298">
                  <c:v>31499.595700000002</c:v>
                </c:pt>
                <c:pt idx="299">
                  <c:v>31999.637200000001</c:v>
                </c:pt>
                <c:pt idx="300">
                  <c:v>32499.675299999999</c:v>
                </c:pt>
                <c:pt idx="301">
                  <c:v>32999.701999999997</c:v>
                </c:pt>
                <c:pt idx="302">
                  <c:v>33499.609499999999</c:v>
                </c:pt>
                <c:pt idx="303">
                  <c:v>33999.620900000002</c:v>
                </c:pt>
                <c:pt idx="304">
                  <c:v>34499.621099999997</c:v>
                </c:pt>
                <c:pt idx="305">
                  <c:v>34999.620699999999</c:v>
                </c:pt>
                <c:pt idx="306">
                  <c:v>35499.6302</c:v>
                </c:pt>
                <c:pt idx="307">
                  <c:v>35999.625800000002</c:v>
                </c:pt>
                <c:pt idx="308">
                  <c:v>36499.642399999997</c:v>
                </c:pt>
                <c:pt idx="309">
                  <c:v>36999.6204</c:v>
                </c:pt>
                <c:pt idx="310">
                  <c:v>37499.606399999997</c:v>
                </c:pt>
                <c:pt idx="311">
                  <c:v>37999.653400000003</c:v>
                </c:pt>
                <c:pt idx="312">
                  <c:v>37999.639000000003</c:v>
                </c:pt>
                <c:pt idx="313">
                  <c:v>37499.642500000002</c:v>
                </c:pt>
                <c:pt idx="314">
                  <c:v>36999.664100000002</c:v>
                </c:pt>
                <c:pt idx="315">
                  <c:v>36499.652000000002</c:v>
                </c:pt>
                <c:pt idx="316">
                  <c:v>35999.631500000003</c:v>
                </c:pt>
                <c:pt idx="317">
                  <c:v>35499.637699999999</c:v>
                </c:pt>
                <c:pt idx="318">
                  <c:v>34999.6414</c:v>
                </c:pt>
                <c:pt idx="319">
                  <c:v>34499.599600000001</c:v>
                </c:pt>
                <c:pt idx="320">
                  <c:v>33999.592100000002</c:v>
                </c:pt>
                <c:pt idx="321">
                  <c:v>33499.585599999999</c:v>
                </c:pt>
                <c:pt idx="322">
                  <c:v>32999.673000000003</c:v>
                </c:pt>
                <c:pt idx="323">
                  <c:v>32499.6338</c:v>
                </c:pt>
                <c:pt idx="324">
                  <c:v>31999.591</c:v>
                </c:pt>
                <c:pt idx="325">
                  <c:v>31499.522199999999</c:v>
                </c:pt>
                <c:pt idx="326">
                  <c:v>30999.5232</c:v>
                </c:pt>
                <c:pt idx="327">
                  <c:v>30499.547699999999</c:v>
                </c:pt>
                <c:pt idx="328">
                  <c:v>29999.5586</c:v>
                </c:pt>
                <c:pt idx="329">
                  <c:v>29499.557100000002</c:v>
                </c:pt>
                <c:pt idx="330">
                  <c:v>28999.630099999998</c:v>
                </c:pt>
                <c:pt idx="331">
                  <c:v>28499.6152</c:v>
                </c:pt>
                <c:pt idx="332">
                  <c:v>27999.608800000002</c:v>
                </c:pt>
                <c:pt idx="333">
                  <c:v>27499.573100000001</c:v>
                </c:pt>
                <c:pt idx="334">
                  <c:v>26999.574199999999</c:v>
                </c:pt>
                <c:pt idx="335">
                  <c:v>26499.516500000002</c:v>
                </c:pt>
                <c:pt idx="336">
                  <c:v>25999.534500000002</c:v>
                </c:pt>
                <c:pt idx="337">
                  <c:v>25499.515200000002</c:v>
                </c:pt>
                <c:pt idx="338">
                  <c:v>24999.519799999998</c:v>
                </c:pt>
                <c:pt idx="339">
                  <c:v>24499.481400000001</c:v>
                </c:pt>
                <c:pt idx="340">
                  <c:v>23999.420300000002</c:v>
                </c:pt>
                <c:pt idx="341">
                  <c:v>23499.3825</c:v>
                </c:pt>
                <c:pt idx="342">
                  <c:v>22999.393599999999</c:v>
                </c:pt>
                <c:pt idx="343">
                  <c:v>22499.361199999999</c:v>
                </c:pt>
                <c:pt idx="344">
                  <c:v>21999.3822</c:v>
                </c:pt>
                <c:pt idx="345">
                  <c:v>21499.388200000001</c:v>
                </c:pt>
                <c:pt idx="346">
                  <c:v>20999.397499999999</c:v>
                </c:pt>
                <c:pt idx="347">
                  <c:v>20499.396400000001</c:v>
                </c:pt>
                <c:pt idx="348">
                  <c:v>19999.412199999999</c:v>
                </c:pt>
                <c:pt idx="349">
                  <c:v>19499.397499999999</c:v>
                </c:pt>
                <c:pt idx="350">
                  <c:v>18999.3662</c:v>
                </c:pt>
                <c:pt idx="351">
                  <c:v>18499.344799999999</c:v>
                </c:pt>
                <c:pt idx="352">
                  <c:v>17999.354899999998</c:v>
                </c:pt>
                <c:pt idx="353">
                  <c:v>17499.315999999999</c:v>
                </c:pt>
                <c:pt idx="354">
                  <c:v>16999.294600000001</c:v>
                </c:pt>
                <c:pt idx="355">
                  <c:v>16499.261900000001</c:v>
                </c:pt>
                <c:pt idx="356">
                  <c:v>15999.257</c:v>
                </c:pt>
                <c:pt idx="357">
                  <c:v>15499.259700000001</c:v>
                </c:pt>
                <c:pt idx="358">
                  <c:v>14999.237499999999</c:v>
                </c:pt>
                <c:pt idx="359">
                  <c:v>14499.240900000001</c:v>
                </c:pt>
                <c:pt idx="360">
                  <c:v>13999.2667</c:v>
                </c:pt>
                <c:pt idx="361">
                  <c:v>13499.2297</c:v>
                </c:pt>
                <c:pt idx="362">
                  <c:v>12999.2138</c:v>
                </c:pt>
                <c:pt idx="363">
                  <c:v>12499.1867</c:v>
                </c:pt>
                <c:pt idx="364">
                  <c:v>11999.2147</c:v>
                </c:pt>
                <c:pt idx="365">
                  <c:v>11499.181500000001</c:v>
                </c:pt>
                <c:pt idx="366">
                  <c:v>10999.163</c:v>
                </c:pt>
                <c:pt idx="367">
                  <c:v>10499.152700000001</c:v>
                </c:pt>
                <c:pt idx="368">
                  <c:v>9999.2073</c:v>
                </c:pt>
                <c:pt idx="369">
                  <c:v>9499.1936000000005</c:v>
                </c:pt>
                <c:pt idx="370">
                  <c:v>8999.1772000000001</c:v>
                </c:pt>
                <c:pt idx="371">
                  <c:v>8499.1538999999993</c:v>
                </c:pt>
                <c:pt idx="372">
                  <c:v>7999.2417999999998</c:v>
                </c:pt>
                <c:pt idx="373">
                  <c:v>7499.2174000000005</c:v>
                </c:pt>
                <c:pt idx="374">
                  <c:v>6999.1926999999996</c:v>
                </c:pt>
                <c:pt idx="375">
                  <c:v>6499.1485000000002</c:v>
                </c:pt>
                <c:pt idx="376">
                  <c:v>5999.1576999999997</c:v>
                </c:pt>
                <c:pt idx="377">
                  <c:v>5499.1306000000004</c:v>
                </c:pt>
                <c:pt idx="378">
                  <c:v>4999.1139999999996</c:v>
                </c:pt>
                <c:pt idx="379">
                  <c:v>4499.0663999999997</c:v>
                </c:pt>
                <c:pt idx="380">
                  <c:v>3999.1052</c:v>
                </c:pt>
                <c:pt idx="381">
                  <c:v>3499.1073999999999</c:v>
                </c:pt>
                <c:pt idx="382">
                  <c:v>2999.0844000000002</c:v>
                </c:pt>
                <c:pt idx="383">
                  <c:v>2499.0947000000001</c:v>
                </c:pt>
                <c:pt idx="384">
                  <c:v>1999.1382000000001</c:v>
                </c:pt>
                <c:pt idx="385">
                  <c:v>1499.1111000000001</c:v>
                </c:pt>
                <c:pt idx="386">
                  <c:v>999.08</c:v>
                </c:pt>
                <c:pt idx="387">
                  <c:v>499.03030000000001</c:v>
                </c:pt>
              </c:numCache>
            </c:numRef>
          </c:xVal>
          <c:yVal>
            <c:numRef>
              <c:f>DataPaste!$R$3:$R$390</c:f>
              <c:numCache>
                <c:formatCode>General</c:formatCode>
                <c:ptCount val="388"/>
                <c:pt idx="0">
                  <c:v>-2.2899999748915434E-4</c:v>
                </c:pt>
                <c:pt idx="1">
                  <c:v>1.7210000005434267E-3</c:v>
                </c:pt>
                <c:pt idx="2">
                  <c:v>8.9399999706074595E-4</c:v>
                </c:pt>
                <c:pt idx="3">
                  <c:v>-5.9000000328524038E-4</c:v>
                </c:pt>
                <c:pt idx="4">
                  <c:v>6.5299999550916255E-4</c:v>
                </c:pt>
                <c:pt idx="5">
                  <c:v>1.428999996278435E-3</c:v>
                </c:pt>
                <c:pt idx="6">
                  <c:v>1.9269999975222163E-3</c:v>
                </c:pt>
                <c:pt idx="7">
                  <c:v>3.8869999989401549E-3</c:v>
                </c:pt>
                <c:pt idx="8">
                  <c:v>1.3919999983045273E-3</c:v>
                </c:pt>
                <c:pt idx="9">
                  <c:v>2.5180000011459924E-3</c:v>
                </c:pt>
                <c:pt idx="10">
                  <c:v>1.9979999997303821E-3</c:v>
                </c:pt>
                <c:pt idx="11">
                  <c:v>6.8399999872781336E-4</c:v>
                </c:pt>
                <c:pt idx="12">
                  <c:v>1.6400000458816066E-4</c:v>
                </c:pt>
                <c:pt idx="13">
                  <c:v>6.1899999855086207E-4</c:v>
                </c:pt>
                <c:pt idx="14">
                  <c:v>3.7599999996018596E-4</c:v>
                </c:pt>
                <c:pt idx="15">
                  <c:v>-3.1099999978323467E-4</c:v>
                </c:pt>
                <c:pt idx="16">
                  <c:v>-6.4399999973829836E-4</c:v>
                </c:pt>
                <c:pt idx="17">
                  <c:v>-3.7099999826750718E-4</c:v>
                </c:pt>
                <c:pt idx="18">
                  <c:v>7.9999990703072399E-6</c:v>
                </c:pt>
                <c:pt idx="19">
                  <c:v>-7.5300000025890768E-4</c:v>
                </c:pt>
                <c:pt idx="20">
                  <c:v>-1.2529999985417817E-3</c:v>
                </c:pt>
                <c:pt idx="21">
                  <c:v>-2.8280000005906913E-3</c:v>
                </c:pt>
                <c:pt idx="22">
                  <c:v>-1.4990000017860439E-3</c:v>
                </c:pt>
                <c:pt idx="23">
                  <c:v>-3.7910000028205104E-3</c:v>
                </c:pt>
                <c:pt idx="24">
                  <c:v>-4.3839999998454005E-3</c:v>
                </c:pt>
                <c:pt idx="25">
                  <c:v>-6.2359999974432867E-3</c:v>
                </c:pt>
                <c:pt idx="26">
                  <c:v>-4.9529999996593688E-3</c:v>
                </c:pt>
                <c:pt idx="27">
                  <c:v>-8.3260000028531067E-3</c:v>
                </c:pt>
                <c:pt idx="28">
                  <c:v>-8.0300000008719508E-3</c:v>
                </c:pt>
                <c:pt idx="29">
                  <c:v>-1.1002999999618623E-2</c:v>
                </c:pt>
                <c:pt idx="30">
                  <c:v>-1.0978000002069166E-2</c:v>
                </c:pt>
                <c:pt idx="31">
                  <c:v>-8.2149999980174471E-3</c:v>
                </c:pt>
                <c:pt idx="32">
                  <c:v>-1.0379999999713618E-2</c:v>
                </c:pt>
                <c:pt idx="33">
                  <c:v>-1.181900000301539E-2</c:v>
                </c:pt>
                <c:pt idx="34">
                  <c:v>-1.2536000002000947E-2</c:v>
                </c:pt>
                <c:pt idx="35">
                  <c:v>-1.2389999999868451E-2</c:v>
                </c:pt>
                <c:pt idx="36">
                  <c:v>-1.3226000002759974E-2</c:v>
                </c:pt>
                <c:pt idx="37">
                  <c:v>-1.4844000001176028E-2</c:v>
                </c:pt>
                <c:pt idx="38">
                  <c:v>-1.8143999997846549E-2</c:v>
                </c:pt>
                <c:pt idx="39">
                  <c:v>-1.3555000001360895E-2</c:v>
                </c:pt>
                <c:pt idx="40">
                  <c:v>-1.7406999999366235E-2</c:v>
                </c:pt>
                <c:pt idx="41">
                  <c:v>-1.3655000002472661E-2</c:v>
                </c:pt>
                <c:pt idx="42">
                  <c:v>-1.1039000000891974E-2</c:v>
                </c:pt>
                <c:pt idx="43">
                  <c:v>-3.643000000010943E-3</c:v>
                </c:pt>
                <c:pt idx="44">
                  <c:v>-6.4920000004349276E-3</c:v>
                </c:pt>
                <c:pt idx="45">
                  <c:v>-8.4230000029492658E-3</c:v>
                </c:pt>
                <c:pt idx="46">
                  <c:v>-7.3540000012144446E-3</c:v>
                </c:pt>
                <c:pt idx="47">
                  <c:v>-3.2449999998789281E-3</c:v>
                </c:pt>
                <c:pt idx="48">
                  <c:v>-6.4419999998790445E-3</c:v>
                </c:pt>
                <c:pt idx="49">
                  <c:v>-2.0769000000655069E-2</c:v>
                </c:pt>
                <c:pt idx="50">
                  <c:v>-1.6068999999333755E-2</c:v>
                </c:pt>
                <c:pt idx="51">
                  <c:v>-3.146299999934854E-2</c:v>
                </c:pt>
                <c:pt idx="52">
                  <c:v>-1.8054000000120141E-2</c:v>
                </c:pt>
                <c:pt idx="53">
                  <c:v>-1.8710000000282889E-2</c:v>
                </c:pt>
                <c:pt idx="54">
                  <c:v>-2.0334000000730157E-2</c:v>
                </c:pt>
                <c:pt idx="55">
                  <c:v>-9.2719999993278179E-3</c:v>
                </c:pt>
                <c:pt idx="56">
                  <c:v>-1.4080999999350752E-2</c:v>
                </c:pt>
                <c:pt idx="57">
                  <c:v>-1.5593000000080792E-2</c:v>
                </c:pt>
                <c:pt idx="58">
                  <c:v>-7.6250000001891749E-3</c:v>
                </c:pt>
                <c:pt idx="59">
                  <c:v>2.7070000014646212E-3</c:v>
                </c:pt>
                <c:pt idx="60">
                  <c:v>6.2600000001111766E-3</c:v>
                </c:pt>
                <c:pt idx="61">
                  <c:v>6.1450000011973316E-3</c:v>
                </c:pt>
                <c:pt idx="62">
                  <c:v>3.1860000000961008E-2</c:v>
                </c:pt>
                <c:pt idx="63">
                  <c:v>2.3036000000502099E-2</c:v>
                </c:pt>
                <c:pt idx="64">
                  <c:v>3.858100000070408E-2</c:v>
                </c:pt>
                <c:pt idx="65">
                  <c:v>4.2540000000371947E-2</c:v>
                </c:pt>
                <c:pt idx="66">
                  <c:v>4.459099999985483E-2</c:v>
                </c:pt>
                <c:pt idx="67">
                  <c:v>4.0049000000180968E-2</c:v>
                </c:pt>
                <c:pt idx="68">
                  <c:v>5.3269000000000233E-2</c:v>
                </c:pt>
                <c:pt idx="69">
                  <c:v>5.4211000000577769E-2</c:v>
                </c:pt>
                <c:pt idx="70">
                  <c:v>4.4913000000633474E-2</c:v>
                </c:pt>
                <c:pt idx="71">
                  <c:v>5.4234000000178639E-2</c:v>
                </c:pt>
                <c:pt idx="72">
                  <c:v>5.0890999999865016E-2</c:v>
                </c:pt>
                <c:pt idx="73">
                  <c:v>4.360499999984313E-2</c:v>
                </c:pt>
                <c:pt idx="74">
                  <c:v>5.2584999999908177E-2</c:v>
                </c:pt>
                <c:pt idx="75">
                  <c:v>3.4855000000106884E-2</c:v>
                </c:pt>
                <c:pt idx="76">
                  <c:v>3.3773999999993976E-2</c:v>
                </c:pt>
                <c:pt idx="77">
                  <c:v>3.2303000000069915E-2</c:v>
                </c:pt>
                <c:pt idx="78">
                  <c:v>3.6431999999990694E-2</c:v>
                </c:pt>
                <c:pt idx="79">
                  <c:v>3.4211999999911313E-2</c:v>
                </c:pt>
                <c:pt idx="80">
                  <c:v>3.4151000000065324E-2</c:v>
                </c:pt>
                <c:pt idx="81">
                  <c:v>3.2388000000082684E-2</c:v>
                </c:pt>
                <c:pt idx="82">
                  <c:v>3.5073999999895022E-2</c:v>
                </c:pt>
                <c:pt idx="83">
                  <c:v>5.8170999999674677E-2</c:v>
                </c:pt>
                <c:pt idx="84">
                  <c:v>5.1447999999709282E-2</c:v>
                </c:pt>
                <c:pt idx="85">
                  <c:v>3.9776999999958207E-2</c:v>
                </c:pt>
                <c:pt idx="86">
                  <c:v>4.3483999999807565E-2</c:v>
                </c:pt>
                <c:pt idx="87">
                  <c:v>4.0536999999858381E-2</c:v>
                </c:pt>
                <c:pt idx="88">
                  <c:v>4.0490000000318105E-2</c:v>
                </c:pt>
                <c:pt idx="89">
                  <c:v>3.1371000000035565E-2</c:v>
                </c:pt>
                <c:pt idx="90">
                  <c:v>3.6356000000523636E-2</c:v>
                </c:pt>
                <c:pt idx="91">
                  <c:v>4.0640000000166765E-2</c:v>
                </c:pt>
                <c:pt idx="92">
                  <c:v>2.9453000000103202E-2</c:v>
                </c:pt>
                <c:pt idx="93">
                  <c:v>2.278799999930925E-2</c:v>
                </c:pt>
                <c:pt idx="94">
                  <c:v>2.1547000000282424E-2</c:v>
                </c:pt>
                <c:pt idx="95">
                  <c:v>3.5800000005110633E-3</c:v>
                </c:pt>
                <c:pt idx="96">
                  <c:v>-1.2356000001091161E-2</c:v>
                </c:pt>
                <c:pt idx="97">
                  <c:v>-2.1098000001074979E-2</c:v>
                </c:pt>
                <c:pt idx="98">
                  <c:v>-3.0249999999796273E-2</c:v>
                </c:pt>
                <c:pt idx="99">
                  <c:v>-4.1967000001022825E-2</c:v>
                </c:pt>
                <c:pt idx="100">
                  <c:v>-4.4083000000682659E-2</c:v>
                </c:pt>
                <c:pt idx="101">
                  <c:v>-3.8905000001250301E-2</c:v>
                </c:pt>
                <c:pt idx="102">
                  <c:v>-3.8865000000441796E-2</c:v>
                </c:pt>
                <c:pt idx="103">
                  <c:v>-2.9243999999380321E-2</c:v>
                </c:pt>
                <c:pt idx="104">
                  <c:v>-4.0871999999581021E-2</c:v>
                </c:pt>
                <c:pt idx="105">
                  <c:v>-3.7395000001197332E-2</c:v>
                </c:pt>
                <c:pt idx="106">
                  <c:v>-3.6928000001353212E-2</c:v>
                </c:pt>
                <c:pt idx="107">
                  <c:v>-2.5165999999444466E-2</c:v>
                </c:pt>
                <c:pt idx="108">
                  <c:v>-2.8988999998546205E-2</c:v>
                </c:pt>
                <c:pt idx="109">
                  <c:v>-2.4176999999326654E-2</c:v>
                </c:pt>
                <c:pt idx="110">
                  <c:v>-1.3590999998996267E-2</c:v>
                </c:pt>
                <c:pt idx="111">
                  <c:v>-1.9594000001234235E-2</c:v>
                </c:pt>
                <c:pt idx="112">
                  <c:v>-1.4552000000549015E-2</c:v>
                </c:pt>
                <c:pt idx="113">
                  <c:v>-7.4600000007194467E-3</c:v>
                </c:pt>
                <c:pt idx="114">
                  <c:v>-1.4413000000786269E-2</c:v>
                </c:pt>
                <c:pt idx="115">
                  <c:v>-1.5927000000374392E-2</c:v>
                </c:pt>
                <c:pt idx="116">
                  <c:v>-1.301199999943492E-2</c:v>
                </c:pt>
                <c:pt idx="117">
                  <c:v>-1.5650000001187436E-2</c:v>
                </c:pt>
                <c:pt idx="118">
                  <c:v>-1.8014000001130626E-2</c:v>
                </c:pt>
                <c:pt idx="119">
                  <c:v>-1.2405999998009065E-2</c:v>
                </c:pt>
                <c:pt idx="120">
                  <c:v>-1.592499999969732E-2</c:v>
                </c:pt>
                <c:pt idx="121">
                  <c:v>-1.012300000002142E-2</c:v>
                </c:pt>
                <c:pt idx="122">
                  <c:v>-9.9689999988186173E-3</c:v>
                </c:pt>
                <c:pt idx="123">
                  <c:v>-1.0375999998359475E-2</c:v>
                </c:pt>
                <c:pt idx="124">
                  <c:v>-5.3099999968253542E-3</c:v>
                </c:pt>
                <c:pt idx="125">
                  <c:v>-6.7400000007182825E-3</c:v>
                </c:pt>
                <c:pt idx="126">
                  <c:v>-9.0479999998933636E-3</c:v>
                </c:pt>
                <c:pt idx="127">
                  <c:v>-8.6770000016258564E-3</c:v>
                </c:pt>
                <c:pt idx="128">
                  <c:v>-6.848999997600913E-3</c:v>
                </c:pt>
                <c:pt idx="129">
                  <c:v>-7.211000000097556E-3</c:v>
                </c:pt>
                <c:pt idx="130">
                  <c:v>-3.4740000010060612E-3</c:v>
                </c:pt>
                <c:pt idx="131">
                  <c:v>-9.7439999990456272E-3</c:v>
                </c:pt>
                <c:pt idx="132">
                  <c:v>-4.5480000007955823E-3</c:v>
                </c:pt>
                <c:pt idx="133">
                  <c:v>-3.8510000013047829E-3</c:v>
                </c:pt>
                <c:pt idx="134">
                  <c:v>-3.2150000006367918E-3</c:v>
                </c:pt>
                <c:pt idx="135">
                  <c:v>-1.8760000020847656E-3</c:v>
                </c:pt>
                <c:pt idx="136">
                  <c:v>-1.4159999991534278E-3</c:v>
                </c:pt>
                <c:pt idx="137">
                  <c:v>-6.7699999999604188E-4</c:v>
                </c:pt>
                <c:pt idx="138">
                  <c:v>-1.7800000205170363E-4</c:v>
                </c:pt>
                <c:pt idx="139">
                  <c:v>-1.0884999999689171E-2</c:v>
                </c:pt>
                <c:pt idx="140">
                  <c:v>-2.8299999758019112E-4</c:v>
                </c:pt>
                <c:pt idx="141">
                  <c:v>-3.5399999978835694E-4</c:v>
                </c:pt>
                <c:pt idx="142">
                  <c:v>-4.7900000208755955E-4</c:v>
                </c:pt>
                <c:pt idx="143">
                  <c:v>9.828000002016779E-3</c:v>
                </c:pt>
                <c:pt idx="144">
                  <c:v>-1.1620000004768372E-3</c:v>
                </c:pt>
                <c:pt idx="145">
                  <c:v>-7.9999997979030013E-5</c:v>
                </c:pt>
                <c:pt idx="146">
                  <c:v>-4.6700000530108809E-4</c:v>
                </c:pt>
                <c:pt idx="147">
                  <c:v>2.8200000087963417E-4</c:v>
                </c:pt>
                <c:pt idx="148">
                  <c:v>-8.000002708286047E-6</c:v>
                </c:pt>
                <c:pt idx="149">
                  <c:v>-1.5809999968041666E-3</c:v>
                </c:pt>
                <c:pt idx="150">
                  <c:v>-1.2140000035287812E-3</c:v>
                </c:pt>
                <c:pt idx="151">
                  <c:v>-2.5689999965834431E-3</c:v>
                </c:pt>
                <c:pt idx="152">
                  <c:v>-4.010999997262843E-3</c:v>
                </c:pt>
                <c:pt idx="153">
                  <c:v>-2.3500000024796464E-3</c:v>
                </c:pt>
                <c:pt idx="154">
                  <c:v>-1.2629999982891604E-3</c:v>
                </c:pt>
                <c:pt idx="155">
                  <c:v>-1.4480000027106144E-3</c:v>
                </c:pt>
                <c:pt idx="156">
                  <c:v>-1.7079999961424619E-3</c:v>
                </c:pt>
                <c:pt idx="157">
                  <c:v>2.3700000019744039E-4</c:v>
                </c:pt>
                <c:pt idx="158">
                  <c:v>1.5300000086426735E-4</c:v>
                </c:pt>
                <c:pt idx="159">
                  <c:v>-2.1800000104121864E-4</c:v>
                </c:pt>
                <c:pt idx="160">
                  <c:v>-7.5000003562308848E-5</c:v>
                </c:pt>
                <c:pt idx="161">
                  <c:v>1.6810000015539117E-3</c:v>
                </c:pt>
                <c:pt idx="162">
                  <c:v>-7.5999999535270035E-4</c:v>
                </c:pt>
                <c:pt idx="163">
                  <c:v>1.4210000008461066E-3</c:v>
                </c:pt>
                <c:pt idx="164">
                  <c:v>2.8899999597342685E-4</c:v>
                </c:pt>
                <c:pt idx="165">
                  <c:v>1.1450000019976869E-3</c:v>
                </c:pt>
                <c:pt idx="166">
                  <c:v>7.3399999382672831E-4</c:v>
                </c:pt>
                <c:pt idx="167">
                  <c:v>7.7600000076927245E-4</c:v>
                </c:pt>
                <c:pt idx="168">
                  <c:v>1.0289999991073273E-3</c:v>
                </c:pt>
                <c:pt idx="169">
                  <c:v>3.7200000224402174E-4</c:v>
                </c:pt>
                <c:pt idx="170">
                  <c:v>-3.0659999974886887E-3</c:v>
                </c:pt>
                <c:pt idx="171">
                  <c:v>5.1199999870732427E-4</c:v>
                </c:pt>
                <c:pt idx="172">
                  <c:v>3.6700000055134296E-4</c:v>
                </c:pt>
                <c:pt idx="173">
                  <c:v>1.4400000145542435E-4</c:v>
                </c:pt>
                <c:pt idx="174">
                  <c:v>-1.4060000030440278E-3</c:v>
                </c:pt>
                <c:pt idx="175">
                  <c:v>1.1900000026798807E-4</c:v>
                </c:pt>
                <c:pt idx="176">
                  <c:v>-2.9400000130408444E-4</c:v>
                </c:pt>
                <c:pt idx="178">
                  <c:v>-5.9379999984230381E-3</c:v>
                </c:pt>
                <c:pt idx="179">
                  <c:v>-1.2940000015078112E-3</c:v>
                </c:pt>
                <c:pt idx="180">
                  <c:v>-2.1720000004279427E-3</c:v>
                </c:pt>
                <c:pt idx="181">
                  <c:v>-2.4090000006253831E-3</c:v>
                </c:pt>
                <c:pt idx="182">
                  <c:v>-7.9960000002756715E-3</c:v>
                </c:pt>
                <c:pt idx="183">
                  <c:v>-3.6760000002686866E-3</c:v>
                </c:pt>
                <c:pt idx="184">
                  <c:v>-4.50500000079046E-3</c:v>
                </c:pt>
                <c:pt idx="185">
                  <c:v>-4.8929999975371175E-3</c:v>
                </c:pt>
                <c:pt idx="186">
                  <c:v>-6.1730000015813857E-3</c:v>
                </c:pt>
                <c:pt idx="187">
                  <c:v>-8.3500000000640284E-3</c:v>
                </c:pt>
                <c:pt idx="188">
                  <c:v>-6.2319999997271225E-3</c:v>
                </c:pt>
                <c:pt idx="189">
                  <c:v>-6.4160000001720618E-3</c:v>
                </c:pt>
                <c:pt idx="190">
                  <c:v>-1.5632999999070307E-2</c:v>
                </c:pt>
                <c:pt idx="191">
                  <c:v>-1.0988999998517102E-2</c:v>
                </c:pt>
                <c:pt idx="192">
                  <c:v>-1.4601999999285908E-2</c:v>
                </c:pt>
                <c:pt idx="193">
                  <c:v>-1.6014999997423729E-2</c:v>
                </c:pt>
                <c:pt idx="194">
                  <c:v>-1.7094000002543908E-2</c:v>
                </c:pt>
                <c:pt idx="195">
                  <c:v>-1.7248000000108732E-2</c:v>
                </c:pt>
                <c:pt idx="196">
                  <c:v>-2.044699999896693E-2</c:v>
                </c:pt>
                <c:pt idx="197">
                  <c:v>-2.2804000000178348E-2</c:v>
                </c:pt>
                <c:pt idx="198">
                  <c:v>-2.5193999998009531E-2</c:v>
                </c:pt>
                <c:pt idx="199">
                  <c:v>-2.4077000001852866E-2</c:v>
                </c:pt>
                <c:pt idx="200">
                  <c:v>-2.1603000001050532E-2</c:v>
                </c:pt>
                <c:pt idx="201">
                  <c:v>-2.3688000001129694E-2</c:v>
                </c:pt>
                <c:pt idx="202">
                  <c:v>-2.3962999999639578E-2</c:v>
                </c:pt>
                <c:pt idx="203">
                  <c:v>-1.9627000001491979E-2</c:v>
                </c:pt>
                <c:pt idx="204">
                  <c:v>-1.4434999999139109E-2</c:v>
                </c:pt>
                <c:pt idx="205">
                  <c:v>-1.8976999999722466E-2</c:v>
                </c:pt>
                <c:pt idx="206">
                  <c:v>-1.7522999998618616E-2</c:v>
                </c:pt>
                <c:pt idx="207">
                  <c:v>-2.1874000000025262E-2</c:v>
                </c:pt>
                <c:pt idx="208">
                  <c:v>-2.7536999999938416E-2</c:v>
                </c:pt>
                <c:pt idx="209">
                  <c:v>-2.8016000000206986E-2</c:v>
                </c:pt>
                <c:pt idx="210">
                  <c:v>-1.6325000000506407E-2</c:v>
                </c:pt>
                <c:pt idx="211">
                  <c:v>-3.1863999998677173E-2</c:v>
                </c:pt>
                <c:pt idx="212">
                  <c:v>-2.5410000000192667E-2</c:v>
                </c:pt>
                <c:pt idx="213">
                  <c:v>-2.8807000000597327E-2</c:v>
                </c:pt>
                <c:pt idx="214">
                  <c:v>-2.4740000000747386E-2</c:v>
                </c:pt>
                <c:pt idx="215">
                  <c:v>-3.1290999999328051E-2</c:v>
                </c:pt>
                <c:pt idx="216">
                  <c:v>-1.6317999999955646E-2</c:v>
                </c:pt>
                <c:pt idx="217">
                  <c:v>-2.2379999991244404E-3</c:v>
                </c:pt>
                <c:pt idx="218">
                  <c:v>6.2899999993533129E-3</c:v>
                </c:pt>
                <c:pt idx="219">
                  <c:v>9.4950000002427259E-3</c:v>
                </c:pt>
                <c:pt idx="220">
                  <c:v>1.8672999999580497E-2</c:v>
                </c:pt>
                <c:pt idx="221">
                  <c:v>2.1689000000151282E-2</c:v>
                </c:pt>
                <c:pt idx="222">
                  <c:v>2.3106999999981781E-2</c:v>
                </c:pt>
                <c:pt idx="223">
                  <c:v>3.761800000029325E-2</c:v>
                </c:pt>
                <c:pt idx="224">
                  <c:v>3.3738000000084867E-2</c:v>
                </c:pt>
                <c:pt idx="225">
                  <c:v>3.5151000000041677E-2</c:v>
                </c:pt>
                <c:pt idx="226">
                  <c:v>3.7193000000115717E-2</c:v>
                </c:pt>
                <c:pt idx="227">
                  <c:v>3.7417999999888707E-2</c:v>
                </c:pt>
                <c:pt idx="228">
                  <c:v>4.5262999999977183E-2</c:v>
                </c:pt>
                <c:pt idx="229">
                  <c:v>5.2018999999745574E-2</c:v>
                </c:pt>
                <c:pt idx="230">
                  <c:v>6.5689000000020314E-2</c:v>
                </c:pt>
                <c:pt idx="231">
                  <c:v>5.7761999999911495E-2</c:v>
                </c:pt>
                <c:pt idx="232">
                  <c:v>4.7021999999969921E-2</c:v>
                </c:pt>
                <c:pt idx="233">
                  <c:v>5.6452000000035696E-2</c:v>
                </c:pt>
                <c:pt idx="234">
                  <c:v>4.5090000000072905E-2</c:v>
                </c:pt>
                <c:pt idx="235">
                  <c:v>3.5249999999962256E-2</c:v>
                </c:pt>
                <c:pt idx="236">
                  <c:v>4.7481000000004769E-2</c:v>
                </c:pt>
                <c:pt idx="237">
                  <c:v>5.0768999999945663E-2</c:v>
                </c:pt>
                <c:pt idx="238">
                  <c:v>4.5823000000154934E-2</c:v>
                </c:pt>
                <c:pt idx="239">
                  <c:v>5.6295000000091022E-2</c:v>
                </c:pt>
                <c:pt idx="240">
                  <c:v>5.7373999999981606E-2</c:v>
                </c:pt>
                <c:pt idx="241">
                  <c:v>4.84150000002046E-2</c:v>
                </c:pt>
                <c:pt idx="242">
                  <c:v>4.9355999999988853E-2</c:v>
                </c:pt>
                <c:pt idx="243">
                  <c:v>4.6160999999756314E-2</c:v>
                </c:pt>
                <c:pt idx="244">
                  <c:v>3.6467000000811822E-2</c:v>
                </c:pt>
                <c:pt idx="245">
                  <c:v>3.7137999999686144E-2</c:v>
                </c:pt>
                <c:pt idx="246">
                  <c:v>3.6798000000089814E-2</c:v>
                </c:pt>
                <c:pt idx="247">
                  <c:v>4.1352000000188127E-2</c:v>
                </c:pt>
                <c:pt idx="248">
                  <c:v>3.1222999999954482E-2</c:v>
                </c:pt>
                <c:pt idx="249">
                  <c:v>1.9551000000319618E-2</c:v>
                </c:pt>
                <c:pt idx="250">
                  <c:v>4.0829999998095445E-3</c:v>
                </c:pt>
                <c:pt idx="251">
                  <c:v>-4.4229999994058744E-3</c:v>
                </c:pt>
                <c:pt idx="252">
                  <c:v>-1.5824000000066007E-2</c:v>
                </c:pt>
                <c:pt idx="253">
                  <c:v>-2.1009000000049127E-2</c:v>
                </c:pt>
                <c:pt idx="254">
                  <c:v>-2.4011000001337379E-2</c:v>
                </c:pt>
                <c:pt idx="255">
                  <c:v>-3.4762000001137494E-2</c:v>
                </c:pt>
                <c:pt idx="256">
                  <c:v>-4.4465999999374617E-2</c:v>
                </c:pt>
                <c:pt idx="257">
                  <c:v>-4.5311000001674984E-2</c:v>
                </c:pt>
                <c:pt idx="258">
                  <c:v>-4.0970999998535262E-2</c:v>
                </c:pt>
                <c:pt idx="259">
                  <c:v>-3.9595000000190339E-2</c:v>
                </c:pt>
                <c:pt idx="260">
                  <c:v>-3.7918999998510117E-2</c:v>
                </c:pt>
                <c:pt idx="261">
                  <c:v>-4.2256999999153777E-2</c:v>
                </c:pt>
                <c:pt idx="262">
                  <c:v>-4.1245000000344589E-2</c:v>
                </c:pt>
                <c:pt idx="263">
                  <c:v>-3.9937999999892781E-2</c:v>
                </c:pt>
                <c:pt idx="264">
                  <c:v>-3.0324999999720603E-2</c:v>
                </c:pt>
                <c:pt idx="265">
                  <c:v>-2.3804999998901621E-2</c:v>
                </c:pt>
                <c:pt idx="266">
                  <c:v>-2.370599999994738E-2</c:v>
                </c:pt>
                <c:pt idx="267">
                  <c:v>-2.3587000001498382E-2</c:v>
                </c:pt>
                <c:pt idx="268">
                  <c:v>-2.3075000000972068E-2</c:v>
                </c:pt>
                <c:pt idx="269">
                  <c:v>-2.2267999996984145E-2</c:v>
                </c:pt>
                <c:pt idx="270">
                  <c:v>-2.0661000002291985E-2</c:v>
                </c:pt>
                <c:pt idx="271">
                  <c:v>-1.8488000001525506E-2</c:v>
                </c:pt>
                <c:pt idx="272">
                  <c:v>-2.1591999997326639E-2</c:v>
                </c:pt>
                <c:pt idx="273">
                  <c:v>-2.3803000000043539E-2</c:v>
                </c:pt>
                <c:pt idx="274">
                  <c:v>-1.991499999712687E-2</c:v>
                </c:pt>
                <c:pt idx="275">
                  <c:v>-1.7658000000665197E-2</c:v>
                </c:pt>
                <c:pt idx="276">
                  <c:v>-1.0777999999845633E-2</c:v>
                </c:pt>
                <c:pt idx="277">
                  <c:v>-8.3320000012463424E-3</c:v>
                </c:pt>
                <c:pt idx="278">
                  <c:v>-8.5670000007667113E-3</c:v>
                </c:pt>
                <c:pt idx="279">
                  <c:v>-1.0100999999849591E-2</c:v>
                </c:pt>
                <c:pt idx="280">
                  <c:v>-8.6759999976493418E-3</c:v>
                </c:pt>
                <c:pt idx="281">
                  <c:v>-7.7410000012605451E-3</c:v>
                </c:pt>
                <c:pt idx="282">
                  <c:v>-5.7369999994989485E-3</c:v>
                </c:pt>
                <c:pt idx="283">
                  <c:v>-6.2360000010812655E-3</c:v>
                </c:pt>
                <c:pt idx="284">
                  <c:v>-5.6040000017674174E-3</c:v>
                </c:pt>
                <c:pt idx="285">
                  <c:v>-1.301699999748962E-2</c:v>
                </c:pt>
                <c:pt idx="286">
                  <c:v>-6.4449999990756623E-3</c:v>
                </c:pt>
                <c:pt idx="287">
                  <c:v>-4.6529999999620486E-3</c:v>
                </c:pt>
                <c:pt idx="288">
                  <c:v>-2.599999999802094E-3</c:v>
                </c:pt>
                <c:pt idx="289">
                  <c:v>-6.6460000016377307E-3</c:v>
                </c:pt>
                <c:pt idx="290">
                  <c:v>-2.325999997992767E-3</c:v>
                </c:pt>
                <c:pt idx="291">
                  <c:v>-1.4139999984763563E-3</c:v>
                </c:pt>
                <c:pt idx="292">
                  <c:v>-1.0100000145030208E-4</c:v>
                </c:pt>
                <c:pt idx="293">
                  <c:v>5.4930000005697366E-3</c:v>
                </c:pt>
                <c:pt idx="294">
                  <c:v>-1.5799999891896732E-4</c:v>
                </c:pt>
                <c:pt idx="295">
                  <c:v>6.5000000176951289E-5</c:v>
                </c:pt>
                <c:pt idx="296">
                  <c:v>-2.3099999816622585E-4</c:v>
                </c:pt>
                <c:pt idx="297">
                  <c:v>7.9169999989971984E-3</c:v>
                </c:pt>
                <c:pt idx="298">
                  <c:v>-2.8300000121816993E-4</c:v>
                </c:pt>
                <c:pt idx="299">
                  <c:v>-2.800000220304355E-5</c:v>
                </c:pt>
                <c:pt idx="300">
                  <c:v>2.1600000036414713E-4</c:v>
                </c:pt>
                <c:pt idx="301">
                  <c:v>5.6130000011762604E-3</c:v>
                </c:pt>
                <c:pt idx="302">
                  <c:v>8.44000001961831E-4</c:v>
                </c:pt>
                <c:pt idx="303">
                  <c:v>4.3699999514501542E-4</c:v>
                </c:pt>
                <c:pt idx="304">
                  <c:v>1.5090000015334226E-3</c:v>
                </c:pt>
                <c:pt idx="305">
                  <c:v>1.6000000032363459E-3</c:v>
                </c:pt>
                <c:pt idx="306">
                  <c:v>1.0249999977531843E-3</c:v>
                </c:pt>
                <c:pt idx="307">
                  <c:v>1.9180000017513521E-3</c:v>
                </c:pt>
                <c:pt idx="308">
                  <c:v>1.714000005449634E-3</c:v>
                </c:pt>
                <c:pt idx="309">
                  <c:v>1.5260000000125729E-3</c:v>
                </c:pt>
                <c:pt idx="310">
                  <c:v>2.4950000006356277E-3</c:v>
                </c:pt>
                <c:pt idx="311">
                  <c:v>1.4799999989918433E-3</c:v>
                </c:pt>
                <c:pt idx="312">
                  <c:v>1.1459999950602651E-3</c:v>
                </c:pt>
                <c:pt idx="313">
                  <c:v>-1.3590000016847625E-3</c:v>
                </c:pt>
                <c:pt idx="314">
                  <c:v>3.5099999513477087E-4</c:v>
                </c:pt>
                <c:pt idx="315">
                  <c:v>9.4299999909708276E-4</c:v>
                </c:pt>
                <c:pt idx="316">
                  <c:v>3.8700000004610047E-4</c:v>
                </c:pt>
                <c:pt idx="317">
                  <c:v>-1.7400000069756061E-4</c:v>
                </c:pt>
                <c:pt idx="318">
                  <c:v>-2.9399999766610563E-4</c:v>
                </c:pt>
                <c:pt idx="319">
                  <c:v>4.619999963324517E-4</c:v>
                </c:pt>
                <c:pt idx="320">
                  <c:v>-3.4600000071804971E-4</c:v>
                </c:pt>
                <c:pt idx="321">
                  <c:v>5.0200000259792432E-4</c:v>
                </c:pt>
                <c:pt idx="322">
                  <c:v>-6.9130000047152862E-3</c:v>
                </c:pt>
                <c:pt idx="323">
                  <c:v>-6.900000007590279E-4</c:v>
                </c:pt>
                <c:pt idx="324">
                  <c:v>-1.2800000004062895E-3</c:v>
                </c:pt>
                <c:pt idx="325">
                  <c:v>-1.0899999979301356E-3</c:v>
                </c:pt>
                <c:pt idx="326">
                  <c:v>-5.2749999995285179E-3</c:v>
                </c:pt>
                <c:pt idx="327">
                  <c:v>-1.0770000008051284E-3</c:v>
                </c:pt>
                <c:pt idx="328">
                  <c:v>-1.5239999993355013E-3</c:v>
                </c:pt>
                <c:pt idx="329">
                  <c:v>-2.0310000036261044E-3</c:v>
                </c:pt>
                <c:pt idx="330">
                  <c:v>-2.2520999998960178E-2</c:v>
                </c:pt>
                <c:pt idx="331">
                  <c:v>-3.6040000013599638E-3</c:v>
                </c:pt>
                <c:pt idx="332">
                  <c:v>-3.5580000003392342E-3</c:v>
                </c:pt>
                <c:pt idx="333">
                  <c:v>-4.0910000025178306E-3</c:v>
                </c:pt>
                <c:pt idx="334">
                  <c:v>-1.8335000000661239E-2</c:v>
                </c:pt>
                <c:pt idx="335">
                  <c:v>-4.867000003287103E-3</c:v>
                </c:pt>
                <c:pt idx="336">
                  <c:v>-8.4990000032121316E-3</c:v>
                </c:pt>
                <c:pt idx="337">
                  <c:v>-9.0350000027683564E-3</c:v>
                </c:pt>
                <c:pt idx="338">
                  <c:v>-8.5459999972954392E-3</c:v>
                </c:pt>
                <c:pt idx="339">
                  <c:v>-1.1295000000245636E-2</c:v>
                </c:pt>
                <c:pt idx="340">
                  <c:v>-9.5030000011320226E-3</c:v>
                </c:pt>
                <c:pt idx="341">
                  <c:v>-9.0749999981198926E-3</c:v>
                </c:pt>
                <c:pt idx="342">
                  <c:v>-1.4617000000725966E-2</c:v>
                </c:pt>
                <c:pt idx="343">
                  <c:v>-1.0846999997738749E-2</c:v>
                </c:pt>
                <c:pt idx="344">
                  <c:v>-1.1430999998992775E-2</c:v>
                </c:pt>
                <c:pt idx="345">
                  <c:v>-1.317399999970803E-2</c:v>
                </c:pt>
                <c:pt idx="346">
                  <c:v>-1.3127999998687301E-2</c:v>
                </c:pt>
                <c:pt idx="347">
                  <c:v>-1.5120000000024447E-2</c:v>
                </c:pt>
                <c:pt idx="348">
                  <c:v>-1.8914000000222586E-2</c:v>
                </c:pt>
                <c:pt idx="349">
                  <c:v>-1.8142000000807457E-2</c:v>
                </c:pt>
                <c:pt idx="350">
                  <c:v>-2.6554000000032829E-2</c:v>
                </c:pt>
                <c:pt idx="351">
                  <c:v>-2.0928999998432118E-2</c:v>
                </c:pt>
                <c:pt idx="352">
                  <c:v>-2.4105999997118488E-2</c:v>
                </c:pt>
                <c:pt idx="353">
                  <c:v>-2.7687999998306623E-2</c:v>
                </c:pt>
                <c:pt idx="354">
                  <c:v>-2.040100000158418E-2</c:v>
                </c:pt>
                <c:pt idx="355">
                  <c:v>-2.2984000002907123E-2</c:v>
                </c:pt>
                <c:pt idx="356">
                  <c:v>-1.7942000000402913E-2</c:v>
                </c:pt>
                <c:pt idx="357">
                  <c:v>-2.4994000001242966E-2</c:v>
                </c:pt>
                <c:pt idx="358">
                  <c:v>-2.0999999998821295E-2</c:v>
                </c:pt>
                <c:pt idx="359">
                  <c:v>-2.8067000001101405E-2</c:v>
                </c:pt>
                <c:pt idx="360">
                  <c:v>-2.2810000000390573E-2</c:v>
                </c:pt>
                <c:pt idx="361">
                  <c:v>-2.8009999999994761E-2</c:v>
                </c:pt>
                <c:pt idx="362">
                  <c:v>-2.8314999999565771E-2</c:v>
                </c:pt>
                <c:pt idx="363">
                  <c:v>-2.2924999999304418E-2</c:v>
                </c:pt>
                <c:pt idx="364">
                  <c:v>-1.1520000000018626E-2</c:v>
                </c:pt>
                <c:pt idx="365">
                  <c:v>5.8469999985391041E-3</c:v>
                </c:pt>
                <c:pt idx="366">
                  <c:v>-9.5369999999093125E-3</c:v>
                </c:pt>
                <c:pt idx="367">
                  <c:v>-9.9270000009710202E-3</c:v>
                </c:pt>
                <c:pt idx="368">
                  <c:v>5.9239999991405057E-3</c:v>
                </c:pt>
                <c:pt idx="369">
                  <c:v>1.629999999931897E-2</c:v>
                </c:pt>
                <c:pt idx="370">
                  <c:v>2.4271000000226195E-2</c:v>
                </c:pt>
                <c:pt idx="371">
                  <c:v>3.8604000001214445E-2</c:v>
                </c:pt>
                <c:pt idx="372">
                  <c:v>3.4134000000449305E-2</c:v>
                </c:pt>
                <c:pt idx="373">
                  <c:v>5.1814999999805877E-2</c:v>
                </c:pt>
                <c:pt idx="374">
                  <c:v>6.1141000000134227E-2</c:v>
                </c:pt>
                <c:pt idx="375">
                  <c:v>5.4806999999527761E-2</c:v>
                </c:pt>
                <c:pt idx="376">
                  <c:v>5.5605999999897904E-2</c:v>
                </c:pt>
                <c:pt idx="377">
                  <c:v>5.4120999999213382E-2</c:v>
                </c:pt>
                <c:pt idx="378">
                  <c:v>5.5062000000361877E-2</c:v>
                </c:pt>
                <c:pt idx="379">
                  <c:v>5.2962000000661646E-2</c:v>
                </c:pt>
                <c:pt idx="380">
                  <c:v>5.0955000000158179E-2</c:v>
                </c:pt>
                <c:pt idx="381">
                  <c:v>5.4697999999916647E-2</c:v>
                </c:pt>
                <c:pt idx="382">
                  <c:v>6.846399999994901E-2</c:v>
                </c:pt>
                <c:pt idx="383">
                  <c:v>6.5673000000060711E-2</c:v>
                </c:pt>
                <c:pt idx="384">
                  <c:v>5.2472999999963577E-2</c:v>
                </c:pt>
                <c:pt idx="385">
                  <c:v>5.6355999999823325E-2</c:v>
                </c:pt>
                <c:pt idx="386">
                  <c:v>5.6011000000012245E-2</c:v>
                </c:pt>
                <c:pt idx="387">
                  <c:v>5.1139999999975316E-2</c:v>
                </c:pt>
              </c:numCache>
            </c:numRef>
          </c:yVal>
          <c:smooth val="0"/>
          <c:extLst xmlns:c16r2="http://schemas.microsoft.com/office/drawing/2015/06/chart">
            <c:ext xmlns:c16="http://schemas.microsoft.com/office/drawing/2014/chart" uri="{C3380CC4-5D6E-409C-BE32-E72D297353CC}">
              <c16:uniqueId val="{00000000-1791-4EE4-93EA-F60B9615A392}"/>
            </c:ext>
          </c:extLst>
        </c:ser>
        <c:ser>
          <c:idx val="1"/>
          <c:order val="1"/>
          <c:spPr>
            <a:ln w="28575" cap="rnd">
              <a:noFill/>
              <a:round/>
            </a:ln>
            <a:effectLst/>
          </c:spPr>
          <c:marker>
            <c:symbol val="circle"/>
            <c:size val="5"/>
            <c:spPr>
              <a:solidFill>
                <a:schemeClr val="accent2"/>
              </a:solidFill>
              <a:ln w="9525">
                <a:solidFill>
                  <a:schemeClr val="accent2"/>
                </a:solidFill>
              </a:ln>
              <a:effectLst/>
            </c:spPr>
          </c:marker>
          <c:xVal>
            <c:numRef>
              <c:f>DataPaste!$Q$3:$Q$390</c:f>
              <c:numCache>
                <c:formatCode>General</c:formatCode>
                <c:ptCount val="388"/>
                <c:pt idx="0">
                  <c:v>39499.5861</c:v>
                </c:pt>
                <c:pt idx="1">
                  <c:v>38999.618499999997</c:v>
                </c:pt>
                <c:pt idx="2">
                  <c:v>38499.585800000001</c:v>
                </c:pt>
                <c:pt idx="3">
                  <c:v>37999.57</c:v>
                </c:pt>
                <c:pt idx="4">
                  <c:v>37499.530200000001</c:v>
                </c:pt>
                <c:pt idx="5">
                  <c:v>36999.5599</c:v>
                </c:pt>
                <c:pt idx="6">
                  <c:v>36499.5432</c:v>
                </c:pt>
                <c:pt idx="7">
                  <c:v>35999.530299999999</c:v>
                </c:pt>
                <c:pt idx="8">
                  <c:v>35499.5317</c:v>
                </c:pt>
                <c:pt idx="9">
                  <c:v>34999.532599999999</c:v>
                </c:pt>
                <c:pt idx="10">
                  <c:v>34499.504300000001</c:v>
                </c:pt>
                <c:pt idx="11">
                  <c:v>33999.489800000003</c:v>
                </c:pt>
                <c:pt idx="12">
                  <c:v>33499.499499999998</c:v>
                </c:pt>
                <c:pt idx="13">
                  <c:v>32999.5429</c:v>
                </c:pt>
                <c:pt idx="14">
                  <c:v>32499.5075</c:v>
                </c:pt>
                <c:pt idx="15">
                  <c:v>31999.487499999999</c:v>
                </c:pt>
                <c:pt idx="16">
                  <c:v>31499.451499999999</c:v>
                </c:pt>
                <c:pt idx="17">
                  <c:v>30999.447899999999</c:v>
                </c:pt>
                <c:pt idx="18">
                  <c:v>30499.446599999999</c:v>
                </c:pt>
                <c:pt idx="19">
                  <c:v>29999.434600000001</c:v>
                </c:pt>
                <c:pt idx="20">
                  <c:v>29499.4293</c:v>
                </c:pt>
                <c:pt idx="21">
                  <c:v>28999.503199999999</c:v>
                </c:pt>
                <c:pt idx="22">
                  <c:v>28499.488600000001</c:v>
                </c:pt>
                <c:pt idx="23">
                  <c:v>27999.492300000002</c:v>
                </c:pt>
                <c:pt idx="24">
                  <c:v>27499.4702</c:v>
                </c:pt>
                <c:pt idx="25">
                  <c:v>26999.472699999998</c:v>
                </c:pt>
                <c:pt idx="26">
                  <c:v>26499.426299999999</c:v>
                </c:pt>
                <c:pt idx="27">
                  <c:v>25999.439600000002</c:v>
                </c:pt>
                <c:pt idx="28">
                  <c:v>25499.407999999999</c:v>
                </c:pt>
                <c:pt idx="29">
                  <c:v>24999.4107</c:v>
                </c:pt>
                <c:pt idx="30">
                  <c:v>24499.372100000001</c:v>
                </c:pt>
                <c:pt idx="31">
                  <c:v>23999.322199999999</c:v>
                </c:pt>
                <c:pt idx="32">
                  <c:v>23499.305100000001</c:v>
                </c:pt>
                <c:pt idx="33">
                  <c:v>22999.301500000001</c:v>
                </c:pt>
                <c:pt idx="34">
                  <c:v>22499.273000000001</c:v>
                </c:pt>
                <c:pt idx="35">
                  <c:v>21999.297299999998</c:v>
                </c:pt>
                <c:pt idx="36">
                  <c:v>21499.303100000001</c:v>
                </c:pt>
                <c:pt idx="37">
                  <c:v>20999.312900000001</c:v>
                </c:pt>
                <c:pt idx="38">
                  <c:v>20499.296399999999</c:v>
                </c:pt>
                <c:pt idx="39">
                  <c:v>19999.302500000002</c:v>
                </c:pt>
                <c:pt idx="40">
                  <c:v>19499.2988</c:v>
                </c:pt>
                <c:pt idx="41">
                  <c:v>18999.257600000001</c:v>
                </c:pt>
                <c:pt idx="42">
                  <c:v>18499.244500000001</c:v>
                </c:pt>
                <c:pt idx="43">
                  <c:v>17999.262699999999</c:v>
                </c:pt>
                <c:pt idx="44">
                  <c:v>17499.221600000001</c:v>
                </c:pt>
                <c:pt idx="45">
                  <c:v>16999.200400000002</c:v>
                </c:pt>
                <c:pt idx="46">
                  <c:v>16499.165300000001</c:v>
                </c:pt>
                <c:pt idx="47">
                  <c:v>15999.1582</c:v>
                </c:pt>
                <c:pt idx="48">
                  <c:v>15499.155000000001</c:v>
                </c:pt>
                <c:pt idx="49">
                  <c:v>14999.158100000001</c:v>
                </c:pt>
                <c:pt idx="50">
                  <c:v>14499.142</c:v>
                </c:pt>
                <c:pt idx="51">
                  <c:v>13999.179099999999</c:v>
                </c:pt>
                <c:pt idx="52">
                  <c:v>13499.1427</c:v>
                </c:pt>
                <c:pt idx="53">
                  <c:v>12999.1358</c:v>
                </c:pt>
                <c:pt idx="54">
                  <c:v>12499.114600000001</c:v>
                </c:pt>
                <c:pt idx="55">
                  <c:v>11999.1405</c:v>
                </c:pt>
                <c:pt idx="56">
                  <c:v>11499.1219</c:v>
                </c:pt>
                <c:pt idx="57">
                  <c:v>10999.1068</c:v>
                </c:pt>
                <c:pt idx="58">
                  <c:v>10499.082700000001</c:v>
                </c:pt>
                <c:pt idx="59">
                  <c:v>9999.1389999999992</c:v>
                </c:pt>
                <c:pt idx="60">
                  <c:v>9499.1183000000001</c:v>
                </c:pt>
                <c:pt idx="61">
                  <c:v>8999.1018999999997</c:v>
                </c:pt>
                <c:pt idx="62">
                  <c:v>8499.0686999999998</c:v>
                </c:pt>
                <c:pt idx="63">
                  <c:v>7999.1522999999997</c:v>
                </c:pt>
                <c:pt idx="64">
                  <c:v>7499.1220999999996</c:v>
                </c:pt>
                <c:pt idx="65">
                  <c:v>6999.1003000000001</c:v>
                </c:pt>
                <c:pt idx="66">
                  <c:v>6499.0645000000004</c:v>
                </c:pt>
                <c:pt idx="67">
                  <c:v>5999.0823</c:v>
                </c:pt>
                <c:pt idx="68">
                  <c:v>5499.0610999999999</c:v>
                </c:pt>
                <c:pt idx="69">
                  <c:v>4999.0335999999998</c:v>
                </c:pt>
                <c:pt idx="70">
                  <c:v>4499.0034999999998</c:v>
                </c:pt>
                <c:pt idx="71">
                  <c:v>3999.0338999999999</c:v>
                </c:pt>
                <c:pt idx="72">
                  <c:v>3499.0185000000001</c:v>
                </c:pt>
                <c:pt idx="73">
                  <c:v>2999.0127000000002</c:v>
                </c:pt>
                <c:pt idx="74">
                  <c:v>2498.9994999999999</c:v>
                </c:pt>
                <c:pt idx="75">
                  <c:v>1999.0353</c:v>
                </c:pt>
                <c:pt idx="76">
                  <c:v>1499.0137</c:v>
                </c:pt>
                <c:pt idx="77">
                  <c:v>998.98119999999994</c:v>
                </c:pt>
                <c:pt idx="78">
                  <c:v>498.93209999999999</c:v>
                </c:pt>
                <c:pt idx="79">
                  <c:v>998.97130000000004</c:v>
                </c:pt>
                <c:pt idx="80">
                  <c:v>1499.0073</c:v>
                </c:pt>
                <c:pt idx="81">
                  <c:v>1999.0292999999999</c:v>
                </c:pt>
                <c:pt idx="82">
                  <c:v>2498.9956999999999</c:v>
                </c:pt>
                <c:pt idx="83">
                  <c:v>2998.9940000000001</c:v>
                </c:pt>
                <c:pt idx="84">
                  <c:v>3499.0201000000002</c:v>
                </c:pt>
                <c:pt idx="85">
                  <c:v>3999.0315000000001</c:v>
                </c:pt>
                <c:pt idx="86">
                  <c:v>4499.0005000000001</c:v>
                </c:pt>
                <c:pt idx="87">
                  <c:v>4999.0338000000002</c:v>
                </c:pt>
                <c:pt idx="88">
                  <c:v>5499.0578999999998</c:v>
                </c:pt>
                <c:pt idx="89">
                  <c:v>5999.0802999999996</c:v>
                </c:pt>
                <c:pt idx="90">
                  <c:v>6499.0537999999997</c:v>
                </c:pt>
                <c:pt idx="91">
                  <c:v>6999.0922</c:v>
                </c:pt>
                <c:pt idx="92">
                  <c:v>7499.1156000000001</c:v>
                </c:pt>
                <c:pt idx="93">
                  <c:v>7999.1310000000003</c:v>
                </c:pt>
                <c:pt idx="94">
                  <c:v>8499.0635999999995</c:v>
                </c:pt>
                <c:pt idx="95">
                  <c:v>8999.0895999999993</c:v>
                </c:pt>
                <c:pt idx="96">
                  <c:v>9499.1152000000002</c:v>
                </c:pt>
                <c:pt idx="97">
                  <c:v>9999.1339000000007</c:v>
                </c:pt>
                <c:pt idx="98">
                  <c:v>10499.083699999999</c:v>
                </c:pt>
                <c:pt idx="99">
                  <c:v>10999.105100000001</c:v>
                </c:pt>
                <c:pt idx="100">
                  <c:v>11499.1245</c:v>
                </c:pt>
                <c:pt idx="101">
                  <c:v>11999.144200000001</c:v>
                </c:pt>
                <c:pt idx="102">
                  <c:v>12499.1167</c:v>
                </c:pt>
                <c:pt idx="103">
                  <c:v>12999.123</c:v>
                </c:pt>
                <c:pt idx="104">
                  <c:v>13499.144399999999</c:v>
                </c:pt>
                <c:pt idx="105">
                  <c:v>13999.1643</c:v>
                </c:pt>
                <c:pt idx="106">
                  <c:v>14499.145200000001</c:v>
                </c:pt>
                <c:pt idx="107">
                  <c:v>14999.1474</c:v>
                </c:pt>
                <c:pt idx="108">
                  <c:v>15499.161899999999</c:v>
                </c:pt>
                <c:pt idx="109">
                  <c:v>15999.159</c:v>
                </c:pt>
                <c:pt idx="110">
                  <c:v>16499.157299999999</c:v>
                </c:pt>
                <c:pt idx="111">
                  <c:v>16999.1983</c:v>
                </c:pt>
                <c:pt idx="112">
                  <c:v>17499.224200000001</c:v>
                </c:pt>
                <c:pt idx="113">
                  <c:v>17999.2559</c:v>
                </c:pt>
                <c:pt idx="114">
                  <c:v>18499.2438</c:v>
                </c:pt>
                <c:pt idx="115">
                  <c:v>18999.252400000001</c:v>
                </c:pt>
                <c:pt idx="116">
                  <c:v>19499.283899999999</c:v>
                </c:pt>
                <c:pt idx="117">
                  <c:v>19999.299500000001</c:v>
                </c:pt>
                <c:pt idx="118">
                  <c:v>20499.290199999999</c:v>
                </c:pt>
                <c:pt idx="119">
                  <c:v>20999.300899999998</c:v>
                </c:pt>
                <c:pt idx="120">
                  <c:v>21499.297299999998</c:v>
                </c:pt>
                <c:pt idx="121">
                  <c:v>21999.286100000001</c:v>
                </c:pt>
                <c:pt idx="122">
                  <c:v>22499.257900000001</c:v>
                </c:pt>
                <c:pt idx="123">
                  <c:v>22999.292099999999</c:v>
                </c:pt>
                <c:pt idx="124">
                  <c:v>23499.295999999998</c:v>
                </c:pt>
                <c:pt idx="125">
                  <c:v>23999.317999999999</c:v>
                </c:pt>
                <c:pt idx="126">
                  <c:v>24499.365600000001</c:v>
                </c:pt>
                <c:pt idx="127">
                  <c:v>24999.402300000002</c:v>
                </c:pt>
                <c:pt idx="128">
                  <c:v>25499.400699999998</c:v>
                </c:pt>
                <c:pt idx="129">
                  <c:v>25999.432400000002</c:v>
                </c:pt>
                <c:pt idx="130">
                  <c:v>26499.417799999999</c:v>
                </c:pt>
                <c:pt idx="131">
                  <c:v>26999.469799999999</c:v>
                </c:pt>
                <c:pt idx="132">
                  <c:v>27499.463800000001</c:v>
                </c:pt>
                <c:pt idx="133">
                  <c:v>27999.488700000002</c:v>
                </c:pt>
                <c:pt idx="134">
                  <c:v>28499.4892</c:v>
                </c:pt>
                <c:pt idx="135">
                  <c:v>28999.502400000001</c:v>
                </c:pt>
                <c:pt idx="136">
                  <c:v>29499.420999999998</c:v>
                </c:pt>
                <c:pt idx="137">
                  <c:v>29999.424500000001</c:v>
                </c:pt>
                <c:pt idx="138">
                  <c:v>30499.433000000001</c:v>
                </c:pt>
                <c:pt idx="139">
                  <c:v>30999.434300000001</c:v>
                </c:pt>
                <c:pt idx="140">
                  <c:v>31499.434799999999</c:v>
                </c:pt>
                <c:pt idx="141">
                  <c:v>31999.477699999999</c:v>
                </c:pt>
                <c:pt idx="142">
                  <c:v>32499.5033</c:v>
                </c:pt>
                <c:pt idx="143">
                  <c:v>32999.5334</c:v>
                </c:pt>
                <c:pt idx="144">
                  <c:v>33499.476999999999</c:v>
                </c:pt>
                <c:pt idx="145">
                  <c:v>33999.464999999997</c:v>
                </c:pt>
                <c:pt idx="146">
                  <c:v>34499.487500000003</c:v>
                </c:pt>
                <c:pt idx="147">
                  <c:v>34999.514799999997</c:v>
                </c:pt>
                <c:pt idx="148">
                  <c:v>35499.515800000001</c:v>
                </c:pt>
                <c:pt idx="149">
                  <c:v>35999.4997</c:v>
                </c:pt>
                <c:pt idx="150">
                  <c:v>36499.489600000001</c:v>
                </c:pt>
                <c:pt idx="151">
                  <c:v>36999.487999999998</c:v>
                </c:pt>
                <c:pt idx="152">
                  <c:v>37499.460299999999</c:v>
                </c:pt>
                <c:pt idx="153">
                  <c:v>37999.513400000003</c:v>
                </c:pt>
                <c:pt idx="154">
                  <c:v>38499.546699999999</c:v>
                </c:pt>
                <c:pt idx="155">
                  <c:v>38999.590600000003</c:v>
                </c:pt>
                <c:pt idx="156">
                  <c:v>39499.584999999999</c:v>
                </c:pt>
                <c:pt idx="157">
                  <c:v>39499.557999999997</c:v>
                </c:pt>
                <c:pt idx="158">
                  <c:v>38999.606399999997</c:v>
                </c:pt>
                <c:pt idx="159">
                  <c:v>38499.605199999998</c:v>
                </c:pt>
                <c:pt idx="160">
                  <c:v>37999.572</c:v>
                </c:pt>
                <c:pt idx="161">
                  <c:v>37499.546600000001</c:v>
                </c:pt>
                <c:pt idx="162">
                  <c:v>36999.601499999997</c:v>
                </c:pt>
                <c:pt idx="163">
                  <c:v>36499.571100000001</c:v>
                </c:pt>
                <c:pt idx="164">
                  <c:v>35999.563000000002</c:v>
                </c:pt>
                <c:pt idx="165">
                  <c:v>35499.5556</c:v>
                </c:pt>
                <c:pt idx="166">
                  <c:v>34999.567000000003</c:v>
                </c:pt>
                <c:pt idx="167">
                  <c:v>34499.5602</c:v>
                </c:pt>
                <c:pt idx="168">
                  <c:v>33999.545400000003</c:v>
                </c:pt>
                <c:pt idx="169">
                  <c:v>33499.555399999997</c:v>
                </c:pt>
                <c:pt idx="170">
                  <c:v>32999.629999999997</c:v>
                </c:pt>
                <c:pt idx="171">
                  <c:v>32499.622800000001</c:v>
                </c:pt>
                <c:pt idx="172">
                  <c:v>31999.589599999999</c:v>
                </c:pt>
                <c:pt idx="173">
                  <c:v>31499.569599999999</c:v>
                </c:pt>
                <c:pt idx="174">
                  <c:v>30999.592400000001</c:v>
                </c:pt>
                <c:pt idx="175">
                  <c:v>30499.5867</c:v>
                </c:pt>
                <c:pt idx="176">
                  <c:v>29999.5628</c:v>
                </c:pt>
                <c:pt idx="177">
                  <c:v>0</c:v>
                </c:pt>
                <c:pt idx="178">
                  <c:v>28999.715899999999</c:v>
                </c:pt>
                <c:pt idx="179">
                  <c:v>28499.691200000001</c:v>
                </c:pt>
                <c:pt idx="180">
                  <c:v>27999.699700000001</c:v>
                </c:pt>
                <c:pt idx="181">
                  <c:v>27499.6963</c:v>
                </c:pt>
                <c:pt idx="182">
                  <c:v>26999.699400000001</c:v>
                </c:pt>
                <c:pt idx="183">
                  <c:v>26499.6927</c:v>
                </c:pt>
                <c:pt idx="184">
                  <c:v>25999.6895</c:v>
                </c:pt>
                <c:pt idx="185">
                  <c:v>25499.686699999998</c:v>
                </c:pt>
                <c:pt idx="186">
                  <c:v>24999.696</c:v>
                </c:pt>
                <c:pt idx="187">
                  <c:v>24499.6554</c:v>
                </c:pt>
                <c:pt idx="188">
                  <c:v>23999.6096</c:v>
                </c:pt>
                <c:pt idx="189">
                  <c:v>23499.586200000002</c:v>
                </c:pt>
                <c:pt idx="190">
                  <c:v>22999.5795</c:v>
                </c:pt>
                <c:pt idx="191">
                  <c:v>22499.552199999998</c:v>
                </c:pt>
                <c:pt idx="192">
                  <c:v>21999.607100000001</c:v>
                </c:pt>
                <c:pt idx="193">
                  <c:v>21499.605599999999</c:v>
                </c:pt>
                <c:pt idx="194">
                  <c:v>20999.593000000001</c:v>
                </c:pt>
                <c:pt idx="195">
                  <c:v>20499.583200000001</c:v>
                </c:pt>
                <c:pt idx="196">
                  <c:v>19999.598699999999</c:v>
                </c:pt>
                <c:pt idx="197">
                  <c:v>19499.600900000001</c:v>
                </c:pt>
                <c:pt idx="198">
                  <c:v>18999.5834</c:v>
                </c:pt>
                <c:pt idx="199">
                  <c:v>18499.568200000002</c:v>
                </c:pt>
                <c:pt idx="200">
                  <c:v>17999.633900000001</c:v>
                </c:pt>
                <c:pt idx="201">
                  <c:v>17499.608</c:v>
                </c:pt>
                <c:pt idx="202">
                  <c:v>16999.583200000001</c:v>
                </c:pt>
                <c:pt idx="203">
                  <c:v>16499.555</c:v>
                </c:pt>
                <c:pt idx="204">
                  <c:v>15999.5551</c:v>
                </c:pt>
                <c:pt idx="205">
                  <c:v>15499.5641</c:v>
                </c:pt>
                <c:pt idx="206">
                  <c:v>14999.561799999999</c:v>
                </c:pt>
                <c:pt idx="207">
                  <c:v>14499.564399999999</c:v>
                </c:pt>
                <c:pt idx="208">
                  <c:v>13999.604499999999</c:v>
                </c:pt>
                <c:pt idx="209">
                  <c:v>13499.5838</c:v>
                </c:pt>
                <c:pt idx="210">
                  <c:v>12999.592500000001</c:v>
                </c:pt>
                <c:pt idx="211">
                  <c:v>12499.581899999999</c:v>
                </c:pt>
                <c:pt idx="212">
                  <c:v>11999.621800000001</c:v>
                </c:pt>
                <c:pt idx="213">
                  <c:v>11499.6067</c:v>
                </c:pt>
                <c:pt idx="214">
                  <c:v>10999.5946</c:v>
                </c:pt>
                <c:pt idx="215">
                  <c:v>10499.580599999999</c:v>
                </c:pt>
                <c:pt idx="216">
                  <c:v>9999.6134000000002</c:v>
                </c:pt>
                <c:pt idx="217">
                  <c:v>9499.5918999999994</c:v>
                </c:pt>
                <c:pt idx="218">
                  <c:v>8999.5735000000004</c:v>
                </c:pt>
                <c:pt idx="219">
                  <c:v>8499.5391</c:v>
                </c:pt>
                <c:pt idx="220">
                  <c:v>7999.6412</c:v>
                </c:pt>
                <c:pt idx="221">
                  <c:v>7499.6220000000003</c:v>
                </c:pt>
                <c:pt idx="222">
                  <c:v>6999.6112999999996</c:v>
                </c:pt>
                <c:pt idx="223">
                  <c:v>6499.5802999999996</c:v>
                </c:pt>
                <c:pt idx="224">
                  <c:v>5999.5936000000002</c:v>
                </c:pt>
                <c:pt idx="225">
                  <c:v>5499.5810000000001</c:v>
                </c:pt>
                <c:pt idx="226">
                  <c:v>4999.5664999999999</c:v>
                </c:pt>
                <c:pt idx="227">
                  <c:v>4499.5367999999999</c:v>
                </c:pt>
                <c:pt idx="228">
                  <c:v>3999.56</c:v>
                </c:pt>
                <c:pt idx="229">
                  <c:v>3499.5453000000002</c:v>
                </c:pt>
                <c:pt idx="230">
                  <c:v>2999.5113999999999</c:v>
                </c:pt>
                <c:pt idx="231">
                  <c:v>2499.5185999999999</c:v>
                </c:pt>
                <c:pt idx="232">
                  <c:v>1999.5488</c:v>
                </c:pt>
                <c:pt idx="233">
                  <c:v>1499.5333000000001</c:v>
                </c:pt>
                <c:pt idx="234">
                  <c:v>999.50959999999998</c:v>
                </c:pt>
                <c:pt idx="235">
                  <c:v>499.47820000000002</c:v>
                </c:pt>
                <c:pt idx="236">
                  <c:v>499.4914</c:v>
                </c:pt>
                <c:pt idx="237">
                  <c:v>999.54750000000001</c:v>
                </c:pt>
                <c:pt idx="238">
                  <c:v>1499.5826</c:v>
                </c:pt>
                <c:pt idx="239">
                  <c:v>1999.5889999999999</c:v>
                </c:pt>
                <c:pt idx="240">
                  <c:v>2499.5571</c:v>
                </c:pt>
                <c:pt idx="241">
                  <c:v>2999.5427</c:v>
                </c:pt>
                <c:pt idx="242">
                  <c:v>3499.5657999999999</c:v>
                </c:pt>
                <c:pt idx="243">
                  <c:v>3999.5671000000002</c:v>
                </c:pt>
                <c:pt idx="244">
                  <c:v>4499.5424999999996</c:v>
                </c:pt>
                <c:pt idx="245">
                  <c:v>4999.5871999999999</c:v>
                </c:pt>
                <c:pt idx="246">
                  <c:v>5499.6010999999999</c:v>
                </c:pt>
                <c:pt idx="247">
                  <c:v>5999.6257999999998</c:v>
                </c:pt>
                <c:pt idx="248">
                  <c:v>6499.6264000000001</c:v>
                </c:pt>
                <c:pt idx="249">
                  <c:v>6999.6607999999997</c:v>
                </c:pt>
                <c:pt idx="250">
                  <c:v>7499.6817000000001</c:v>
                </c:pt>
                <c:pt idx="251">
                  <c:v>7999.6980999999996</c:v>
                </c:pt>
                <c:pt idx="252">
                  <c:v>8499.5848999999998</c:v>
                </c:pt>
                <c:pt idx="253">
                  <c:v>8999.6203000000005</c:v>
                </c:pt>
                <c:pt idx="254">
                  <c:v>9499.6308000000008</c:v>
                </c:pt>
                <c:pt idx="255">
                  <c:v>9999.6509000000005</c:v>
                </c:pt>
                <c:pt idx="256">
                  <c:v>10499.605799999999</c:v>
                </c:pt>
                <c:pt idx="257">
                  <c:v>10999.618700000001</c:v>
                </c:pt>
                <c:pt idx="258">
                  <c:v>11499.635399999999</c:v>
                </c:pt>
                <c:pt idx="259">
                  <c:v>11999.6659</c:v>
                </c:pt>
                <c:pt idx="260">
                  <c:v>12499.620199999999</c:v>
                </c:pt>
                <c:pt idx="261">
                  <c:v>12999.6374</c:v>
                </c:pt>
                <c:pt idx="262">
                  <c:v>13499.6423</c:v>
                </c:pt>
                <c:pt idx="263">
                  <c:v>13999.669099999999</c:v>
                </c:pt>
                <c:pt idx="264">
                  <c:v>14499.6216</c:v>
                </c:pt>
                <c:pt idx="265">
                  <c:v>14999.6235</c:v>
                </c:pt>
                <c:pt idx="266">
                  <c:v>15499.628000000001</c:v>
                </c:pt>
                <c:pt idx="267">
                  <c:v>15999.617200000001</c:v>
                </c:pt>
                <c:pt idx="268">
                  <c:v>16499.609400000001</c:v>
                </c:pt>
                <c:pt idx="269">
                  <c:v>16999.626199999999</c:v>
                </c:pt>
                <c:pt idx="270">
                  <c:v>17499.647000000001</c:v>
                </c:pt>
                <c:pt idx="271">
                  <c:v>17999.6643</c:v>
                </c:pt>
                <c:pt idx="272">
                  <c:v>18499.611799999999</c:v>
                </c:pt>
                <c:pt idx="273">
                  <c:v>18999.634699999999</c:v>
                </c:pt>
                <c:pt idx="274">
                  <c:v>19499.655599999998</c:v>
                </c:pt>
                <c:pt idx="275">
                  <c:v>19999.652600000001</c:v>
                </c:pt>
                <c:pt idx="276">
                  <c:v>20499.634099999999</c:v>
                </c:pt>
                <c:pt idx="277">
                  <c:v>20999.6263</c:v>
                </c:pt>
                <c:pt idx="278">
                  <c:v>21499.6348</c:v>
                </c:pt>
                <c:pt idx="279">
                  <c:v>21999.645700000001</c:v>
                </c:pt>
                <c:pt idx="280">
                  <c:v>22499.615099999999</c:v>
                </c:pt>
                <c:pt idx="281">
                  <c:v>22999.633600000001</c:v>
                </c:pt>
                <c:pt idx="282">
                  <c:v>23499.640599999999</c:v>
                </c:pt>
                <c:pt idx="283">
                  <c:v>23999.675500000001</c:v>
                </c:pt>
                <c:pt idx="284">
                  <c:v>24499.723300000001</c:v>
                </c:pt>
                <c:pt idx="285">
                  <c:v>24999.782599999999</c:v>
                </c:pt>
                <c:pt idx="286">
                  <c:v>25499.7592</c:v>
                </c:pt>
                <c:pt idx="287">
                  <c:v>25999.739799999999</c:v>
                </c:pt>
                <c:pt idx="288">
                  <c:v>26499.732400000001</c:v>
                </c:pt>
                <c:pt idx="289">
                  <c:v>26999.740900000001</c:v>
                </c:pt>
                <c:pt idx="290">
                  <c:v>27499.743699999999</c:v>
                </c:pt>
                <c:pt idx="291">
                  <c:v>27999.748</c:v>
                </c:pt>
                <c:pt idx="292">
                  <c:v>28499.7107</c:v>
                </c:pt>
                <c:pt idx="293">
                  <c:v>28999.745699999999</c:v>
                </c:pt>
                <c:pt idx="294">
                  <c:v>29499.612300000001</c:v>
                </c:pt>
                <c:pt idx="295">
                  <c:v>29999.607499999998</c:v>
                </c:pt>
                <c:pt idx="296">
                  <c:v>30499.620699999999</c:v>
                </c:pt>
                <c:pt idx="297">
                  <c:v>30999.584900000002</c:v>
                </c:pt>
                <c:pt idx="298">
                  <c:v>31499.595700000002</c:v>
                </c:pt>
                <c:pt idx="299">
                  <c:v>31999.637200000001</c:v>
                </c:pt>
                <c:pt idx="300">
                  <c:v>32499.675299999999</c:v>
                </c:pt>
                <c:pt idx="301">
                  <c:v>32999.701999999997</c:v>
                </c:pt>
                <c:pt idx="302">
                  <c:v>33499.609499999999</c:v>
                </c:pt>
                <c:pt idx="303">
                  <c:v>33999.620900000002</c:v>
                </c:pt>
                <c:pt idx="304">
                  <c:v>34499.621099999997</c:v>
                </c:pt>
                <c:pt idx="305">
                  <c:v>34999.620699999999</c:v>
                </c:pt>
                <c:pt idx="306">
                  <c:v>35499.6302</c:v>
                </c:pt>
                <c:pt idx="307">
                  <c:v>35999.625800000002</c:v>
                </c:pt>
                <c:pt idx="308">
                  <c:v>36499.642399999997</c:v>
                </c:pt>
                <c:pt idx="309">
                  <c:v>36999.6204</c:v>
                </c:pt>
                <c:pt idx="310">
                  <c:v>37499.606399999997</c:v>
                </c:pt>
                <c:pt idx="311">
                  <c:v>37999.653400000003</c:v>
                </c:pt>
                <c:pt idx="312">
                  <c:v>37999.639000000003</c:v>
                </c:pt>
                <c:pt idx="313">
                  <c:v>37499.642500000002</c:v>
                </c:pt>
                <c:pt idx="314">
                  <c:v>36999.664100000002</c:v>
                </c:pt>
                <c:pt idx="315">
                  <c:v>36499.652000000002</c:v>
                </c:pt>
                <c:pt idx="316">
                  <c:v>35999.631500000003</c:v>
                </c:pt>
                <c:pt idx="317">
                  <c:v>35499.637699999999</c:v>
                </c:pt>
                <c:pt idx="318">
                  <c:v>34999.6414</c:v>
                </c:pt>
                <c:pt idx="319">
                  <c:v>34499.599600000001</c:v>
                </c:pt>
                <c:pt idx="320">
                  <c:v>33999.592100000002</c:v>
                </c:pt>
                <c:pt idx="321">
                  <c:v>33499.585599999999</c:v>
                </c:pt>
                <c:pt idx="322">
                  <c:v>32999.673000000003</c:v>
                </c:pt>
                <c:pt idx="323">
                  <c:v>32499.6338</c:v>
                </c:pt>
                <c:pt idx="324">
                  <c:v>31999.591</c:v>
                </c:pt>
                <c:pt idx="325">
                  <c:v>31499.522199999999</c:v>
                </c:pt>
                <c:pt idx="326">
                  <c:v>30999.5232</c:v>
                </c:pt>
                <c:pt idx="327">
                  <c:v>30499.547699999999</c:v>
                </c:pt>
                <c:pt idx="328">
                  <c:v>29999.5586</c:v>
                </c:pt>
                <c:pt idx="329">
                  <c:v>29499.557100000002</c:v>
                </c:pt>
                <c:pt idx="330">
                  <c:v>28999.630099999998</c:v>
                </c:pt>
                <c:pt idx="331">
                  <c:v>28499.6152</c:v>
                </c:pt>
                <c:pt idx="332">
                  <c:v>27999.608800000002</c:v>
                </c:pt>
                <c:pt idx="333">
                  <c:v>27499.573100000001</c:v>
                </c:pt>
                <c:pt idx="334">
                  <c:v>26999.574199999999</c:v>
                </c:pt>
                <c:pt idx="335">
                  <c:v>26499.516500000002</c:v>
                </c:pt>
                <c:pt idx="336">
                  <c:v>25999.534500000002</c:v>
                </c:pt>
                <c:pt idx="337">
                  <c:v>25499.515200000002</c:v>
                </c:pt>
                <c:pt idx="338">
                  <c:v>24999.519799999998</c:v>
                </c:pt>
                <c:pt idx="339">
                  <c:v>24499.481400000001</c:v>
                </c:pt>
                <c:pt idx="340">
                  <c:v>23999.420300000002</c:v>
                </c:pt>
                <c:pt idx="341">
                  <c:v>23499.3825</c:v>
                </c:pt>
                <c:pt idx="342">
                  <c:v>22999.393599999999</c:v>
                </c:pt>
                <c:pt idx="343">
                  <c:v>22499.361199999999</c:v>
                </c:pt>
                <c:pt idx="344">
                  <c:v>21999.3822</c:v>
                </c:pt>
                <c:pt idx="345">
                  <c:v>21499.388200000001</c:v>
                </c:pt>
                <c:pt idx="346">
                  <c:v>20999.397499999999</c:v>
                </c:pt>
                <c:pt idx="347">
                  <c:v>20499.396400000001</c:v>
                </c:pt>
                <c:pt idx="348">
                  <c:v>19999.412199999999</c:v>
                </c:pt>
                <c:pt idx="349">
                  <c:v>19499.397499999999</c:v>
                </c:pt>
                <c:pt idx="350">
                  <c:v>18999.3662</c:v>
                </c:pt>
                <c:pt idx="351">
                  <c:v>18499.344799999999</c:v>
                </c:pt>
                <c:pt idx="352">
                  <c:v>17999.354899999998</c:v>
                </c:pt>
                <c:pt idx="353">
                  <c:v>17499.315999999999</c:v>
                </c:pt>
                <c:pt idx="354">
                  <c:v>16999.294600000001</c:v>
                </c:pt>
                <c:pt idx="355">
                  <c:v>16499.261900000001</c:v>
                </c:pt>
                <c:pt idx="356">
                  <c:v>15999.257</c:v>
                </c:pt>
                <c:pt idx="357">
                  <c:v>15499.259700000001</c:v>
                </c:pt>
                <c:pt idx="358">
                  <c:v>14999.237499999999</c:v>
                </c:pt>
                <c:pt idx="359">
                  <c:v>14499.240900000001</c:v>
                </c:pt>
                <c:pt idx="360">
                  <c:v>13999.2667</c:v>
                </c:pt>
                <c:pt idx="361">
                  <c:v>13499.2297</c:v>
                </c:pt>
                <c:pt idx="362">
                  <c:v>12999.2138</c:v>
                </c:pt>
                <c:pt idx="363">
                  <c:v>12499.1867</c:v>
                </c:pt>
                <c:pt idx="364">
                  <c:v>11999.2147</c:v>
                </c:pt>
                <c:pt idx="365">
                  <c:v>11499.181500000001</c:v>
                </c:pt>
                <c:pt idx="366">
                  <c:v>10999.163</c:v>
                </c:pt>
                <c:pt idx="367">
                  <c:v>10499.152700000001</c:v>
                </c:pt>
                <c:pt idx="368">
                  <c:v>9999.2073</c:v>
                </c:pt>
                <c:pt idx="369">
                  <c:v>9499.1936000000005</c:v>
                </c:pt>
                <c:pt idx="370">
                  <c:v>8999.1772000000001</c:v>
                </c:pt>
                <c:pt idx="371">
                  <c:v>8499.1538999999993</c:v>
                </c:pt>
                <c:pt idx="372">
                  <c:v>7999.2417999999998</c:v>
                </c:pt>
                <c:pt idx="373">
                  <c:v>7499.2174000000005</c:v>
                </c:pt>
                <c:pt idx="374">
                  <c:v>6999.1926999999996</c:v>
                </c:pt>
                <c:pt idx="375">
                  <c:v>6499.1485000000002</c:v>
                </c:pt>
                <c:pt idx="376">
                  <c:v>5999.1576999999997</c:v>
                </c:pt>
                <c:pt idx="377">
                  <c:v>5499.1306000000004</c:v>
                </c:pt>
                <c:pt idx="378">
                  <c:v>4999.1139999999996</c:v>
                </c:pt>
                <c:pt idx="379">
                  <c:v>4499.0663999999997</c:v>
                </c:pt>
                <c:pt idx="380">
                  <c:v>3999.1052</c:v>
                </c:pt>
                <c:pt idx="381">
                  <c:v>3499.1073999999999</c:v>
                </c:pt>
                <c:pt idx="382">
                  <c:v>2999.0844000000002</c:v>
                </c:pt>
                <c:pt idx="383">
                  <c:v>2499.0947000000001</c:v>
                </c:pt>
                <c:pt idx="384">
                  <c:v>1999.1382000000001</c:v>
                </c:pt>
                <c:pt idx="385">
                  <c:v>1499.1111000000001</c:v>
                </c:pt>
                <c:pt idx="386">
                  <c:v>999.08</c:v>
                </c:pt>
                <c:pt idx="387">
                  <c:v>499.03030000000001</c:v>
                </c:pt>
              </c:numCache>
            </c:numRef>
          </c:xVal>
          <c:yVal>
            <c:numRef>
              <c:f>DataPaste!$S$3:$S$390</c:f>
              <c:numCache>
                <c:formatCode>General</c:formatCode>
                <c:ptCount val="388"/>
                <c:pt idx="0">
                  <c:v>-1.0095999999975902E-2</c:v>
                </c:pt>
                <c:pt idx="1">
                  <c:v>5.4509999999936554E-3</c:v>
                </c:pt>
                <c:pt idx="2">
                  <c:v>1.6560000001391018E-3</c:v>
                </c:pt>
                <c:pt idx="3">
                  <c:v>1.30500000000211E-3</c:v>
                </c:pt>
                <c:pt idx="4">
                  <c:v>3.2909999999901629E-3</c:v>
                </c:pt>
                <c:pt idx="5">
                  <c:v>3.5319999999501306E-3</c:v>
                </c:pt>
                <c:pt idx="6">
                  <c:v>4.3350000000828004E-3</c:v>
                </c:pt>
                <c:pt idx="7">
                  <c:v>7.198000000016691E-3</c:v>
                </c:pt>
                <c:pt idx="8">
                  <c:v>-2.3479999999835854E-3</c:v>
                </c:pt>
                <c:pt idx="9">
                  <c:v>9.2300000005707261E-4</c:v>
                </c:pt>
                <c:pt idx="10">
                  <c:v>2.3969999999735592E-3</c:v>
                </c:pt>
                <c:pt idx="11">
                  <c:v>7.8599999983453017E-4</c:v>
                </c:pt>
                <c:pt idx="12">
                  <c:v>-1.2180000001080771E-3</c:v>
                </c:pt>
                <c:pt idx="13">
                  <c:v>2.1030000000337168E-3</c:v>
                </c:pt>
                <c:pt idx="14">
                  <c:v>-9.1700000007222116E-4</c:v>
                </c:pt>
                <c:pt idx="15">
                  <c:v>1.7550000000028376E-3</c:v>
                </c:pt>
                <c:pt idx="16">
                  <c:v>-1.1520000000473374E-3</c:v>
                </c:pt>
                <c:pt idx="17">
                  <c:v>-6.5700000004653702E-4</c:v>
                </c:pt>
                <c:pt idx="18">
                  <c:v>3.8699999981872679E-4</c:v>
                </c:pt>
                <c:pt idx="19">
                  <c:v>3.6700000009659561E-4</c:v>
                </c:pt>
                <c:pt idx="20">
                  <c:v>-1.1099999983343878E-4</c:v>
                </c:pt>
                <c:pt idx="21">
                  <c:v>-1.2480000000323344E-3</c:v>
                </c:pt>
                <c:pt idx="22">
                  <c:v>1.0799999995469989E-4</c:v>
                </c:pt>
                <c:pt idx="23">
                  <c:v>1.5009999999620049E-3</c:v>
                </c:pt>
                <c:pt idx="24">
                  <c:v>5.2899999991495861E-4</c:v>
                </c:pt>
                <c:pt idx="25">
                  <c:v>2.1260000000893342E-3</c:v>
                </c:pt>
                <c:pt idx="26">
                  <c:v>5.994000000100641E-3</c:v>
                </c:pt>
                <c:pt idx="27">
                  <c:v>3.9659999999912543E-3</c:v>
                </c:pt>
                <c:pt idx="28">
                  <c:v>3.9280000000871951E-3</c:v>
                </c:pt>
                <c:pt idx="29">
                  <c:v>5.9370000001308654E-3</c:v>
                </c:pt>
                <c:pt idx="30">
                  <c:v>1.0068000000046595E-2</c:v>
                </c:pt>
                <c:pt idx="31">
                  <c:v>8.0349999998361454E-3</c:v>
                </c:pt>
                <c:pt idx="32">
                  <c:v>8.5540000000037253E-3</c:v>
                </c:pt>
                <c:pt idx="33">
                  <c:v>1.5212999999903332E-2</c:v>
                </c:pt>
                <c:pt idx="34">
                  <c:v>1.110900000003312E-2</c:v>
                </c:pt>
                <c:pt idx="35">
                  <c:v>2.4478000000044631E-2</c:v>
                </c:pt>
                <c:pt idx="36">
                  <c:v>1.9202000000177577E-2</c:v>
                </c:pt>
                <c:pt idx="37">
                  <c:v>2.7721000000155982E-2</c:v>
                </c:pt>
                <c:pt idx="38">
                  <c:v>2.9832000000169501E-2</c:v>
                </c:pt>
                <c:pt idx="39">
                  <c:v>1.7659000000094238E-2</c:v>
                </c:pt>
                <c:pt idx="40">
                  <c:v>3.5743000000138636E-2</c:v>
                </c:pt>
                <c:pt idx="41">
                  <c:v>2.6990999999952692E-2</c:v>
                </c:pt>
                <c:pt idx="42">
                  <c:v>1.5721999999868785E-2</c:v>
                </c:pt>
                <c:pt idx="43">
                  <c:v>2.4500999999872874E-2</c:v>
                </c:pt>
                <c:pt idx="44">
                  <c:v>2.8379999998833227E-3</c:v>
                </c:pt>
                <c:pt idx="45">
                  <c:v>3.1786999999894761E-2</c:v>
                </c:pt>
                <c:pt idx="46">
                  <c:v>1.8948000000136744E-2</c:v>
                </c:pt>
                <c:pt idx="47">
                  <c:v>5.9085999999979322E-2</c:v>
                </c:pt>
                <c:pt idx="48">
                  <c:v>1.9133000000010725E-2</c:v>
                </c:pt>
                <c:pt idx="49">
                  <c:v>3.8746999999830223E-2</c:v>
                </c:pt>
                <c:pt idx="50">
                  <c:v>5.9203000000024986E-2</c:v>
                </c:pt>
                <c:pt idx="51">
                  <c:v>2.9501999999865802E-2</c:v>
                </c:pt>
                <c:pt idx="52">
                  <c:v>2.747599999997874E-2</c:v>
                </c:pt>
                <c:pt idx="53">
                  <c:v>8.9023999999881198E-2</c:v>
                </c:pt>
                <c:pt idx="54">
                  <c:v>4.9081999999998516E-2</c:v>
                </c:pt>
                <c:pt idx="55">
                  <c:v>1.5718999999990046E-2</c:v>
                </c:pt>
                <c:pt idx="56">
                  <c:v>6.0715000000072905E-2</c:v>
                </c:pt>
                <c:pt idx="57">
                  <c:v>5.0476000000116983E-2</c:v>
                </c:pt>
                <c:pt idx="58">
                  <c:v>4.8315000000002328E-2</c:v>
                </c:pt>
                <c:pt idx="59">
                  <c:v>4.5611000000008062E-2</c:v>
                </c:pt>
                <c:pt idx="60">
                  <c:v>3.3595999999988635E-2</c:v>
                </c:pt>
                <c:pt idx="61">
                  <c:v>6.3189999999849533E-2</c:v>
                </c:pt>
                <c:pt idx="62">
                  <c:v>-1.786000000038257E-3</c:v>
                </c:pt>
                <c:pt idx="63">
                  <c:v>7.0962000000008629E-2</c:v>
                </c:pt>
                <c:pt idx="64">
                  <c:v>2.832300000000032E-2</c:v>
                </c:pt>
                <c:pt idx="65">
                  <c:v>9.0269000000034794E-2</c:v>
                </c:pt>
                <c:pt idx="66">
                  <c:v>5.9709999999995489E-2</c:v>
                </c:pt>
                <c:pt idx="67">
                  <c:v>3.8850999999795022E-2</c:v>
                </c:pt>
                <c:pt idx="68">
                  <c:v>6.3669000000118103E-2</c:v>
                </c:pt>
                <c:pt idx="69">
                  <c:v>1.7942999999831954E-2</c:v>
                </c:pt>
                <c:pt idx="70">
                  <c:v>2.7160000000094442E-2</c:v>
                </c:pt>
                <c:pt idx="71">
                  <c:v>1.3236000000006243E-2</c:v>
                </c:pt>
                <c:pt idx="72">
                  <c:v>3.1880999999884807E-2</c:v>
                </c:pt>
                <c:pt idx="73">
                  <c:v>8.1595000000106666E-2</c:v>
                </c:pt>
                <c:pt idx="74">
                  <c:v>9.7773999999844818E-2</c:v>
                </c:pt>
                <c:pt idx="75">
                  <c:v>4.5580999999856431E-2</c:v>
                </c:pt>
                <c:pt idx="76">
                  <c:v>6.3801999999895997E-2</c:v>
                </c:pt>
                <c:pt idx="77">
                  <c:v>5.2333999999973457E-2</c:v>
                </c:pt>
                <c:pt idx="78">
                  <c:v>-2.2847000000183471E-2</c:v>
                </c:pt>
                <c:pt idx="79">
                  <c:v>-5.1869000000124288E-2</c:v>
                </c:pt>
                <c:pt idx="80">
                  <c:v>2.8626999999914915E-2</c:v>
                </c:pt>
                <c:pt idx="81">
                  <c:v>-1.4691999999968175E-2</c:v>
                </c:pt>
                <c:pt idx="82">
                  <c:v>-4.9753000000009706E-2</c:v>
                </c:pt>
                <c:pt idx="83">
                  <c:v>-4.3298000000049797E-2</c:v>
                </c:pt>
                <c:pt idx="84">
                  <c:v>-7.4476000000004206E-2</c:v>
                </c:pt>
                <c:pt idx="85">
                  <c:v>4.3820000000778236E-3</c:v>
                </c:pt>
                <c:pt idx="86">
                  <c:v>-1.6663999999991574E-2</c:v>
                </c:pt>
                <c:pt idx="87">
                  <c:v>-5.6779999999889696E-3</c:v>
                </c:pt>
                <c:pt idx="88">
                  <c:v>-5.0091999999949621E-2</c:v>
                </c:pt>
                <c:pt idx="89">
                  <c:v>1.4712000000145053E-2</c:v>
                </c:pt>
                <c:pt idx="90">
                  <c:v>1.4828999999963344E-2</c:v>
                </c:pt>
                <c:pt idx="91">
                  <c:v>-4.2975999999953274E-2</c:v>
                </c:pt>
                <c:pt idx="92">
                  <c:v>-2.0931000000018685E-2</c:v>
                </c:pt>
                <c:pt idx="93">
                  <c:v>-4.8464999999850988E-2</c:v>
                </c:pt>
                <c:pt idx="94">
                  <c:v>-2.3955999999998312E-2</c:v>
                </c:pt>
                <c:pt idx="95">
                  <c:v>-3.1236999999919135E-2</c:v>
                </c:pt>
                <c:pt idx="96">
                  <c:v>-1.7340000000103828E-2</c:v>
                </c:pt>
                <c:pt idx="97">
                  <c:v>-4.5440999999982523E-2</c:v>
                </c:pt>
                <c:pt idx="98">
                  <c:v>-2.3725000000013097E-2</c:v>
                </c:pt>
                <c:pt idx="99">
                  <c:v>-4.1332999999895037E-2</c:v>
                </c:pt>
                <c:pt idx="100">
                  <c:v>-2.3499999997511622E-4</c:v>
                </c:pt>
                <c:pt idx="101">
                  <c:v>-2.2229000000152155E-2</c:v>
                </c:pt>
                <c:pt idx="102">
                  <c:v>-1.0451000000102795E-2</c:v>
                </c:pt>
                <c:pt idx="103">
                  <c:v>-5.1388999999971929E-2</c:v>
                </c:pt>
                <c:pt idx="104">
                  <c:v>-2.9136000000107742E-2</c:v>
                </c:pt>
                <c:pt idx="105">
                  <c:v>-2.1285999999918204E-2</c:v>
                </c:pt>
                <c:pt idx="106">
                  <c:v>-1.7135000000052969E-2</c:v>
                </c:pt>
                <c:pt idx="107">
                  <c:v>-2.9708000000027823E-2</c:v>
                </c:pt>
                <c:pt idx="108">
                  <c:v>-2.2731000000021595E-2</c:v>
                </c:pt>
                <c:pt idx="109">
                  <c:v>-1.2484000000085871E-2</c:v>
                </c:pt>
                <c:pt idx="110">
                  <c:v>-4.1991000000052736E-2</c:v>
                </c:pt>
                <c:pt idx="111">
                  <c:v>-2.3502000000007683E-2</c:v>
                </c:pt>
                <c:pt idx="112">
                  <c:v>-2.5736999999935506E-2</c:v>
                </c:pt>
                <c:pt idx="113">
                  <c:v>-3.2237000000122862E-2</c:v>
                </c:pt>
                <c:pt idx="114">
                  <c:v>-2.298600000017359E-2</c:v>
                </c:pt>
                <c:pt idx="115">
                  <c:v>-4.1666999999961263E-2</c:v>
                </c:pt>
                <c:pt idx="116">
                  <c:v>-2.8947000000016487E-2</c:v>
                </c:pt>
                <c:pt idx="117">
                  <c:v>-1.545599999985825E-2</c:v>
                </c:pt>
                <c:pt idx="118">
                  <c:v>-1.3206000000081985E-2</c:v>
                </c:pt>
                <c:pt idx="119">
                  <c:v>-5.1169999999274296E-3</c:v>
                </c:pt>
                <c:pt idx="120">
                  <c:v>-2.1694000000024971E-2</c:v>
                </c:pt>
                <c:pt idx="121">
                  <c:v>-1.5310999999883279E-2</c:v>
                </c:pt>
                <c:pt idx="122">
                  <c:v>-1.4379999999846405E-2</c:v>
                </c:pt>
                <c:pt idx="123">
                  <c:v>-1.9096999999874242E-2</c:v>
                </c:pt>
                <c:pt idx="124">
                  <c:v>-6.45699999995486E-3</c:v>
                </c:pt>
                <c:pt idx="125">
                  <c:v>-9.3170000000100117E-3</c:v>
                </c:pt>
                <c:pt idx="126">
                  <c:v>-8.497999999917738E-3</c:v>
                </c:pt>
                <c:pt idx="127">
                  <c:v>-1.9911000000092827E-2</c:v>
                </c:pt>
                <c:pt idx="128">
                  <c:v>-9.3399999998382555E-3</c:v>
                </c:pt>
                <c:pt idx="129">
                  <c:v>-2.797999999984313E-3</c:v>
                </c:pt>
                <c:pt idx="130">
                  <c:v>-4.9930000000131258E-3</c:v>
                </c:pt>
                <c:pt idx="131">
                  <c:v>-3.9669999998750427E-3</c:v>
                </c:pt>
                <c:pt idx="132">
                  <c:v>-2.6539999998931307E-3</c:v>
                </c:pt>
                <c:pt idx="133">
                  <c:v>-3.8130000000364817E-3</c:v>
                </c:pt>
                <c:pt idx="134">
                  <c:v>-3.6480000001120061E-3</c:v>
                </c:pt>
                <c:pt idx="135">
                  <c:v>-3.8630000001376175E-3</c:v>
                </c:pt>
                <c:pt idx="136">
                  <c:v>-2.3410000001149456E-3</c:v>
                </c:pt>
                <c:pt idx="137">
                  <c:v>-3.0050000000301225E-3</c:v>
                </c:pt>
                <c:pt idx="138">
                  <c:v>-2.9580000000350992E-3</c:v>
                </c:pt>
                <c:pt idx="139">
                  <c:v>-6.0320000000047003E-3</c:v>
                </c:pt>
                <c:pt idx="140">
                  <c:v>-2.1659999999883439E-3</c:v>
                </c:pt>
                <c:pt idx="141">
                  <c:v>-2.5700000001052103E-3</c:v>
                </c:pt>
                <c:pt idx="142">
                  <c:v>-4.4740000000729196E-3</c:v>
                </c:pt>
                <c:pt idx="143">
                  <c:v>1.7307000000073458E-2</c:v>
                </c:pt>
                <c:pt idx="144">
                  <c:v>-4.6469999999771971E-3</c:v>
                </c:pt>
                <c:pt idx="145">
                  <c:v>-6.3709999999446154E-3</c:v>
                </c:pt>
                <c:pt idx="146">
                  <c:v>-5.709000000024389E-3</c:v>
                </c:pt>
                <c:pt idx="147">
                  <c:v>-4.4309999998404237E-3</c:v>
                </c:pt>
                <c:pt idx="148">
                  <c:v>-5.6940000001759472E-3</c:v>
                </c:pt>
                <c:pt idx="149">
                  <c:v>-8.7699999999131251E-3</c:v>
                </c:pt>
                <c:pt idx="150">
                  <c:v>-6.9399999999859574E-3</c:v>
                </c:pt>
                <c:pt idx="151">
                  <c:v>-1.0667000000012195E-2</c:v>
                </c:pt>
                <c:pt idx="152">
                  <c:v>-7.679000000052838E-3</c:v>
                </c:pt>
                <c:pt idx="153">
                  <c:v>-8.6370000001352309E-3</c:v>
                </c:pt>
                <c:pt idx="154">
                  <c:v>-7.6330000001689768E-3</c:v>
                </c:pt>
                <c:pt idx="155">
                  <c:v>-1.294899999993504E-2</c:v>
                </c:pt>
                <c:pt idx="156">
                  <c:v>-1.1874000000034357E-2</c:v>
                </c:pt>
                <c:pt idx="157">
                  <c:v>1.496999999972104E-3</c:v>
                </c:pt>
                <c:pt idx="158">
                  <c:v>4.6620000000530126E-3</c:v>
                </c:pt>
                <c:pt idx="159">
                  <c:v>6.1789999999746215E-3</c:v>
                </c:pt>
                <c:pt idx="160">
                  <c:v>1.4159999998355488E-3</c:v>
                </c:pt>
                <c:pt idx="161">
                  <c:v>5.6139999999231804E-3</c:v>
                </c:pt>
                <c:pt idx="162">
                  <c:v>7.5229999999919528E-3</c:v>
                </c:pt>
                <c:pt idx="163">
                  <c:v>3.1099999998787098E-3</c:v>
                </c:pt>
                <c:pt idx="164">
                  <c:v>4.02299999996103E-3</c:v>
                </c:pt>
                <c:pt idx="165">
                  <c:v>1.870000000053551E-3</c:v>
                </c:pt>
                <c:pt idx="166">
                  <c:v>1.1689999998907297E-3</c:v>
                </c:pt>
                <c:pt idx="167">
                  <c:v>-1.9299999985378236E-4</c:v>
                </c:pt>
                <c:pt idx="168">
                  <c:v>8.7999999982457666E-4</c:v>
                </c:pt>
                <c:pt idx="169">
                  <c:v>4.0500000000065484E-4</c:v>
                </c:pt>
                <c:pt idx="170">
                  <c:v>2.0414999999957217E-2</c:v>
                </c:pt>
                <c:pt idx="171">
                  <c:v>1.7999999954554369E-5</c:v>
                </c:pt>
                <c:pt idx="172">
                  <c:v>-3.1599999988429772E-4</c:v>
                </c:pt>
                <c:pt idx="173">
                  <c:v>-2.9100000006110349E-4</c:v>
                </c:pt>
                <c:pt idx="174">
                  <c:v>3.1759999999394495E-3</c:v>
                </c:pt>
                <c:pt idx="175">
                  <c:v>2.7900000009140058E-4</c:v>
                </c:pt>
                <c:pt idx="176">
                  <c:v>1.2399999991430377E-4</c:v>
                </c:pt>
                <c:pt idx="178">
                  <c:v>-2.3879999998825951E-3</c:v>
                </c:pt>
                <c:pt idx="179">
                  <c:v>-8.6000000010244548E-5</c:v>
                </c:pt>
                <c:pt idx="180">
                  <c:v>-2.0999999992454832E-4</c:v>
                </c:pt>
                <c:pt idx="181">
                  <c:v>-3.1370000001516019E-3</c:v>
                </c:pt>
                <c:pt idx="182">
                  <c:v>-1.0354999999890424E-2</c:v>
                </c:pt>
                <c:pt idx="183">
                  <c:v>-6.2060000000201399E-3</c:v>
                </c:pt>
                <c:pt idx="184">
                  <c:v>-5.6549999999333522E-3</c:v>
                </c:pt>
                <c:pt idx="185">
                  <c:v>-5.5919999999787251E-3</c:v>
                </c:pt>
                <c:pt idx="186">
                  <c:v>-2.0000999999865599E-2</c:v>
                </c:pt>
                <c:pt idx="187">
                  <c:v>-6.5440000000762666E-3</c:v>
                </c:pt>
                <c:pt idx="188">
                  <c:v>-1.4691999999968175E-2</c:v>
                </c:pt>
                <c:pt idx="189">
                  <c:v>-1.319999999986976E-2</c:v>
                </c:pt>
                <c:pt idx="190">
                  <c:v>-4.3092999999998938E-2</c:v>
                </c:pt>
                <c:pt idx="191">
                  <c:v>-1.457099999993261E-2</c:v>
                </c:pt>
                <c:pt idx="192">
                  <c:v>-1.5333000000055108E-2</c:v>
                </c:pt>
                <c:pt idx="193">
                  <c:v>-2.1719000000075539E-2</c:v>
                </c:pt>
                <c:pt idx="194">
                  <c:v>-2.1081999999978507E-2</c:v>
                </c:pt>
                <c:pt idx="195">
                  <c:v>-3.2257999999956155E-2</c:v>
                </c:pt>
                <c:pt idx="196">
                  <c:v>-3.3698999999842272E-2</c:v>
                </c:pt>
                <c:pt idx="197">
                  <c:v>-4.1244999999889842E-2</c:v>
                </c:pt>
                <c:pt idx="198">
                  <c:v>-4.1165999999975611E-2</c:v>
                </c:pt>
                <c:pt idx="199">
                  <c:v>-5.3308999999899243E-2</c:v>
                </c:pt>
                <c:pt idx="200">
                  <c:v>-5.879400000003443E-2</c:v>
                </c:pt>
                <c:pt idx="201">
                  <c:v>-3.8931000000047788E-2</c:v>
                </c:pt>
                <c:pt idx="202">
                  <c:v>-4.7837000000072294E-2</c:v>
                </c:pt>
                <c:pt idx="203">
                  <c:v>-5.2909999999883439E-2</c:v>
                </c:pt>
                <c:pt idx="204">
                  <c:v>-6.3189000000193118E-2</c:v>
                </c:pt>
                <c:pt idx="205">
                  <c:v>-6.3079999999899883E-2</c:v>
                </c:pt>
                <c:pt idx="206">
                  <c:v>-4.8326000000088243E-2</c:v>
                </c:pt>
                <c:pt idx="207">
                  <c:v>-4.3977000000040789E-2</c:v>
                </c:pt>
                <c:pt idx="208">
                  <c:v>-0.10077299999989009</c:v>
                </c:pt>
                <c:pt idx="209">
                  <c:v>-7.0812999999816384E-2</c:v>
                </c:pt>
                <c:pt idx="210">
                  <c:v>-0.11436900000012429</c:v>
                </c:pt>
                <c:pt idx="211">
                  <c:v>-8.9225999999825945E-2</c:v>
                </c:pt>
                <c:pt idx="212">
                  <c:v>-9.1102000000091721E-2</c:v>
                </c:pt>
                <c:pt idx="213">
                  <c:v>-0.10017500000003565</c:v>
                </c:pt>
                <c:pt idx="214">
                  <c:v>-7.5286000000005515E-2</c:v>
                </c:pt>
                <c:pt idx="215">
                  <c:v>-0.11464599999999336</c:v>
                </c:pt>
                <c:pt idx="216">
                  <c:v>-8.8619000000107917E-2</c:v>
                </c:pt>
                <c:pt idx="217">
                  <c:v>-0.12824799999998504</c:v>
                </c:pt>
                <c:pt idx="218">
                  <c:v>-0.1079059999999572</c:v>
                </c:pt>
                <c:pt idx="219">
                  <c:v>-0.15293599999995422</c:v>
                </c:pt>
                <c:pt idx="220">
                  <c:v>-0.12130699999988792</c:v>
                </c:pt>
                <c:pt idx="221">
                  <c:v>-0.11896100000012666</c:v>
                </c:pt>
                <c:pt idx="222">
                  <c:v>-0.11775600000009945</c:v>
                </c:pt>
                <c:pt idx="223">
                  <c:v>-0.10568199999988792</c:v>
                </c:pt>
                <c:pt idx="224">
                  <c:v>-0.14252699999997276</c:v>
                </c:pt>
                <c:pt idx="225">
                  <c:v>-0.12902699999995093</c:v>
                </c:pt>
                <c:pt idx="226">
                  <c:v>-0.10982400000011694</c:v>
                </c:pt>
                <c:pt idx="227">
                  <c:v>-0.14504499999998188</c:v>
                </c:pt>
                <c:pt idx="228">
                  <c:v>-0.11568499999998494</c:v>
                </c:pt>
                <c:pt idx="229">
                  <c:v>-9.6326000000090062E-2</c:v>
                </c:pt>
                <c:pt idx="230">
                  <c:v>-0.12918899999999667</c:v>
                </c:pt>
                <c:pt idx="231">
                  <c:v>-0.11835800000017116</c:v>
                </c:pt>
                <c:pt idx="232">
                  <c:v>-9.9054000000023734E-2</c:v>
                </c:pt>
                <c:pt idx="233">
                  <c:v>-9.9680000000034852E-2</c:v>
                </c:pt>
                <c:pt idx="234">
                  <c:v>-0.12920800000006238</c:v>
                </c:pt>
                <c:pt idx="235">
                  <c:v>-9.8613999999997759E-2</c:v>
                </c:pt>
                <c:pt idx="236">
                  <c:v>-0.12819600000011633</c:v>
                </c:pt>
                <c:pt idx="237">
                  <c:v>-0.11410200000000259</c:v>
                </c:pt>
                <c:pt idx="238">
                  <c:v>-0.11146900000017013</c:v>
                </c:pt>
                <c:pt idx="239">
                  <c:v>-8.4734000000025844E-2</c:v>
                </c:pt>
                <c:pt idx="240">
                  <c:v>-9.8786000000018248E-2</c:v>
                </c:pt>
                <c:pt idx="241">
                  <c:v>-9.057000000007065E-2</c:v>
                </c:pt>
                <c:pt idx="242">
                  <c:v>-7.5943000000052052E-2</c:v>
                </c:pt>
                <c:pt idx="243">
                  <c:v>-4.1377000000011321E-2</c:v>
                </c:pt>
                <c:pt idx="244">
                  <c:v>-5.8416999999963082E-2</c:v>
                </c:pt>
                <c:pt idx="245">
                  <c:v>-9.829899999999725E-2</c:v>
                </c:pt>
                <c:pt idx="246">
                  <c:v>-1.6960000000153741E-2</c:v>
                </c:pt>
                <c:pt idx="247">
                  <c:v>-4.3683000000100947E-2</c:v>
                </c:pt>
                <c:pt idx="248">
                  <c:v>-4.7870000000102664E-2</c:v>
                </c:pt>
                <c:pt idx="249">
                  <c:v>-4.0639999999939391E-2</c:v>
                </c:pt>
                <c:pt idx="250">
                  <c:v>-6.0442999999850144E-2</c:v>
                </c:pt>
                <c:pt idx="251">
                  <c:v>-1.230600000008053E-2</c:v>
                </c:pt>
                <c:pt idx="252">
                  <c:v>-1.8826999999873806E-2</c:v>
                </c:pt>
                <c:pt idx="253">
                  <c:v>7.9610000000229775E-3</c:v>
                </c:pt>
                <c:pt idx="254">
                  <c:v>-5.2239999999983411E-3</c:v>
                </c:pt>
                <c:pt idx="255">
                  <c:v>4.0306999999984328E-2</c:v>
                </c:pt>
                <c:pt idx="256">
                  <c:v>2.3661000000174681E-2</c:v>
                </c:pt>
                <c:pt idx="257">
                  <c:v>3.9425999999821215E-2</c:v>
                </c:pt>
                <c:pt idx="258">
                  <c:v>1.703100000008817E-2</c:v>
                </c:pt>
                <c:pt idx="259">
                  <c:v>5.5607000000009066E-2</c:v>
                </c:pt>
                <c:pt idx="260">
                  <c:v>2.8508999999985463E-2</c:v>
                </c:pt>
                <c:pt idx="261">
                  <c:v>3.665099999989252E-2</c:v>
                </c:pt>
                <c:pt idx="262">
                  <c:v>4.6190999999907945E-2</c:v>
                </c:pt>
                <c:pt idx="263">
                  <c:v>5.3871000000071945E-2</c:v>
                </c:pt>
                <c:pt idx="264">
                  <c:v>3.6340999999993073E-2</c:v>
                </c:pt>
                <c:pt idx="265">
                  <c:v>2.8381000000081258E-2</c:v>
                </c:pt>
                <c:pt idx="266">
                  <c:v>2.402099999994789E-2</c:v>
                </c:pt>
                <c:pt idx="267">
                  <c:v>2.3161000000072818E-2</c:v>
                </c:pt>
                <c:pt idx="268">
                  <c:v>2.6026000000001659E-2</c:v>
                </c:pt>
                <c:pt idx="269">
                  <c:v>1.7806999999947948E-2</c:v>
                </c:pt>
                <c:pt idx="270">
                  <c:v>3.2139999999799329E-2</c:v>
                </c:pt>
                <c:pt idx="271">
                  <c:v>2.1723999999949228E-2</c:v>
                </c:pt>
                <c:pt idx="272">
                  <c:v>1.8465999999989435E-2</c:v>
                </c:pt>
                <c:pt idx="273">
                  <c:v>5.3249999998570274E-3</c:v>
                </c:pt>
                <c:pt idx="274">
                  <c:v>1.5282999999953972E-2</c:v>
                </c:pt>
                <c:pt idx="275">
                  <c:v>1.6928999999890948E-2</c:v>
                </c:pt>
                <c:pt idx="276">
                  <c:v>5.5370000000038999E-3</c:v>
                </c:pt>
                <c:pt idx="277">
                  <c:v>1.0021000000051572E-2</c:v>
                </c:pt>
                <c:pt idx="278">
                  <c:v>1.0136000000102285E-2</c:v>
                </c:pt>
                <c:pt idx="279">
                  <c:v>4.8039999999218708E-3</c:v>
                </c:pt>
                <c:pt idx="280">
                  <c:v>1.7290000000684813E-3</c:v>
                </c:pt>
                <c:pt idx="281">
                  <c:v>-1.0168999999905282E-2</c:v>
                </c:pt>
                <c:pt idx="282">
                  <c:v>4.3160000000170839E-3</c:v>
                </c:pt>
                <c:pt idx="283">
                  <c:v>-2.6500000012674718E-4</c:v>
                </c:pt>
                <c:pt idx="284">
                  <c:v>3.2080000000860309E-3</c:v>
                </c:pt>
                <c:pt idx="285">
                  <c:v>1.5999999982341251E-4</c:v>
                </c:pt>
                <c:pt idx="286">
                  <c:v>1.5110000001641311E-3</c:v>
                </c:pt>
                <c:pt idx="287">
                  <c:v>3.2600000008642382E-4</c:v>
                </c:pt>
                <c:pt idx="288">
                  <c:v>8.4900000001653098E-4</c:v>
                </c:pt>
                <c:pt idx="289">
                  <c:v>9.1519999998581625E-3</c:v>
                </c:pt>
                <c:pt idx="290">
                  <c:v>-1.2100000003556488E-4</c:v>
                </c:pt>
                <c:pt idx="291">
                  <c:v>1.025000000026921E-3</c:v>
                </c:pt>
                <c:pt idx="292">
                  <c:v>5.8500000000094587E-4</c:v>
                </c:pt>
                <c:pt idx="293">
                  <c:v>3.716999999824111E-3</c:v>
                </c:pt>
                <c:pt idx="294">
                  <c:v>1.3699999999516876E-4</c:v>
                </c:pt>
                <c:pt idx="295">
                  <c:v>1.5400000006593473E-4</c:v>
                </c:pt>
                <c:pt idx="296">
                  <c:v>-7.9000000141604687E-5</c:v>
                </c:pt>
                <c:pt idx="297">
                  <c:v>1.2199999991935329E-4</c:v>
                </c:pt>
                <c:pt idx="298">
                  <c:v>3.8199999994503742E-4</c:v>
                </c:pt>
                <c:pt idx="299">
                  <c:v>-3.6000000136482413E-5</c:v>
                </c:pt>
                <c:pt idx="300">
                  <c:v>7.8600000006190385E-4</c:v>
                </c:pt>
                <c:pt idx="301">
                  <c:v>9.3929999998181302E-3</c:v>
                </c:pt>
                <c:pt idx="302">
                  <c:v>1.1379999998553103E-3</c:v>
                </c:pt>
                <c:pt idx="303">
                  <c:v>2.8099999999540159E-3</c:v>
                </c:pt>
                <c:pt idx="304">
                  <c:v>3.2629999998334824E-3</c:v>
                </c:pt>
                <c:pt idx="305">
                  <c:v>-1.125000000001819E-3</c:v>
                </c:pt>
                <c:pt idx="306">
                  <c:v>1.0369000000082451E-2</c:v>
                </c:pt>
                <c:pt idx="307">
                  <c:v>8.2139999999526481E-3</c:v>
                </c:pt>
                <c:pt idx="308">
                  <c:v>1.6346000000112326E-2</c:v>
                </c:pt>
                <c:pt idx="309">
                  <c:v>6.3030000001162989E-3</c:v>
                </c:pt>
                <c:pt idx="310">
                  <c:v>1.0768000000098255E-2</c:v>
                </c:pt>
                <c:pt idx="311">
                  <c:v>6.9410000000971195E-3</c:v>
                </c:pt>
                <c:pt idx="312">
                  <c:v>-4.1160000000672881E-3</c:v>
                </c:pt>
                <c:pt idx="313">
                  <c:v>-2.6119999999991705E-3</c:v>
                </c:pt>
                <c:pt idx="314">
                  <c:v>1.4330000001336884E-3</c:v>
                </c:pt>
                <c:pt idx="315">
                  <c:v>-1.3599999988400668E-4</c:v>
                </c:pt>
                <c:pt idx="316">
                  <c:v>-3.3899999993991514E-4</c:v>
                </c:pt>
                <c:pt idx="317">
                  <c:v>-4.3799999998554995E-3</c:v>
                </c:pt>
                <c:pt idx="318">
                  <c:v>-3.3520000001772132E-3</c:v>
                </c:pt>
                <c:pt idx="319">
                  <c:v>1.05000000075961E-4</c:v>
                </c:pt>
                <c:pt idx="320">
                  <c:v>-2.4789999999939027E-3</c:v>
                </c:pt>
                <c:pt idx="321">
                  <c:v>-1.0110000000622676E-3</c:v>
                </c:pt>
                <c:pt idx="322">
                  <c:v>-8.4000000001651642E-3</c:v>
                </c:pt>
                <c:pt idx="323">
                  <c:v>-3.2899999996516271E-4</c:v>
                </c:pt>
                <c:pt idx="324">
                  <c:v>-7.9000000005180482E-4</c:v>
                </c:pt>
                <c:pt idx="325">
                  <c:v>-9.6600000006219489E-4</c:v>
                </c:pt>
                <c:pt idx="326">
                  <c:v>-3.3588000000008833E-2</c:v>
                </c:pt>
                <c:pt idx="327">
                  <c:v>-3.2499999997526174E-4</c:v>
                </c:pt>
                <c:pt idx="328">
                  <c:v>1.1999999969702912E-5</c:v>
                </c:pt>
                <c:pt idx="329">
                  <c:v>-1.1090000000422151E-3</c:v>
                </c:pt>
                <c:pt idx="330">
                  <c:v>2.3748999999952503E-2</c:v>
                </c:pt>
                <c:pt idx="331">
                  <c:v>-4.9899999999070133E-4</c:v>
                </c:pt>
                <c:pt idx="332">
                  <c:v>8.8499999992563971E-4</c:v>
                </c:pt>
                <c:pt idx="333">
                  <c:v>-9.5999999984996975E-5</c:v>
                </c:pt>
                <c:pt idx="334">
                  <c:v>1.0833999999931621E-2</c:v>
                </c:pt>
                <c:pt idx="335">
                  <c:v>-7.4000000040541636E-5</c:v>
                </c:pt>
                <c:pt idx="336">
                  <c:v>4.7339999998712301E-3</c:v>
                </c:pt>
                <c:pt idx="337">
                  <c:v>2.0079999999325082E-3</c:v>
                </c:pt>
                <c:pt idx="338">
                  <c:v>-2.4890000001960289E-3</c:v>
                </c:pt>
                <c:pt idx="339">
                  <c:v>2.6829999999335996E-3</c:v>
                </c:pt>
                <c:pt idx="340">
                  <c:v>9.1990000000805594E-3</c:v>
                </c:pt>
                <c:pt idx="341">
                  <c:v>8.6929999999938445E-3</c:v>
                </c:pt>
                <c:pt idx="342">
                  <c:v>-1.9199999999955253E-2</c:v>
                </c:pt>
                <c:pt idx="343">
                  <c:v>7.3330000000169093E-3</c:v>
                </c:pt>
                <c:pt idx="344">
                  <c:v>5.3089999998974235E-3</c:v>
                </c:pt>
                <c:pt idx="345">
                  <c:v>1.0158999999930529E-2</c:v>
                </c:pt>
                <c:pt idx="346">
                  <c:v>1.0311000000001513E-2</c:v>
                </c:pt>
                <c:pt idx="347">
                  <c:v>1.0780000000067957E-3</c:v>
                </c:pt>
                <c:pt idx="348">
                  <c:v>2.5789000000031592E-2</c:v>
                </c:pt>
                <c:pt idx="349">
                  <c:v>3.8289999999960855E-2</c:v>
                </c:pt>
                <c:pt idx="350">
                  <c:v>3.7994000000026062E-2</c:v>
                </c:pt>
                <c:pt idx="351">
                  <c:v>1.1020000000144137E-2</c:v>
                </c:pt>
                <c:pt idx="352">
                  <c:v>3.0171999999993204E-2</c:v>
                </c:pt>
                <c:pt idx="353">
                  <c:v>3.152700000009645E-2</c:v>
                </c:pt>
                <c:pt idx="354">
                  <c:v>2.1551000000044951E-2</c:v>
                </c:pt>
                <c:pt idx="355">
                  <c:v>3.6098999999921944E-2</c:v>
                </c:pt>
                <c:pt idx="356">
                  <c:v>4.5764999999846623E-2</c:v>
                </c:pt>
                <c:pt idx="357">
                  <c:v>5.7689999999865904E-2</c:v>
                </c:pt>
                <c:pt idx="358">
                  <c:v>4.3463999999858061E-2</c:v>
                </c:pt>
                <c:pt idx="359">
                  <c:v>2.846599999998034E-2</c:v>
                </c:pt>
                <c:pt idx="360">
                  <c:v>4.4666999999890322E-2</c:v>
                </c:pt>
                <c:pt idx="361">
                  <c:v>7.0870999999897322E-2</c:v>
                </c:pt>
                <c:pt idx="362">
                  <c:v>5.9522999999899184E-2</c:v>
                </c:pt>
                <c:pt idx="363">
                  <c:v>2.4877000000060434E-2</c:v>
                </c:pt>
                <c:pt idx="364">
                  <c:v>5.3061999999954423E-2</c:v>
                </c:pt>
                <c:pt idx="365">
                  <c:v>7.2218999999904554E-2</c:v>
                </c:pt>
                <c:pt idx="366">
                  <c:v>5.5818000000044776E-2</c:v>
                </c:pt>
                <c:pt idx="367">
                  <c:v>8.4838999999874432E-2</c:v>
                </c:pt>
                <c:pt idx="368">
                  <c:v>6.483299999990777E-2</c:v>
                </c:pt>
                <c:pt idx="369">
                  <c:v>3.2375999999885607E-2</c:v>
                </c:pt>
                <c:pt idx="370">
                  <c:v>1.0714000000007218E-2</c:v>
                </c:pt>
                <c:pt idx="371">
                  <c:v>3.5003999999844382E-2</c:v>
                </c:pt>
                <c:pt idx="372">
                  <c:v>7.3175999999875785E-2</c:v>
                </c:pt>
                <c:pt idx="373">
                  <c:v>3.452700000002551E-2</c:v>
                </c:pt>
                <c:pt idx="374">
                  <c:v>3.1729000000041196E-2</c:v>
                </c:pt>
                <c:pt idx="375">
                  <c:v>1.4981999999918116E-2</c:v>
                </c:pt>
                <c:pt idx="376">
                  <c:v>5.2584999999908177E-2</c:v>
                </c:pt>
                <c:pt idx="377">
                  <c:v>-2.0500000000083674E-2</c:v>
                </c:pt>
                <c:pt idx="378">
                  <c:v>5.0202000000126645E-2</c:v>
                </c:pt>
                <c:pt idx="379">
                  <c:v>5.9222000000090702E-2</c:v>
                </c:pt>
                <c:pt idx="380">
                  <c:v>4.5831000000134736E-2</c:v>
                </c:pt>
                <c:pt idx="381">
                  <c:v>5.777499999999236E-2</c:v>
                </c:pt>
                <c:pt idx="382">
                  <c:v>-4.3889999999464635E-3</c:v>
                </c:pt>
                <c:pt idx="383">
                  <c:v>5.956600000013168E-2</c:v>
                </c:pt>
                <c:pt idx="384">
                  <c:v>5.6988999999930456E-2</c:v>
                </c:pt>
                <c:pt idx="385">
                  <c:v>6.1260999999831256E-2</c:v>
                </c:pt>
                <c:pt idx="386">
                  <c:v>4.9473000000034517E-2</c:v>
                </c:pt>
                <c:pt idx="387">
                  <c:v>5.5636999999933323E-2</c:v>
                </c:pt>
              </c:numCache>
            </c:numRef>
          </c:yVal>
          <c:smooth val="0"/>
          <c:extLst xmlns:c16r2="http://schemas.microsoft.com/office/drawing/2015/06/chart">
            <c:ext xmlns:c16="http://schemas.microsoft.com/office/drawing/2014/chart" uri="{C3380CC4-5D6E-409C-BE32-E72D297353CC}">
              <c16:uniqueId val="{00000001-1791-4EE4-93EA-F60B9615A392}"/>
            </c:ext>
          </c:extLst>
        </c:ser>
        <c:ser>
          <c:idx val="2"/>
          <c:order val="2"/>
          <c:spPr>
            <a:ln w="28575" cap="rnd">
              <a:noFill/>
              <a:round/>
            </a:ln>
            <a:effectLst/>
          </c:spPr>
          <c:marker>
            <c:symbol val="circle"/>
            <c:size val="5"/>
            <c:spPr>
              <a:solidFill>
                <a:schemeClr val="accent3"/>
              </a:solidFill>
              <a:ln w="9525">
                <a:solidFill>
                  <a:schemeClr val="accent3"/>
                </a:solidFill>
              </a:ln>
              <a:effectLst/>
            </c:spPr>
          </c:marker>
          <c:xVal>
            <c:numRef>
              <c:f>DataPaste!$Q$3:$Q$390</c:f>
              <c:numCache>
                <c:formatCode>General</c:formatCode>
                <c:ptCount val="388"/>
                <c:pt idx="0">
                  <c:v>39499.5861</c:v>
                </c:pt>
                <c:pt idx="1">
                  <c:v>38999.618499999997</c:v>
                </c:pt>
                <c:pt idx="2">
                  <c:v>38499.585800000001</c:v>
                </c:pt>
                <c:pt idx="3">
                  <c:v>37999.57</c:v>
                </c:pt>
                <c:pt idx="4">
                  <c:v>37499.530200000001</c:v>
                </c:pt>
                <c:pt idx="5">
                  <c:v>36999.5599</c:v>
                </c:pt>
                <c:pt idx="6">
                  <c:v>36499.5432</c:v>
                </c:pt>
                <c:pt idx="7">
                  <c:v>35999.530299999999</c:v>
                </c:pt>
                <c:pt idx="8">
                  <c:v>35499.5317</c:v>
                </c:pt>
                <c:pt idx="9">
                  <c:v>34999.532599999999</c:v>
                </c:pt>
                <c:pt idx="10">
                  <c:v>34499.504300000001</c:v>
                </c:pt>
                <c:pt idx="11">
                  <c:v>33999.489800000003</c:v>
                </c:pt>
                <c:pt idx="12">
                  <c:v>33499.499499999998</c:v>
                </c:pt>
                <c:pt idx="13">
                  <c:v>32999.5429</c:v>
                </c:pt>
                <c:pt idx="14">
                  <c:v>32499.5075</c:v>
                </c:pt>
                <c:pt idx="15">
                  <c:v>31999.487499999999</c:v>
                </c:pt>
                <c:pt idx="16">
                  <c:v>31499.451499999999</c:v>
                </c:pt>
                <c:pt idx="17">
                  <c:v>30999.447899999999</c:v>
                </c:pt>
                <c:pt idx="18">
                  <c:v>30499.446599999999</c:v>
                </c:pt>
                <c:pt idx="19">
                  <c:v>29999.434600000001</c:v>
                </c:pt>
                <c:pt idx="20">
                  <c:v>29499.4293</c:v>
                </c:pt>
                <c:pt idx="21">
                  <c:v>28999.503199999999</c:v>
                </c:pt>
                <c:pt idx="22">
                  <c:v>28499.488600000001</c:v>
                </c:pt>
                <c:pt idx="23">
                  <c:v>27999.492300000002</c:v>
                </c:pt>
                <c:pt idx="24">
                  <c:v>27499.4702</c:v>
                </c:pt>
                <c:pt idx="25">
                  <c:v>26999.472699999998</c:v>
                </c:pt>
                <c:pt idx="26">
                  <c:v>26499.426299999999</c:v>
                </c:pt>
                <c:pt idx="27">
                  <c:v>25999.439600000002</c:v>
                </c:pt>
                <c:pt idx="28">
                  <c:v>25499.407999999999</c:v>
                </c:pt>
                <c:pt idx="29">
                  <c:v>24999.4107</c:v>
                </c:pt>
                <c:pt idx="30">
                  <c:v>24499.372100000001</c:v>
                </c:pt>
                <c:pt idx="31">
                  <c:v>23999.322199999999</c:v>
                </c:pt>
                <c:pt idx="32">
                  <c:v>23499.305100000001</c:v>
                </c:pt>
                <c:pt idx="33">
                  <c:v>22999.301500000001</c:v>
                </c:pt>
                <c:pt idx="34">
                  <c:v>22499.273000000001</c:v>
                </c:pt>
                <c:pt idx="35">
                  <c:v>21999.297299999998</c:v>
                </c:pt>
                <c:pt idx="36">
                  <c:v>21499.303100000001</c:v>
                </c:pt>
                <c:pt idx="37">
                  <c:v>20999.312900000001</c:v>
                </c:pt>
                <c:pt idx="38">
                  <c:v>20499.296399999999</c:v>
                </c:pt>
                <c:pt idx="39">
                  <c:v>19999.302500000002</c:v>
                </c:pt>
                <c:pt idx="40">
                  <c:v>19499.2988</c:v>
                </c:pt>
                <c:pt idx="41">
                  <c:v>18999.257600000001</c:v>
                </c:pt>
                <c:pt idx="42">
                  <c:v>18499.244500000001</c:v>
                </c:pt>
                <c:pt idx="43">
                  <c:v>17999.262699999999</c:v>
                </c:pt>
                <c:pt idx="44">
                  <c:v>17499.221600000001</c:v>
                </c:pt>
                <c:pt idx="45">
                  <c:v>16999.200400000002</c:v>
                </c:pt>
                <c:pt idx="46">
                  <c:v>16499.165300000001</c:v>
                </c:pt>
                <c:pt idx="47">
                  <c:v>15999.1582</c:v>
                </c:pt>
                <c:pt idx="48">
                  <c:v>15499.155000000001</c:v>
                </c:pt>
                <c:pt idx="49">
                  <c:v>14999.158100000001</c:v>
                </c:pt>
                <c:pt idx="50">
                  <c:v>14499.142</c:v>
                </c:pt>
                <c:pt idx="51">
                  <c:v>13999.179099999999</c:v>
                </c:pt>
                <c:pt idx="52">
                  <c:v>13499.1427</c:v>
                </c:pt>
                <c:pt idx="53">
                  <c:v>12999.1358</c:v>
                </c:pt>
                <c:pt idx="54">
                  <c:v>12499.114600000001</c:v>
                </c:pt>
                <c:pt idx="55">
                  <c:v>11999.1405</c:v>
                </c:pt>
                <c:pt idx="56">
                  <c:v>11499.1219</c:v>
                </c:pt>
                <c:pt idx="57">
                  <c:v>10999.1068</c:v>
                </c:pt>
                <c:pt idx="58">
                  <c:v>10499.082700000001</c:v>
                </c:pt>
                <c:pt idx="59">
                  <c:v>9999.1389999999992</c:v>
                </c:pt>
                <c:pt idx="60">
                  <c:v>9499.1183000000001</c:v>
                </c:pt>
                <c:pt idx="61">
                  <c:v>8999.1018999999997</c:v>
                </c:pt>
                <c:pt idx="62">
                  <c:v>8499.0686999999998</c:v>
                </c:pt>
                <c:pt idx="63">
                  <c:v>7999.1522999999997</c:v>
                </c:pt>
                <c:pt idx="64">
                  <c:v>7499.1220999999996</c:v>
                </c:pt>
                <c:pt idx="65">
                  <c:v>6999.1003000000001</c:v>
                </c:pt>
                <c:pt idx="66">
                  <c:v>6499.0645000000004</c:v>
                </c:pt>
                <c:pt idx="67">
                  <c:v>5999.0823</c:v>
                </c:pt>
                <c:pt idx="68">
                  <c:v>5499.0610999999999</c:v>
                </c:pt>
                <c:pt idx="69">
                  <c:v>4999.0335999999998</c:v>
                </c:pt>
                <c:pt idx="70">
                  <c:v>4499.0034999999998</c:v>
                </c:pt>
                <c:pt idx="71">
                  <c:v>3999.0338999999999</c:v>
                </c:pt>
                <c:pt idx="72">
                  <c:v>3499.0185000000001</c:v>
                </c:pt>
                <c:pt idx="73">
                  <c:v>2999.0127000000002</c:v>
                </c:pt>
                <c:pt idx="74">
                  <c:v>2498.9994999999999</c:v>
                </c:pt>
                <c:pt idx="75">
                  <c:v>1999.0353</c:v>
                </c:pt>
                <c:pt idx="76">
                  <c:v>1499.0137</c:v>
                </c:pt>
                <c:pt idx="77">
                  <c:v>998.98119999999994</c:v>
                </c:pt>
                <c:pt idx="78">
                  <c:v>498.93209999999999</c:v>
                </c:pt>
                <c:pt idx="79">
                  <c:v>998.97130000000004</c:v>
                </c:pt>
                <c:pt idx="80">
                  <c:v>1499.0073</c:v>
                </c:pt>
                <c:pt idx="81">
                  <c:v>1999.0292999999999</c:v>
                </c:pt>
                <c:pt idx="82">
                  <c:v>2498.9956999999999</c:v>
                </c:pt>
                <c:pt idx="83">
                  <c:v>2998.9940000000001</c:v>
                </c:pt>
                <c:pt idx="84">
                  <c:v>3499.0201000000002</c:v>
                </c:pt>
                <c:pt idx="85">
                  <c:v>3999.0315000000001</c:v>
                </c:pt>
                <c:pt idx="86">
                  <c:v>4499.0005000000001</c:v>
                </c:pt>
                <c:pt idx="87">
                  <c:v>4999.0338000000002</c:v>
                </c:pt>
                <c:pt idx="88">
                  <c:v>5499.0578999999998</c:v>
                </c:pt>
                <c:pt idx="89">
                  <c:v>5999.0802999999996</c:v>
                </c:pt>
                <c:pt idx="90">
                  <c:v>6499.0537999999997</c:v>
                </c:pt>
                <c:pt idx="91">
                  <c:v>6999.0922</c:v>
                </c:pt>
                <c:pt idx="92">
                  <c:v>7499.1156000000001</c:v>
                </c:pt>
                <c:pt idx="93">
                  <c:v>7999.1310000000003</c:v>
                </c:pt>
                <c:pt idx="94">
                  <c:v>8499.0635999999995</c:v>
                </c:pt>
                <c:pt idx="95">
                  <c:v>8999.0895999999993</c:v>
                </c:pt>
                <c:pt idx="96">
                  <c:v>9499.1152000000002</c:v>
                </c:pt>
                <c:pt idx="97">
                  <c:v>9999.1339000000007</c:v>
                </c:pt>
                <c:pt idx="98">
                  <c:v>10499.083699999999</c:v>
                </c:pt>
                <c:pt idx="99">
                  <c:v>10999.105100000001</c:v>
                </c:pt>
                <c:pt idx="100">
                  <c:v>11499.1245</c:v>
                </c:pt>
                <c:pt idx="101">
                  <c:v>11999.144200000001</c:v>
                </c:pt>
                <c:pt idx="102">
                  <c:v>12499.1167</c:v>
                </c:pt>
                <c:pt idx="103">
                  <c:v>12999.123</c:v>
                </c:pt>
                <c:pt idx="104">
                  <c:v>13499.144399999999</c:v>
                </c:pt>
                <c:pt idx="105">
                  <c:v>13999.1643</c:v>
                </c:pt>
                <c:pt idx="106">
                  <c:v>14499.145200000001</c:v>
                </c:pt>
                <c:pt idx="107">
                  <c:v>14999.1474</c:v>
                </c:pt>
                <c:pt idx="108">
                  <c:v>15499.161899999999</c:v>
                </c:pt>
                <c:pt idx="109">
                  <c:v>15999.159</c:v>
                </c:pt>
                <c:pt idx="110">
                  <c:v>16499.157299999999</c:v>
                </c:pt>
                <c:pt idx="111">
                  <c:v>16999.1983</c:v>
                </c:pt>
                <c:pt idx="112">
                  <c:v>17499.224200000001</c:v>
                </c:pt>
                <c:pt idx="113">
                  <c:v>17999.2559</c:v>
                </c:pt>
                <c:pt idx="114">
                  <c:v>18499.2438</c:v>
                </c:pt>
                <c:pt idx="115">
                  <c:v>18999.252400000001</c:v>
                </c:pt>
                <c:pt idx="116">
                  <c:v>19499.283899999999</c:v>
                </c:pt>
                <c:pt idx="117">
                  <c:v>19999.299500000001</c:v>
                </c:pt>
                <c:pt idx="118">
                  <c:v>20499.290199999999</c:v>
                </c:pt>
                <c:pt idx="119">
                  <c:v>20999.300899999998</c:v>
                </c:pt>
                <c:pt idx="120">
                  <c:v>21499.297299999998</c:v>
                </c:pt>
                <c:pt idx="121">
                  <c:v>21999.286100000001</c:v>
                </c:pt>
                <c:pt idx="122">
                  <c:v>22499.257900000001</c:v>
                </c:pt>
                <c:pt idx="123">
                  <c:v>22999.292099999999</c:v>
                </c:pt>
                <c:pt idx="124">
                  <c:v>23499.295999999998</c:v>
                </c:pt>
                <c:pt idx="125">
                  <c:v>23999.317999999999</c:v>
                </c:pt>
                <c:pt idx="126">
                  <c:v>24499.365600000001</c:v>
                </c:pt>
                <c:pt idx="127">
                  <c:v>24999.402300000002</c:v>
                </c:pt>
                <c:pt idx="128">
                  <c:v>25499.400699999998</c:v>
                </c:pt>
                <c:pt idx="129">
                  <c:v>25999.432400000002</c:v>
                </c:pt>
                <c:pt idx="130">
                  <c:v>26499.417799999999</c:v>
                </c:pt>
                <c:pt idx="131">
                  <c:v>26999.469799999999</c:v>
                </c:pt>
                <c:pt idx="132">
                  <c:v>27499.463800000001</c:v>
                </c:pt>
                <c:pt idx="133">
                  <c:v>27999.488700000002</c:v>
                </c:pt>
                <c:pt idx="134">
                  <c:v>28499.4892</c:v>
                </c:pt>
                <c:pt idx="135">
                  <c:v>28999.502400000001</c:v>
                </c:pt>
                <c:pt idx="136">
                  <c:v>29499.420999999998</c:v>
                </c:pt>
                <c:pt idx="137">
                  <c:v>29999.424500000001</c:v>
                </c:pt>
                <c:pt idx="138">
                  <c:v>30499.433000000001</c:v>
                </c:pt>
                <c:pt idx="139">
                  <c:v>30999.434300000001</c:v>
                </c:pt>
                <c:pt idx="140">
                  <c:v>31499.434799999999</c:v>
                </c:pt>
                <c:pt idx="141">
                  <c:v>31999.477699999999</c:v>
                </c:pt>
                <c:pt idx="142">
                  <c:v>32499.5033</c:v>
                </c:pt>
                <c:pt idx="143">
                  <c:v>32999.5334</c:v>
                </c:pt>
                <c:pt idx="144">
                  <c:v>33499.476999999999</c:v>
                </c:pt>
                <c:pt idx="145">
                  <c:v>33999.464999999997</c:v>
                </c:pt>
                <c:pt idx="146">
                  <c:v>34499.487500000003</c:v>
                </c:pt>
                <c:pt idx="147">
                  <c:v>34999.514799999997</c:v>
                </c:pt>
                <c:pt idx="148">
                  <c:v>35499.515800000001</c:v>
                </c:pt>
                <c:pt idx="149">
                  <c:v>35999.4997</c:v>
                </c:pt>
                <c:pt idx="150">
                  <c:v>36499.489600000001</c:v>
                </c:pt>
                <c:pt idx="151">
                  <c:v>36999.487999999998</c:v>
                </c:pt>
                <c:pt idx="152">
                  <c:v>37499.460299999999</c:v>
                </c:pt>
                <c:pt idx="153">
                  <c:v>37999.513400000003</c:v>
                </c:pt>
                <c:pt idx="154">
                  <c:v>38499.546699999999</c:v>
                </c:pt>
                <c:pt idx="155">
                  <c:v>38999.590600000003</c:v>
                </c:pt>
                <c:pt idx="156">
                  <c:v>39499.584999999999</c:v>
                </c:pt>
                <c:pt idx="157">
                  <c:v>39499.557999999997</c:v>
                </c:pt>
                <c:pt idx="158">
                  <c:v>38999.606399999997</c:v>
                </c:pt>
                <c:pt idx="159">
                  <c:v>38499.605199999998</c:v>
                </c:pt>
                <c:pt idx="160">
                  <c:v>37999.572</c:v>
                </c:pt>
                <c:pt idx="161">
                  <c:v>37499.546600000001</c:v>
                </c:pt>
                <c:pt idx="162">
                  <c:v>36999.601499999997</c:v>
                </c:pt>
                <c:pt idx="163">
                  <c:v>36499.571100000001</c:v>
                </c:pt>
                <c:pt idx="164">
                  <c:v>35999.563000000002</c:v>
                </c:pt>
                <c:pt idx="165">
                  <c:v>35499.5556</c:v>
                </c:pt>
                <c:pt idx="166">
                  <c:v>34999.567000000003</c:v>
                </c:pt>
                <c:pt idx="167">
                  <c:v>34499.5602</c:v>
                </c:pt>
                <c:pt idx="168">
                  <c:v>33999.545400000003</c:v>
                </c:pt>
                <c:pt idx="169">
                  <c:v>33499.555399999997</c:v>
                </c:pt>
                <c:pt idx="170">
                  <c:v>32999.629999999997</c:v>
                </c:pt>
                <c:pt idx="171">
                  <c:v>32499.622800000001</c:v>
                </c:pt>
                <c:pt idx="172">
                  <c:v>31999.589599999999</c:v>
                </c:pt>
                <c:pt idx="173">
                  <c:v>31499.569599999999</c:v>
                </c:pt>
                <c:pt idx="174">
                  <c:v>30999.592400000001</c:v>
                </c:pt>
                <c:pt idx="175">
                  <c:v>30499.5867</c:v>
                </c:pt>
                <c:pt idx="176">
                  <c:v>29999.5628</c:v>
                </c:pt>
                <c:pt idx="177">
                  <c:v>0</c:v>
                </c:pt>
                <c:pt idx="178">
                  <c:v>28999.715899999999</c:v>
                </c:pt>
                <c:pt idx="179">
                  <c:v>28499.691200000001</c:v>
                </c:pt>
                <c:pt idx="180">
                  <c:v>27999.699700000001</c:v>
                </c:pt>
                <c:pt idx="181">
                  <c:v>27499.6963</c:v>
                </c:pt>
                <c:pt idx="182">
                  <c:v>26999.699400000001</c:v>
                </c:pt>
                <c:pt idx="183">
                  <c:v>26499.6927</c:v>
                </c:pt>
                <c:pt idx="184">
                  <c:v>25999.6895</c:v>
                </c:pt>
                <c:pt idx="185">
                  <c:v>25499.686699999998</c:v>
                </c:pt>
                <c:pt idx="186">
                  <c:v>24999.696</c:v>
                </c:pt>
                <c:pt idx="187">
                  <c:v>24499.6554</c:v>
                </c:pt>
                <c:pt idx="188">
                  <c:v>23999.6096</c:v>
                </c:pt>
                <c:pt idx="189">
                  <c:v>23499.586200000002</c:v>
                </c:pt>
                <c:pt idx="190">
                  <c:v>22999.5795</c:v>
                </c:pt>
                <c:pt idx="191">
                  <c:v>22499.552199999998</c:v>
                </c:pt>
                <c:pt idx="192">
                  <c:v>21999.607100000001</c:v>
                </c:pt>
                <c:pt idx="193">
                  <c:v>21499.605599999999</c:v>
                </c:pt>
                <c:pt idx="194">
                  <c:v>20999.593000000001</c:v>
                </c:pt>
                <c:pt idx="195">
                  <c:v>20499.583200000001</c:v>
                </c:pt>
                <c:pt idx="196">
                  <c:v>19999.598699999999</c:v>
                </c:pt>
                <c:pt idx="197">
                  <c:v>19499.600900000001</c:v>
                </c:pt>
                <c:pt idx="198">
                  <c:v>18999.5834</c:v>
                </c:pt>
                <c:pt idx="199">
                  <c:v>18499.568200000002</c:v>
                </c:pt>
                <c:pt idx="200">
                  <c:v>17999.633900000001</c:v>
                </c:pt>
                <c:pt idx="201">
                  <c:v>17499.608</c:v>
                </c:pt>
                <c:pt idx="202">
                  <c:v>16999.583200000001</c:v>
                </c:pt>
                <c:pt idx="203">
                  <c:v>16499.555</c:v>
                </c:pt>
                <c:pt idx="204">
                  <c:v>15999.5551</c:v>
                </c:pt>
                <c:pt idx="205">
                  <c:v>15499.5641</c:v>
                </c:pt>
                <c:pt idx="206">
                  <c:v>14999.561799999999</c:v>
                </c:pt>
                <c:pt idx="207">
                  <c:v>14499.564399999999</c:v>
                </c:pt>
                <c:pt idx="208">
                  <c:v>13999.604499999999</c:v>
                </c:pt>
                <c:pt idx="209">
                  <c:v>13499.5838</c:v>
                </c:pt>
                <c:pt idx="210">
                  <c:v>12999.592500000001</c:v>
                </c:pt>
                <c:pt idx="211">
                  <c:v>12499.581899999999</c:v>
                </c:pt>
                <c:pt idx="212">
                  <c:v>11999.621800000001</c:v>
                </c:pt>
                <c:pt idx="213">
                  <c:v>11499.6067</c:v>
                </c:pt>
                <c:pt idx="214">
                  <c:v>10999.5946</c:v>
                </c:pt>
                <c:pt idx="215">
                  <c:v>10499.580599999999</c:v>
                </c:pt>
                <c:pt idx="216">
                  <c:v>9999.6134000000002</c:v>
                </c:pt>
                <c:pt idx="217">
                  <c:v>9499.5918999999994</c:v>
                </c:pt>
                <c:pt idx="218">
                  <c:v>8999.5735000000004</c:v>
                </c:pt>
                <c:pt idx="219">
                  <c:v>8499.5391</c:v>
                </c:pt>
                <c:pt idx="220">
                  <c:v>7999.6412</c:v>
                </c:pt>
                <c:pt idx="221">
                  <c:v>7499.6220000000003</c:v>
                </c:pt>
                <c:pt idx="222">
                  <c:v>6999.6112999999996</c:v>
                </c:pt>
                <c:pt idx="223">
                  <c:v>6499.5802999999996</c:v>
                </c:pt>
                <c:pt idx="224">
                  <c:v>5999.5936000000002</c:v>
                </c:pt>
                <c:pt idx="225">
                  <c:v>5499.5810000000001</c:v>
                </c:pt>
                <c:pt idx="226">
                  <c:v>4999.5664999999999</c:v>
                </c:pt>
                <c:pt idx="227">
                  <c:v>4499.5367999999999</c:v>
                </c:pt>
                <c:pt idx="228">
                  <c:v>3999.56</c:v>
                </c:pt>
                <c:pt idx="229">
                  <c:v>3499.5453000000002</c:v>
                </c:pt>
                <c:pt idx="230">
                  <c:v>2999.5113999999999</c:v>
                </c:pt>
                <c:pt idx="231">
                  <c:v>2499.5185999999999</c:v>
                </c:pt>
                <c:pt idx="232">
                  <c:v>1999.5488</c:v>
                </c:pt>
                <c:pt idx="233">
                  <c:v>1499.5333000000001</c:v>
                </c:pt>
                <c:pt idx="234">
                  <c:v>999.50959999999998</c:v>
                </c:pt>
                <c:pt idx="235">
                  <c:v>499.47820000000002</c:v>
                </c:pt>
                <c:pt idx="236">
                  <c:v>499.4914</c:v>
                </c:pt>
                <c:pt idx="237">
                  <c:v>999.54750000000001</c:v>
                </c:pt>
                <c:pt idx="238">
                  <c:v>1499.5826</c:v>
                </c:pt>
                <c:pt idx="239">
                  <c:v>1999.5889999999999</c:v>
                </c:pt>
                <c:pt idx="240">
                  <c:v>2499.5571</c:v>
                </c:pt>
                <c:pt idx="241">
                  <c:v>2999.5427</c:v>
                </c:pt>
                <c:pt idx="242">
                  <c:v>3499.5657999999999</c:v>
                </c:pt>
                <c:pt idx="243">
                  <c:v>3999.5671000000002</c:v>
                </c:pt>
                <c:pt idx="244">
                  <c:v>4499.5424999999996</c:v>
                </c:pt>
                <c:pt idx="245">
                  <c:v>4999.5871999999999</c:v>
                </c:pt>
                <c:pt idx="246">
                  <c:v>5499.6010999999999</c:v>
                </c:pt>
                <c:pt idx="247">
                  <c:v>5999.6257999999998</c:v>
                </c:pt>
                <c:pt idx="248">
                  <c:v>6499.6264000000001</c:v>
                </c:pt>
                <c:pt idx="249">
                  <c:v>6999.6607999999997</c:v>
                </c:pt>
                <c:pt idx="250">
                  <c:v>7499.6817000000001</c:v>
                </c:pt>
                <c:pt idx="251">
                  <c:v>7999.6980999999996</c:v>
                </c:pt>
                <c:pt idx="252">
                  <c:v>8499.5848999999998</c:v>
                </c:pt>
                <c:pt idx="253">
                  <c:v>8999.6203000000005</c:v>
                </c:pt>
                <c:pt idx="254">
                  <c:v>9499.6308000000008</c:v>
                </c:pt>
                <c:pt idx="255">
                  <c:v>9999.6509000000005</c:v>
                </c:pt>
                <c:pt idx="256">
                  <c:v>10499.605799999999</c:v>
                </c:pt>
                <c:pt idx="257">
                  <c:v>10999.618700000001</c:v>
                </c:pt>
                <c:pt idx="258">
                  <c:v>11499.635399999999</c:v>
                </c:pt>
                <c:pt idx="259">
                  <c:v>11999.6659</c:v>
                </c:pt>
                <c:pt idx="260">
                  <c:v>12499.620199999999</c:v>
                </c:pt>
                <c:pt idx="261">
                  <c:v>12999.6374</c:v>
                </c:pt>
                <c:pt idx="262">
                  <c:v>13499.6423</c:v>
                </c:pt>
                <c:pt idx="263">
                  <c:v>13999.669099999999</c:v>
                </c:pt>
                <c:pt idx="264">
                  <c:v>14499.6216</c:v>
                </c:pt>
                <c:pt idx="265">
                  <c:v>14999.6235</c:v>
                </c:pt>
                <c:pt idx="266">
                  <c:v>15499.628000000001</c:v>
                </c:pt>
                <c:pt idx="267">
                  <c:v>15999.617200000001</c:v>
                </c:pt>
                <c:pt idx="268">
                  <c:v>16499.609400000001</c:v>
                </c:pt>
                <c:pt idx="269">
                  <c:v>16999.626199999999</c:v>
                </c:pt>
                <c:pt idx="270">
                  <c:v>17499.647000000001</c:v>
                </c:pt>
                <c:pt idx="271">
                  <c:v>17999.6643</c:v>
                </c:pt>
                <c:pt idx="272">
                  <c:v>18499.611799999999</c:v>
                </c:pt>
                <c:pt idx="273">
                  <c:v>18999.634699999999</c:v>
                </c:pt>
                <c:pt idx="274">
                  <c:v>19499.655599999998</c:v>
                </c:pt>
                <c:pt idx="275">
                  <c:v>19999.652600000001</c:v>
                </c:pt>
                <c:pt idx="276">
                  <c:v>20499.634099999999</c:v>
                </c:pt>
                <c:pt idx="277">
                  <c:v>20999.6263</c:v>
                </c:pt>
                <c:pt idx="278">
                  <c:v>21499.6348</c:v>
                </c:pt>
                <c:pt idx="279">
                  <c:v>21999.645700000001</c:v>
                </c:pt>
                <c:pt idx="280">
                  <c:v>22499.615099999999</c:v>
                </c:pt>
                <c:pt idx="281">
                  <c:v>22999.633600000001</c:v>
                </c:pt>
                <c:pt idx="282">
                  <c:v>23499.640599999999</c:v>
                </c:pt>
                <c:pt idx="283">
                  <c:v>23999.675500000001</c:v>
                </c:pt>
                <c:pt idx="284">
                  <c:v>24499.723300000001</c:v>
                </c:pt>
                <c:pt idx="285">
                  <c:v>24999.782599999999</c:v>
                </c:pt>
                <c:pt idx="286">
                  <c:v>25499.7592</c:v>
                </c:pt>
                <c:pt idx="287">
                  <c:v>25999.739799999999</c:v>
                </c:pt>
                <c:pt idx="288">
                  <c:v>26499.732400000001</c:v>
                </c:pt>
                <c:pt idx="289">
                  <c:v>26999.740900000001</c:v>
                </c:pt>
                <c:pt idx="290">
                  <c:v>27499.743699999999</c:v>
                </c:pt>
                <c:pt idx="291">
                  <c:v>27999.748</c:v>
                </c:pt>
                <c:pt idx="292">
                  <c:v>28499.7107</c:v>
                </c:pt>
                <c:pt idx="293">
                  <c:v>28999.745699999999</c:v>
                </c:pt>
                <c:pt idx="294">
                  <c:v>29499.612300000001</c:v>
                </c:pt>
                <c:pt idx="295">
                  <c:v>29999.607499999998</c:v>
                </c:pt>
                <c:pt idx="296">
                  <c:v>30499.620699999999</c:v>
                </c:pt>
                <c:pt idx="297">
                  <c:v>30999.584900000002</c:v>
                </c:pt>
                <c:pt idx="298">
                  <c:v>31499.595700000002</c:v>
                </c:pt>
                <c:pt idx="299">
                  <c:v>31999.637200000001</c:v>
                </c:pt>
                <c:pt idx="300">
                  <c:v>32499.675299999999</c:v>
                </c:pt>
                <c:pt idx="301">
                  <c:v>32999.701999999997</c:v>
                </c:pt>
                <c:pt idx="302">
                  <c:v>33499.609499999999</c:v>
                </c:pt>
                <c:pt idx="303">
                  <c:v>33999.620900000002</c:v>
                </c:pt>
                <c:pt idx="304">
                  <c:v>34499.621099999997</c:v>
                </c:pt>
                <c:pt idx="305">
                  <c:v>34999.620699999999</c:v>
                </c:pt>
                <c:pt idx="306">
                  <c:v>35499.6302</c:v>
                </c:pt>
                <c:pt idx="307">
                  <c:v>35999.625800000002</c:v>
                </c:pt>
                <c:pt idx="308">
                  <c:v>36499.642399999997</c:v>
                </c:pt>
                <c:pt idx="309">
                  <c:v>36999.6204</c:v>
                </c:pt>
                <c:pt idx="310">
                  <c:v>37499.606399999997</c:v>
                </c:pt>
                <c:pt idx="311">
                  <c:v>37999.653400000003</c:v>
                </c:pt>
                <c:pt idx="312">
                  <c:v>37999.639000000003</c:v>
                </c:pt>
                <c:pt idx="313">
                  <c:v>37499.642500000002</c:v>
                </c:pt>
                <c:pt idx="314">
                  <c:v>36999.664100000002</c:v>
                </c:pt>
                <c:pt idx="315">
                  <c:v>36499.652000000002</c:v>
                </c:pt>
                <c:pt idx="316">
                  <c:v>35999.631500000003</c:v>
                </c:pt>
                <c:pt idx="317">
                  <c:v>35499.637699999999</c:v>
                </c:pt>
                <c:pt idx="318">
                  <c:v>34999.6414</c:v>
                </c:pt>
                <c:pt idx="319">
                  <c:v>34499.599600000001</c:v>
                </c:pt>
                <c:pt idx="320">
                  <c:v>33999.592100000002</c:v>
                </c:pt>
                <c:pt idx="321">
                  <c:v>33499.585599999999</c:v>
                </c:pt>
                <c:pt idx="322">
                  <c:v>32999.673000000003</c:v>
                </c:pt>
                <c:pt idx="323">
                  <c:v>32499.6338</c:v>
                </c:pt>
                <c:pt idx="324">
                  <c:v>31999.591</c:v>
                </c:pt>
                <c:pt idx="325">
                  <c:v>31499.522199999999</c:v>
                </c:pt>
                <c:pt idx="326">
                  <c:v>30999.5232</c:v>
                </c:pt>
                <c:pt idx="327">
                  <c:v>30499.547699999999</c:v>
                </c:pt>
                <c:pt idx="328">
                  <c:v>29999.5586</c:v>
                </c:pt>
                <c:pt idx="329">
                  <c:v>29499.557100000002</c:v>
                </c:pt>
                <c:pt idx="330">
                  <c:v>28999.630099999998</c:v>
                </c:pt>
                <c:pt idx="331">
                  <c:v>28499.6152</c:v>
                </c:pt>
                <c:pt idx="332">
                  <c:v>27999.608800000002</c:v>
                </c:pt>
                <c:pt idx="333">
                  <c:v>27499.573100000001</c:v>
                </c:pt>
                <c:pt idx="334">
                  <c:v>26999.574199999999</c:v>
                </c:pt>
                <c:pt idx="335">
                  <c:v>26499.516500000002</c:v>
                </c:pt>
                <c:pt idx="336">
                  <c:v>25999.534500000002</c:v>
                </c:pt>
                <c:pt idx="337">
                  <c:v>25499.515200000002</c:v>
                </c:pt>
                <c:pt idx="338">
                  <c:v>24999.519799999998</c:v>
                </c:pt>
                <c:pt idx="339">
                  <c:v>24499.481400000001</c:v>
                </c:pt>
                <c:pt idx="340">
                  <c:v>23999.420300000002</c:v>
                </c:pt>
                <c:pt idx="341">
                  <c:v>23499.3825</c:v>
                </c:pt>
                <c:pt idx="342">
                  <c:v>22999.393599999999</c:v>
                </c:pt>
                <c:pt idx="343">
                  <c:v>22499.361199999999</c:v>
                </c:pt>
                <c:pt idx="344">
                  <c:v>21999.3822</c:v>
                </c:pt>
                <c:pt idx="345">
                  <c:v>21499.388200000001</c:v>
                </c:pt>
                <c:pt idx="346">
                  <c:v>20999.397499999999</c:v>
                </c:pt>
                <c:pt idx="347">
                  <c:v>20499.396400000001</c:v>
                </c:pt>
                <c:pt idx="348">
                  <c:v>19999.412199999999</c:v>
                </c:pt>
                <c:pt idx="349">
                  <c:v>19499.397499999999</c:v>
                </c:pt>
                <c:pt idx="350">
                  <c:v>18999.3662</c:v>
                </c:pt>
                <c:pt idx="351">
                  <c:v>18499.344799999999</c:v>
                </c:pt>
                <c:pt idx="352">
                  <c:v>17999.354899999998</c:v>
                </c:pt>
                <c:pt idx="353">
                  <c:v>17499.315999999999</c:v>
                </c:pt>
                <c:pt idx="354">
                  <c:v>16999.294600000001</c:v>
                </c:pt>
                <c:pt idx="355">
                  <c:v>16499.261900000001</c:v>
                </c:pt>
                <c:pt idx="356">
                  <c:v>15999.257</c:v>
                </c:pt>
                <c:pt idx="357">
                  <c:v>15499.259700000001</c:v>
                </c:pt>
                <c:pt idx="358">
                  <c:v>14999.237499999999</c:v>
                </c:pt>
                <c:pt idx="359">
                  <c:v>14499.240900000001</c:v>
                </c:pt>
                <c:pt idx="360">
                  <c:v>13999.2667</c:v>
                </c:pt>
                <c:pt idx="361">
                  <c:v>13499.2297</c:v>
                </c:pt>
                <c:pt idx="362">
                  <c:v>12999.2138</c:v>
                </c:pt>
                <c:pt idx="363">
                  <c:v>12499.1867</c:v>
                </c:pt>
                <c:pt idx="364">
                  <c:v>11999.2147</c:v>
                </c:pt>
                <c:pt idx="365">
                  <c:v>11499.181500000001</c:v>
                </c:pt>
                <c:pt idx="366">
                  <c:v>10999.163</c:v>
                </c:pt>
                <c:pt idx="367">
                  <c:v>10499.152700000001</c:v>
                </c:pt>
                <c:pt idx="368">
                  <c:v>9999.2073</c:v>
                </c:pt>
                <c:pt idx="369">
                  <c:v>9499.1936000000005</c:v>
                </c:pt>
                <c:pt idx="370">
                  <c:v>8999.1772000000001</c:v>
                </c:pt>
                <c:pt idx="371">
                  <c:v>8499.1538999999993</c:v>
                </c:pt>
                <c:pt idx="372">
                  <c:v>7999.2417999999998</c:v>
                </c:pt>
                <c:pt idx="373">
                  <c:v>7499.2174000000005</c:v>
                </c:pt>
                <c:pt idx="374">
                  <c:v>6999.1926999999996</c:v>
                </c:pt>
                <c:pt idx="375">
                  <c:v>6499.1485000000002</c:v>
                </c:pt>
                <c:pt idx="376">
                  <c:v>5999.1576999999997</c:v>
                </c:pt>
                <c:pt idx="377">
                  <c:v>5499.1306000000004</c:v>
                </c:pt>
                <c:pt idx="378">
                  <c:v>4999.1139999999996</c:v>
                </c:pt>
                <c:pt idx="379">
                  <c:v>4499.0663999999997</c:v>
                </c:pt>
                <c:pt idx="380">
                  <c:v>3999.1052</c:v>
                </c:pt>
                <c:pt idx="381">
                  <c:v>3499.1073999999999</c:v>
                </c:pt>
                <c:pt idx="382">
                  <c:v>2999.0844000000002</c:v>
                </c:pt>
                <c:pt idx="383">
                  <c:v>2499.0947000000001</c:v>
                </c:pt>
                <c:pt idx="384">
                  <c:v>1999.1382000000001</c:v>
                </c:pt>
                <c:pt idx="385">
                  <c:v>1499.1111000000001</c:v>
                </c:pt>
                <c:pt idx="386">
                  <c:v>999.08</c:v>
                </c:pt>
                <c:pt idx="387">
                  <c:v>499.03030000000001</c:v>
                </c:pt>
              </c:numCache>
            </c:numRef>
          </c:xVal>
          <c:yVal>
            <c:numRef>
              <c:f>DataPaste!$T$3:$T$390</c:f>
              <c:numCache>
                <c:formatCode>General</c:formatCode>
                <c:ptCount val="388"/>
                <c:pt idx="0">
                  <c:v>-1.4029999999999876E-3</c:v>
                </c:pt>
                <c:pt idx="1">
                  <c:v>-3.6140000000000061E-3</c:v>
                </c:pt>
                <c:pt idx="2">
                  <c:v>-9.4600000000000239E-4</c:v>
                </c:pt>
                <c:pt idx="3">
                  <c:v>9.620000000000184E-4</c:v>
                </c:pt>
                <c:pt idx="4">
                  <c:v>2.6939999999999742E-3</c:v>
                </c:pt>
                <c:pt idx="5">
                  <c:v>-4.049999999999998E-3</c:v>
                </c:pt>
                <c:pt idx="6">
                  <c:v>-2.9820000000000402E-3</c:v>
                </c:pt>
                <c:pt idx="7">
                  <c:v>-2.7449999999999974E-3</c:v>
                </c:pt>
                <c:pt idx="8">
                  <c:v>-2.4350000000000205E-3</c:v>
                </c:pt>
                <c:pt idx="9">
                  <c:v>-2.15700000000002E-3</c:v>
                </c:pt>
                <c:pt idx="10">
                  <c:v>-1.5100000000001224E-4</c:v>
                </c:pt>
                <c:pt idx="11">
                  <c:v>3.4020000000000161E-3</c:v>
                </c:pt>
                <c:pt idx="12">
                  <c:v>-1.5159999999999618E-3</c:v>
                </c:pt>
                <c:pt idx="13">
                  <c:v>-1.5320000000000333E-3</c:v>
                </c:pt>
                <c:pt idx="14">
                  <c:v>-2.3229999999999917E-3</c:v>
                </c:pt>
                <c:pt idx="15">
                  <c:v>-1.9199999999999773E-4</c:v>
                </c:pt>
                <c:pt idx="16">
                  <c:v>-2.127999999999991E-3</c:v>
                </c:pt>
                <c:pt idx="17">
                  <c:v>-9.4900000000000539E-4</c:v>
                </c:pt>
                <c:pt idx="18">
                  <c:v>-1.3449999999999851E-3</c:v>
                </c:pt>
                <c:pt idx="19">
                  <c:v>-1.5799999999999981E-3</c:v>
                </c:pt>
                <c:pt idx="20">
                  <c:v>-1.5529999999999988E-3</c:v>
                </c:pt>
                <c:pt idx="21">
                  <c:v>1.0499999999999399E-4</c:v>
                </c:pt>
                <c:pt idx="22">
                  <c:v>-1.3920000000000043E-3</c:v>
                </c:pt>
                <c:pt idx="23">
                  <c:v>-1.4270000000000116E-3</c:v>
                </c:pt>
                <c:pt idx="24">
                  <c:v>-2.1619999999999973E-3</c:v>
                </c:pt>
                <c:pt idx="25">
                  <c:v>-4.375999999999991E-3</c:v>
                </c:pt>
                <c:pt idx="26">
                  <c:v>7.6100000000001167E-4</c:v>
                </c:pt>
                <c:pt idx="27">
                  <c:v>-5.733000000000002E-3</c:v>
                </c:pt>
                <c:pt idx="28">
                  <c:v>-9.0469999999999995E-3</c:v>
                </c:pt>
                <c:pt idx="29">
                  <c:v>-8.7900000000000061E-3</c:v>
                </c:pt>
                <c:pt idx="30">
                  <c:v>-6.9800000000000001E-3</c:v>
                </c:pt>
                <c:pt idx="31">
                  <c:v>-3.7770000000000026E-3</c:v>
                </c:pt>
                <c:pt idx="32">
                  <c:v>-1.0862999999999998E-2</c:v>
                </c:pt>
                <c:pt idx="33">
                  <c:v>-1.0144E-2</c:v>
                </c:pt>
                <c:pt idx="34">
                  <c:v>-1.2494000000000005E-2</c:v>
                </c:pt>
                <c:pt idx="35">
                  <c:v>-8.1149999999999972E-3</c:v>
                </c:pt>
                <c:pt idx="36">
                  <c:v>-2.4018999999999999E-2</c:v>
                </c:pt>
                <c:pt idx="37">
                  <c:v>-9.8290000000000044E-3</c:v>
                </c:pt>
                <c:pt idx="38">
                  <c:v>-1.4297999999999998E-2</c:v>
                </c:pt>
                <c:pt idx="39">
                  <c:v>-2.2482000000000002E-2</c:v>
                </c:pt>
                <c:pt idx="40">
                  <c:v>-1.9199000000000001E-2</c:v>
                </c:pt>
                <c:pt idx="41">
                  <c:v>-1.8555999999999996E-2</c:v>
                </c:pt>
                <c:pt idx="42">
                  <c:v>-1.1719E-2</c:v>
                </c:pt>
                <c:pt idx="43">
                  <c:v>-5.4740000000000066E-3</c:v>
                </c:pt>
                <c:pt idx="44">
                  <c:v>-1.3997999999999997E-2</c:v>
                </c:pt>
                <c:pt idx="45">
                  <c:v>-8.3509999999999973E-3</c:v>
                </c:pt>
                <c:pt idx="46">
                  <c:v>-3.7410000000000013E-3</c:v>
                </c:pt>
                <c:pt idx="47">
                  <c:v>-1.7156999999999999E-2</c:v>
                </c:pt>
                <c:pt idx="48">
                  <c:v>-1.6666E-2</c:v>
                </c:pt>
                <c:pt idx="49">
                  <c:v>-2.8129999999999995E-3</c:v>
                </c:pt>
                <c:pt idx="50">
                  <c:v>-1.0000000000003062E-5</c:v>
                </c:pt>
                <c:pt idx="51">
                  <c:v>-1.0433999999999999E-2</c:v>
                </c:pt>
                <c:pt idx="52">
                  <c:v>-1.9819999999999997E-2</c:v>
                </c:pt>
                <c:pt idx="53">
                  <c:v>7.4469999999999953E-3</c:v>
                </c:pt>
                <c:pt idx="54">
                  <c:v>-4.8600000000000032E-4</c:v>
                </c:pt>
                <c:pt idx="55">
                  <c:v>-2.6296E-2</c:v>
                </c:pt>
                <c:pt idx="56">
                  <c:v>8.9099999999999987E-4</c:v>
                </c:pt>
                <c:pt idx="57">
                  <c:v>-6.4580000000000002E-3</c:v>
                </c:pt>
                <c:pt idx="58">
                  <c:v>-1.7250000000000001E-2</c:v>
                </c:pt>
                <c:pt idx="59">
                  <c:v>-2.5787000000000001E-2</c:v>
                </c:pt>
                <c:pt idx="60">
                  <c:v>-9.8579999999999987E-3</c:v>
                </c:pt>
                <c:pt idx="61">
                  <c:v>-4.163E-3</c:v>
                </c:pt>
                <c:pt idx="62">
                  <c:v>-2.0447E-2</c:v>
                </c:pt>
                <c:pt idx="63">
                  <c:v>-2.9935000000000003E-2</c:v>
                </c:pt>
                <c:pt idx="64">
                  <c:v>-2.8646999999999999E-2</c:v>
                </c:pt>
                <c:pt idx="65">
                  <c:v>-2.4235E-2</c:v>
                </c:pt>
                <c:pt idx="66">
                  <c:v>-1.7995000000000004E-2</c:v>
                </c:pt>
                <c:pt idx="67">
                  <c:v>-1.7125000000000001E-2</c:v>
                </c:pt>
                <c:pt idx="68">
                  <c:v>-2.8506000000000004E-2</c:v>
                </c:pt>
                <c:pt idx="69">
                  <c:v>-1.5317999999999998E-2</c:v>
                </c:pt>
                <c:pt idx="70">
                  <c:v>-3.7816000000000002E-2</c:v>
                </c:pt>
                <c:pt idx="71">
                  <c:v>-1.3355000000000006E-2</c:v>
                </c:pt>
                <c:pt idx="72">
                  <c:v>2.4523E-2</c:v>
                </c:pt>
                <c:pt idx="73">
                  <c:v>-1.9929999999999996E-2</c:v>
                </c:pt>
                <c:pt idx="74">
                  <c:v>-1.5611000000000007E-2</c:v>
                </c:pt>
                <c:pt idx="75">
                  <c:v>-3.4094999999999993E-2</c:v>
                </c:pt>
                <c:pt idx="76">
                  <c:v>-1.9396000000000004E-2</c:v>
                </c:pt>
                <c:pt idx="77">
                  <c:v>-2.1872000000000003E-2</c:v>
                </c:pt>
                <c:pt idx="78">
                  <c:v>-7.3510000000000103E-3</c:v>
                </c:pt>
                <c:pt idx="79">
                  <c:v>-2.9932E-2</c:v>
                </c:pt>
                <c:pt idx="80">
                  <c:v>-2.2144000000000004E-2</c:v>
                </c:pt>
                <c:pt idx="81">
                  <c:v>-1.9904999999999999E-2</c:v>
                </c:pt>
                <c:pt idx="82">
                  <c:v>-4.8108999999999999E-2</c:v>
                </c:pt>
                <c:pt idx="83">
                  <c:v>-2.5981999999999998E-2</c:v>
                </c:pt>
                <c:pt idx="84">
                  <c:v>-3.7002E-2</c:v>
                </c:pt>
                <c:pt idx="85">
                  <c:v>-3.9625000000000007E-2</c:v>
                </c:pt>
                <c:pt idx="86">
                  <c:v>-3.1413000000000003E-2</c:v>
                </c:pt>
                <c:pt idx="87">
                  <c:v>-3.2265999999999996E-2</c:v>
                </c:pt>
                <c:pt idx="88">
                  <c:v>-4.1682999999999998E-2</c:v>
                </c:pt>
                <c:pt idx="89">
                  <c:v>-2.9616999999999997E-2</c:v>
                </c:pt>
                <c:pt idx="90">
                  <c:v>-3.0733999999999997E-2</c:v>
                </c:pt>
                <c:pt idx="91">
                  <c:v>-5.1875000000000004E-2</c:v>
                </c:pt>
                <c:pt idx="92">
                  <c:v>-5.5925999999999997E-2</c:v>
                </c:pt>
                <c:pt idx="93">
                  <c:v>-3.8376E-2</c:v>
                </c:pt>
                <c:pt idx="94">
                  <c:v>-1.0879999999999999E-2</c:v>
                </c:pt>
                <c:pt idx="95">
                  <c:v>3.5790000000000006E-3</c:v>
                </c:pt>
                <c:pt idx="96">
                  <c:v>-6.6520000000000017E-3</c:v>
                </c:pt>
                <c:pt idx="97">
                  <c:v>-1.9640000000000001E-2</c:v>
                </c:pt>
                <c:pt idx="98">
                  <c:v>-3.8019999999999998E-3</c:v>
                </c:pt>
                <c:pt idx="99">
                  <c:v>-1.7184999999999999E-2</c:v>
                </c:pt>
                <c:pt idx="100">
                  <c:v>2.3799999999999863E-4</c:v>
                </c:pt>
                <c:pt idx="101">
                  <c:v>5.3079999999999985E-3</c:v>
                </c:pt>
                <c:pt idx="102">
                  <c:v>2.0139999999999998E-2</c:v>
                </c:pt>
                <c:pt idx="103">
                  <c:v>3.3120000000000004E-2</c:v>
                </c:pt>
                <c:pt idx="104">
                  <c:v>1.5252999999999999E-2</c:v>
                </c:pt>
                <c:pt idx="105">
                  <c:v>3.1699999999999999E-2</c:v>
                </c:pt>
                <c:pt idx="106">
                  <c:v>2.2332000000000001E-2</c:v>
                </c:pt>
                <c:pt idx="107">
                  <c:v>2.0500999999999998E-2</c:v>
                </c:pt>
                <c:pt idx="108">
                  <c:v>1.5872000000000001E-2</c:v>
                </c:pt>
                <c:pt idx="109">
                  <c:v>1.9425000000000001E-2</c:v>
                </c:pt>
                <c:pt idx="110">
                  <c:v>2.1814999999999998E-2</c:v>
                </c:pt>
                <c:pt idx="111">
                  <c:v>2.9578E-2</c:v>
                </c:pt>
                <c:pt idx="112">
                  <c:v>2.9802999999999996E-2</c:v>
                </c:pt>
                <c:pt idx="113">
                  <c:v>1.9851000000000001E-2</c:v>
                </c:pt>
                <c:pt idx="114">
                  <c:v>1.7704000000000001E-2</c:v>
                </c:pt>
                <c:pt idx="115">
                  <c:v>2.2891999999999999E-2</c:v>
                </c:pt>
                <c:pt idx="116">
                  <c:v>1.4196E-2</c:v>
                </c:pt>
                <c:pt idx="117">
                  <c:v>9.9699999999999997E-3</c:v>
                </c:pt>
                <c:pt idx="118">
                  <c:v>7.3939999999999978E-3</c:v>
                </c:pt>
                <c:pt idx="119">
                  <c:v>1.0976E-2</c:v>
                </c:pt>
                <c:pt idx="120">
                  <c:v>2.9969999999999997E-3</c:v>
                </c:pt>
                <c:pt idx="121">
                  <c:v>5.7550000000000032E-3</c:v>
                </c:pt>
                <c:pt idx="122">
                  <c:v>4.499000000000003E-3</c:v>
                </c:pt>
                <c:pt idx="123">
                  <c:v>-2.5059999999999943E-3</c:v>
                </c:pt>
                <c:pt idx="124">
                  <c:v>1.0711999999999999E-2</c:v>
                </c:pt>
                <c:pt idx="125">
                  <c:v>5.398E-3</c:v>
                </c:pt>
                <c:pt idx="126">
                  <c:v>4.8769999999999925E-3</c:v>
                </c:pt>
                <c:pt idx="127">
                  <c:v>-7.4660000000000004E-3</c:v>
                </c:pt>
                <c:pt idx="128">
                  <c:v>2.924999999999997E-3</c:v>
                </c:pt>
                <c:pt idx="129">
                  <c:v>2.9679999999999984E-3</c:v>
                </c:pt>
                <c:pt idx="130">
                  <c:v>4.0619999999999823E-3</c:v>
                </c:pt>
                <c:pt idx="131">
                  <c:v>-5.5049999999999821E-3</c:v>
                </c:pt>
                <c:pt idx="132">
                  <c:v>2.6520000000000155E-3</c:v>
                </c:pt>
                <c:pt idx="133">
                  <c:v>2.1529999999999883E-3</c:v>
                </c:pt>
                <c:pt idx="134">
                  <c:v>2.5690000000000157E-3</c:v>
                </c:pt>
                <c:pt idx="135">
                  <c:v>2.2609999999999852E-3</c:v>
                </c:pt>
                <c:pt idx="136">
                  <c:v>2.1040000000000225E-3</c:v>
                </c:pt>
                <c:pt idx="137">
                  <c:v>2.5119999999999865E-3</c:v>
                </c:pt>
                <c:pt idx="138">
                  <c:v>2.2699999999999942E-3</c:v>
                </c:pt>
                <c:pt idx="139">
                  <c:v>6.616999999999984E-3</c:v>
                </c:pt>
                <c:pt idx="140">
                  <c:v>2.1270000000000178E-3</c:v>
                </c:pt>
                <c:pt idx="141">
                  <c:v>2.7620000000000144E-3</c:v>
                </c:pt>
                <c:pt idx="142">
                  <c:v>2.6699999999999779E-3</c:v>
                </c:pt>
                <c:pt idx="143">
                  <c:v>-9.7999999999986986E-5</c:v>
                </c:pt>
                <c:pt idx="144">
                  <c:v>3.9160000000000306E-3</c:v>
                </c:pt>
                <c:pt idx="145">
                  <c:v>3.5229999999999984E-3</c:v>
                </c:pt>
                <c:pt idx="146">
                  <c:v>4.868000000000039E-3</c:v>
                </c:pt>
                <c:pt idx="147">
                  <c:v>5.9879999999999933E-3</c:v>
                </c:pt>
                <c:pt idx="148">
                  <c:v>6.5379999999999883E-3</c:v>
                </c:pt>
                <c:pt idx="149">
                  <c:v>7.6390000000000069E-3</c:v>
                </c:pt>
                <c:pt idx="150">
                  <c:v>8.9770000000000127E-3</c:v>
                </c:pt>
                <c:pt idx="151">
                  <c:v>9.5569999999999822E-3</c:v>
                </c:pt>
                <c:pt idx="152">
                  <c:v>1.2017E-2</c:v>
                </c:pt>
                <c:pt idx="153">
                  <c:v>1.1478000000000044E-2</c:v>
                </c:pt>
                <c:pt idx="154">
                  <c:v>1.1983999999999995E-2</c:v>
                </c:pt>
                <c:pt idx="155">
                  <c:v>1.0305000000000009E-2</c:v>
                </c:pt>
                <c:pt idx="156">
                  <c:v>1.2451000000000045E-2</c:v>
                </c:pt>
                <c:pt idx="157">
                  <c:v>7.4009999999999909E-3</c:v>
                </c:pt>
                <c:pt idx="158">
                  <c:v>3.6329999999999973E-3</c:v>
                </c:pt>
                <c:pt idx="159">
                  <c:v>5.6720000000000104E-3</c:v>
                </c:pt>
                <c:pt idx="160">
                  <c:v>4.8329999999999762E-3</c:v>
                </c:pt>
                <c:pt idx="161">
                  <c:v>2.448999999999979E-3</c:v>
                </c:pt>
                <c:pt idx="162">
                  <c:v>3.2650000000000179E-3</c:v>
                </c:pt>
                <c:pt idx="163">
                  <c:v>1.2440000000000229E-3</c:v>
                </c:pt>
                <c:pt idx="164">
                  <c:v>1.9239999999999813E-3</c:v>
                </c:pt>
                <c:pt idx="165">
                  <c:v>1.4750000000000041E-3</c:v>
                </c:pt>
                <c:pt idx="166">
                  <c:v>2.3440000000000127E-3</c:v>
                </c:pt>
                <c:pt idx="167">
                  <c:v>1.3099999999999778E-3</c:v>
                </c:pt>
                <c:pt idx="168">
                  <c:v>3.3600000000000296E-4</c:v>
                </c:pt>
                <c:pt idx="169">
                  <c:v>9.9599999999999689E-4</c:v>
                </c:pt>
                <c:pt idx="170">
                  <c:v>1.106299999999999E-2</c:v>
                </c:pt>
                <c:pt idx="171">
                  <c:v>7.5799999999998091E-4</c:v>
                </c:pt>
                <c:pt idx="172">
                  <c:v>8.7300000000001265E-4</c:v>
                </c:pt>
                <c:pt idx="173">
                  <c:v>1.0339999999999794E-3</c:v>
                </c:pt>
                <c:pt idx="174">
                  <c:v>4.149999999999987E-4</c:v>
                </c:pt>
                <c:pt idx="175">
                  <c:v>7.7599999999999891E-4</c:v>
                </c:pt>
                <c:pt idx="176">
                  <c:v>1.1300000000000199E-4</c:v>
                </c:pt>
                <c:pt idx="178">
                  <c:v>2.6309999999999945E-3</c:v>
                </c:pt>
                <c:pt idx="179">
                  <c:v>5.5499999999999994E-4</c:v>
                </c:pt>
                <c:pt idx="180">
                  <c:v>5.1599999999998869E-4</c:v>
                </c:pt>
                <c:pt idx="181">
                  <c:v>3.7500000000001421E-4</c:v>
                </c:pt>
                <c:pt idx="182">
                  <c:v>1.7390000000000183E-3</c:v>
                </c:pt>
                <c:pt idx="183">
                  <c:v>-1.5200000000001324E-4</c:v>
                </c:pt>
                <c:pt idx="184">
                  <c:v>-1.8509999999999915E-3</c:v>
                </c:pt>
                <c:pt idx="185">
                  <c:v>-1.0340000000000071E-3</c:v>
                </c:pt>
                <c:pt idx="186">
                  <c:v>-4.9420000000000019E-3</c:v>
                </c:pt>
                <c:pt idx="187">
                  <c:v>-2.0550000000000013E-3</c:v>
                </c:pt>
                <c:pt idx="188">
                  <c:v>1.7069999999999863E-3</c:v>
                </c:pt>
                <c:pt idx="189">
                  <c:v>-1.8920000000000048E-3</c:v>
                </c:pt>
                <c:pt idx="190">
                  <c:v>2.9589999999999894E-3</c:v>
                </c:pt>
                <c:pt idx="191">
                  <c:v>-1.8339999999999884E-3</c:v>
                </c:pt>
                <c:pt idx="192">
                  <c:v>-8.197999999999997E-3</c:v>
                </c:pt>
                <c:pt idx="193">
                  <c:v>-7.0339999999999986E-3</c:v>
                </c:pt>
                <c:pt idx="194">
                  <c:v>-6.1570000000000097E-3</c:v>
                </c:pt>
                <c:pt idx="195">
                  <c:v>-1.1721999999999996E-2</c:v>
                </c:pt>
                <c:pt idx="196">
                  <c:v>-1.2759999999999994E-2</c:v>
                </c:pt>
                <c:pt idx="197">
                  <c:v>-7.8980000000000022E-3</c:v>
                </c:pt>
                <c:pt idx="198">
                  <c:v>-4.0990000000000054E-3</c:v>
                </c:pt>
                <c:pt idx="199">
                  <c:v>1.8249999999999933E-3</c:v>
                </c:pt>
                <c:pt idx="200">
                  <c:v>-8.1589999999999996E-3</c:v>
                </c:pt>
                <c:pt idx="201">
                  <c:v>-6.3399999999999568E-4</c:v>
                </c:pt>
                <c:pt idx="202">
                  <c:v>1.6129999999999964E-3</c:v>
                </c:pt>
                <c:pt idx="203">
                  <c:v>-7.8490000000000087E-3</c:v>
                </c:pt>
                <c:pt idx="204">
                  <c:v>-2.1576999999999999E-2</c:v>
                </c:pt>
                <c:pt idx="205">
                  <c:v>-2.1058999999999994E-2</c:v>
                </c:pt>
                <c:pt idx="206">
                  <c:v>-1.7245999999999997E-2</c:v>
                </c:pt>
                <c:pt idx="207">
                  <c:v>-1.4973E-2</c:v>
                </c:pt>
                <c:pt idx="208">
                  <c:v>-1.2815999999999994E-2</c:v>
                </c:pt>
                <c:pt idx="209">
                  <c:v>1.0300000000000031E-3</c:v>
                </c:pt>
                <c:pt idx="210">
                  <c:v>-1.2209999999999999E-3</c:v>
                </c:pt>
                <c:pt idx="211">
                  <c:v>-6.1390000000000056E-3</c:v>
                </c:pt>
                <c:pt idx="212">
                  <c:v>-1.3403999999999999E-2</c:v>
                </c:pt>
                <c:pt idx="213">
                  <c:v>-3.5155000000000006E-2</c:v>
                </c:pt>
                <c:pt idx="214">
                  <c:v>-3.0185999999999991E-2</c:v>
                </c:pt>
                <c:pt idx="215">
                  <c:v>-3.3065999999999998E-2</c:v>
                </c:pt>
                <c:pt idx="216">
                  <c:v>-4.0585999999999997E-2</c:v>
                </c:pt>
                <c:pt idx="217">
                  <c:v>-5.2626999999999993E-2</c:v>
                </c:pt>
                <c:pt idx="218">
                  <c:v>-5.9495999999999993E-2</c:v>
                </c:pt>
                <c:pt idx="219">
                  <c:v>-6.2513999999999986E-2</c:v>
                </c:pt>
                <c:pt idx="220">
                  <c:v>-6.7764999999999992E-2</c:v>
                </c:pt>
                <c:pt idx="221">
                  <c:v>-6.3994000000000009E-2</c:v>
                </c:pt>
                <c:pt idx="222">
                  <c:v>-5.3889000000000006E-2</c:v>
                </c:pt>
                <c:pt idx="223">
                  <c:v>-4.7885999999999998E-2</c:v>
                </c:pt>
                <c:pt idx="224">
                  <c:v>-3.0342999999999995E-2</c:v>
                </c:pt>
                <c:pt idx="225">
                  <c:v>-7.0776000000000006E-2</c:v>
                </c:pt>
                <c:pt idx="226">
                  <c:v>-3.8216000000000007E-2</c:v>
                </c:pt>
                <c:pt idx="227">
                  <c:v>-5.8736000000000003E-2</c:v>
                </c:pt>
                <c:pt idx="228">
                  <c:v>-6.4200000000000007E-2</c:v>
                </c:pt>
                <c:pt idx="229">
                  <c:v>-5.9701000000000004E-2</c:v>
                </c:pt>
                <c:pt idx="230">
                  <c:v>-5.8070999999999998E-2</c:v>
                </c:pt>
                <c:pt idx="231">
                  <c:v>-5.6863000000000004E-2</c:v>
                </c:pt>
                <c:pt idx="232">
                  <c:v>-4.2912000000000006E-2</c:v>
                </c:pt>
                <c:pt idx="233">
                  <c:v>-3.1073999999999997E-2</c:v>
                </c:pt>
                <c:pt idx="234">
                  <c:v>-5.1980999999999999E-2</c:v>
                </c:pt>
                <c:pt idx="235">
                  <c:v>-3.1088999999999999E-2</c:v>
                </c:pt>
                <c:pt idx="236">
                  <c:v>-5.0629999999955544E-2</c:v>
                </c:pt>
                <c:pt idx="237">
                  <c:v>-2.377400000000307E-2</c:v>
                </c:pt>
                <c:pt idx="238">
                  <c:v>-2.2679999999581923E-3</c:v>
                </c:pt>
                <c:pt idx="239">
                  <c:v>5.6770000001051812E-3</c:v>
                </c:pt>
                <c:pt idx="240">
                  <c:v>6.8830000000161817E-3</c:v>
                </c:pt>
                <c:pt idx="241">
                  <c:v>-1.6033999999990556E-2</c:v>
                </c:pt>
                <c:pt idx="242">
                  <c:v>3.4719999998742423E-3</c:v>
                </c:pt>
                <c:pt idx="243">
                  <c:v>5.0169999999525317E-3</c:v>
                </c:pt>
                <c:pt idx="244">
                  <c:v>-2.9509999999390857E-3</c:v>
                </c:pt>
                <c:pt idx="245">
                  <c:v>-1.5408999999863227E-2</c:v>
                </c:pt>
                <c:pt idx="246">
                  <c:v>-1.89700000000812E-2</c:v>
                </c:pt>
                <c:pt idx="247">
                  <c:v>-3.8959999999406136E-3</c:v>
                </c:pt>
                <c:pt idx="248">
                  <c:v>-1.1081999999987602E-2</c:v>
                </c:pt>
                <c:pt idx="249">
                  <c:v>-1.1164999999891734E-2</c:v>
                </c:pt>
                <c:pt idx="250">
                  <c:v>-2.250699999990502E-2</c:v>
                </c:pt>
                <c:pt idx="251">
                  <c:v>-1.9885000000044784E-2</c:v>
                </c:pt>
                <c:pt idx="252">
                  <c:v>-9.4339999999419888E-3</c:v>
                </c:pt>
                <c:pt idx="253">
                  <c:v>-3.611999999998261E-2</c:v>
                </c:pt>
                <c:pt idx="254">
                  <c:v>-1.2657999999987624E-2</c:v>
                </c:pt>
                <c:pt idx="255">
                  <c:v>-3.2988999999929547E-2</c:v>
                </c:pt>
                <c:pt idx="256">
                  <c:v>-5.0414999999929933E-2</c:v>
                </c:pt>
                <c:pt idx="257">
                  <c:v>-2.2300000000541331E-3</c:v>
                </c:pt>
                <c:pt idx="258">
                  <c:v>5.7370000000673826E-3</c:v>
                </c:pt>
                <c:pt idx="259">
                  <c:v>4.8610000000053333E-3</c:v>
                </c:pt>
                <c:pt idx="260">
                  <c:v>-1.4770000000225991E-3</c:v>
                </c:pt>
                <c:pt idx="261">
                  <c:v>-2.7000000000043656E-4</c:v>
                </c:pt>
                <c:pt idx="262">
                  <c:v>1.9049999999651845E-3</c:v>
                </c:pt>
                <c:pt idx="263">
                  <c:v>6.8489999999883366E-3</c:v>
                </c:pt>
                <c:pt idx="264">
                  <c:v>-4.0510000000040236E-3</c:v>
                </c:pt>
                <c:pt idx="265">
                  <c:v>7.8619999999318679E-3</c:v>
                </c:pt>
                <c:pt idx="266">
                  <c:v>5.7179999998879794E-3</c:v>
                </c:pt>
                <c:pt idx="267">
                  <c:v>1.1010999999825799E-2</c:v>
                </c:pt>
                <c:pt idx="268">
                  <c:v>5.4629999999633583E-3</c:v>
                </c:pt>
                <c:pt idx="269">
                  <c:v>3.6909999998897547E-3</c:v>
                </c:pt>
                <c:pt idx="270">
                  <c:v>1.6820000000734581E-3</c:v>
                </c:pt>
                <c:pt idx="271">
                  <c:v>2.0109000000047672E-2</c:v>
                </c:pt>
                <c:pt idx="272">
                  <c:v>5.5110000000695436E-3</c:v>
                </c:pt>
                <c:pt idx="273">
                  <c:v>7.4349999999867578E-3</c:v>
                </c:pt>
                <c:pt idx="274">
                  <c:v>6.8289999999251449E-3</c:v>
                </c:pt>
                <c:pt idx="275">
                  <c:v>5.6729999998879066E-3</c:v>
                </c:pt>
                <c:pt idx="276">
                  <c:v>1.4210999999932028E-2</c:v>
                </c:pt>
                <c:pt idx="277">
                  <c:v>7.1690000002035958E-3</c:v>
                </c:pt>
                <c:pt idx="278">
                  <c:v>6.7109999999956926E-3</c:v>
                </c:pt>
                <c:pt idx="279">
                  <c:v>7.5249999999869033E-3</c:v>
                </c:pt>
                <c:pt idx="280">
                  <c:v>3.7270000000262371E-3</c:v>
                </c:pt>
                <c:pt idx="281">
                  <c:v>1.3530000000173459E-2</c:v>
                </c:pt>
                <c:pt idx="282">
                  <c:v>1.3380000000324799E-3</c:v>
                </c:pt>
                <c:pt idx="283">
                  <c:v>-5.2099999993515667E-4</c:v>
                </c:pt>
                <c:pt idx="284">
                  <c:v>4.0299999977833068E-4</c:v>
                </c:pt>
                <c:pt idx="285">
                  <c:v>-1.410000000078071E-3</c:v>
                </c:pt>
                <c:pt idx="286">
                  <c:v>-7.2900000009212818E-4</c:v>
                </c:pt>
                <c:pt idx="287">
                  <c:v>-2.7159999999639695E-3</c:v>
                </c:pt>
                <c:pt idx="288">
                  <c:v>-1.4320000000225264E-3</c:v>
                </c:pt>
                <c:pt idx="289">
                  <c:v>-1.2560000000121363E-3</c:v>
                </c:pt>
                <c:pt idx="290">
                  <c:v>-1.8100000011145312E-4</c:v>
                </c:pt>
                <c:pt idx="291">
                  <c:v>-4.1400000009161886E-4</c:v>
                </c:pt>
                <c:pt idx="292">
                  <c:v>-5.0199999986944022E-4</c:v>
                </c:pt>
                <c:pt idx="293">
                  <c:v>-3.2570000000760047E-3</c:v>
                </c:pt>
                <c:pt idx="294">
                  <c:v>3.5999999909108737E-5</c:v>
                </c:pt>
                <c:pt idx="295">
                  <c:v>1.1600000016187551E-4</c:v>
                </c:pt>
                <c:pt idx="296">
                  <c:v>-3.309999999601132E-4</c:v>
                </c:pt>
                <c:pt idx="297">
                  <c:v>2.1000000060666935E-5</c:v>
                </c:pt>
                <c:pt idx="298">
                  <c:v>-4.7100000006139453E-4</c:v>
                </c:pt>
                <c:pt idx="299">
                  <c:v>-6.6800000013245153E-4</c:v>
                </c:pt>
                <c:pt idx="300">
                  <c:v>-1.0299999999006104E-3</c:v>
                </c:pt>
                <c:pt idx="301">
                  <c:v>3.6099999988437048E-4</c:v>
                </c:pt>
                <c:pt idx="302">
                  <c:v>-2.2999999998774001E-3</c:v>
                </c:pt>
                <c:pt idx="303">
                  <c:v>-1.9049999998514977E-3</c:v>
                </c:pt>
                <c:pt idx="304">
                  <c:v>-3.6010000001169828E-3</c:v>
                </c:pt>
                <c:pt idx="305">
                  <c:v>-1.6339999999672727E-3</c:v>
                </c:pt>
                <c:pt idx="306">
                  <c:v>-1.6089999999167048E-3</c:v>
                </c:pt>
                <c:pt idx="307">
                  <c:v>-5.8269999999538413E-3</c:v>
                </c:pt>
                <c:pt idx="308">
                  <c:v>-6.4149999998335261E-3</c:v>
                </c:pt>
                <c:pt idx="309">
                  <c:v>-4.9269999999523861E-3</c:v>
                </c:pt>
                <c:pt idx="310">
                  <c:v>-9.0119999999842548E-3</c:v>
                </c:pt>
                <c:pt idx="311">
                  <c:v>-9.3830000000707514E-3</c:v>
                </c:pt>
                <c:pt idx="312">
                  <c:v>-4.8240000000987493E-3</c:v>
                </c:pt>
                <c:pt idx="313">
                  <c:v>-2.5139999997918494E-3</c:v>
                </c:pt>
                <c:pt idx="314">
                  <c:v>-5.703999999923326E-3</c:v>
                </c:pt>
                <c:pt idx="315">
                  <c:v>-4.9460000000181026E-3</c:v>
                </c:pt>
                <c:pt idx="316">
                  <c:v>-2.7900000000045111E-3</c:v>
                </c:pt>
                <c:pt idx="317">
                  <c:v>-8.9000000002670276E-4</c:v>
                </c:pt>
                <c:pt idx="318">
                  <c:v>-2.9329999999845313E-3</c:v>
                </c:pt>
                <c:pt idx="319">
                  <c:v>-2.8930000000855216E-3</c:v>
                </c:pt>
                <c:pt idx="320">
                  <c:v>-1.9480000000839937E-3</c:v>
                </c:pt>
                <c:pt idx="321">
                  <c:v>-1.8939999999929569E-3</c:v>
                </c:pt>
                <c:pt idx="322">
                  <c:v>1.5219999999999345E-2</c:v>
                </c:pt>
                <c:pt idx="323">
                  <c:v>-3.4099999993486563E-4</c:v>
                </c:pt>
                <c:pt idx="324">
                  <c:v>-6.4900000006673508E-4</c:v>
                </c:pt>
                <c:pt idx="325">
                  <c:v>-3.3200000007127528E-4</c:v>
                </c:pt>
                <c:pt idx="326">
                  <c:v>2.2850000000289583E-3</c:v>
                </c:pt>
                <c:pt idx="327">
                  <c:v>-2.2100000001046283E-4</c:v>
                </c:pt>
                <c:pt idx="328">
                  <c:v>1.4200000009623182E-4</c:v>
                </c:pt>
                <c:pt idx="329">
                  <c:v>-9.8999999863735866E-5</c:v>
                </c:pt>
                <c:pt idx="330">
                  <c:v>4.9349999999321881E-3</c:v>
                </c:pt>
                <c:pt idx="331">
                  <c:v>-1.5200000007098424E-4</c:v>
                </c:pt>
                <c:pt idx="332">
                  <c:v>-9.640000000672444E-4</c:v>
                </c:pt>
                <c:pt idx="333">
                  <c:v>-1.5610000000378932E-3</c:v>
                </c:pt>
                <c:pt idx="334">
                  <c:v>3.8589999999203428E-3</c:v>
                </c:pt>
                <c:pt idx="335">
                  <c:v>-1.8600000000787986E-3</c:v>
                </c:pt>
                <c:pt idx="336">
                  <c:v>-2.635000000054788E-3</c:v>
                </c:pt>
                <c:pt idx="337">
                  <c:v>-4.6409999999923457E-3</c:v>
                </c:pt>
                <c:pt idx="338">
                  <c:v>-5.6589999999232532E-3</c:v>
                </c:pt>
                <c:pt idx="339">
                  <c:v>-5.8309999999437423E-3</c:v>
                </c:pt>
                <c:pt idx="340">
                  <c:v>-5.6419999998524872E-3</c:v>
                </c:pt>
                <c:pt idx="341">
                  <c:v>-1.0336000000052081E-2</c:v>
                </c:pt>
                <c:pt idx="342">
                  <c:v>-3.7419999998746789E-3</c:v>
                </c:pt>
                <c:pt idx="343">
                  <c:v>-9.9700000000666478E-3</c:v>
                </c:pt>
                <c:pt idx="344">
                  <c:v>-7.8250000001389708E-3</c:v>
                </c:pt>
                <c:pt idx="345">
                  <c:v>-1.6986000000088097E-2</c:v>
                </c:pt>
                <c:pt idx="346">
                  <c:v>-8.5790000000542932E-3</c:v>
                </c:pt>
                <c:pt idx="347">
                  <c:v>-5.1630000000386644E-3</c:v>
                </c:pt>
                <c:pt idx="348">
                  <c:v>-9.6609999998236162E-3</c:v>
                </c:pt>
                <c:pt idx="349">
                  <c:v>-1.1553000000048996E-2</c:v>
                </c:pt>
                <c:pt idx="350">
                  <c:v>-4.2710000000170112E-3</c:v>
                </c:pt>
                <c:pt idx="351">
                  <c:v>-1.5047000000095068E-2</c:v>
                </c:pt>
                <c:pt idx="352">
                  <c:v>3.376000000116619E-3</c:v>
                </c:pt>
                <c:pt idx="353">
                  <c:v>7.7870000000075379E-3</c:v>
                </c:pt>
                <c:pt idx="354">
                  <c:v>2.4229999999079155E-3</c:v>
                </c:pt>
                <c:pt idx="355">
                  <c:v>6.8400000009205542E-4</c:v>
                </c:pt>
                <c:pt idx="356">
                  <c:v>-1.6035999999985506E-2</c:v>
                </c:pt>
                <c:pt idx="357">
                  <c:v>-3.192000000126427E-3</c:v>
                </c:pt>
                <c:pt idx="358">
                  <c:v>-7.9070000000456275E-3</c:v>
                </c:pt>
                <c:pt idx="359">
                  <c:v>-1.6909999999370484E-3</c:v>
                </c:pt>
                <c:pt idx="360">
                  <c:v>1.1875999999915621E-2</c:v>
                </c:pt>
                <c:pt idx="361">
                  <c:v>7.202000000006592E-3</c:v>
                </c:pt>
                <c:pt idx="362">
                  <c:v>1.0070999999925334E-2</c:v>
                </c:pt>
                <c:pt idx="363">
                  <c:v>5.1260000000183936E-3</c:v>
                </c:pt>
                <c:pt idx="364">
                  <c:v>1.6394999999988613E-2</c:v>
                </c:pt>
                <c:pt idx="365">
                  <c:v>-5.8400000000347063E-4</c:v>
                </c:pt>
                <c:pt idx="366">
                  <c:v>1.4245999999957348E-2</c:v>
                </c:pt>
                <c:pt idx="367">
                  <c:v>1.8880999999964843E-2</c:v>
                </c:pt>
                <c:pt idx="368">
                  <c:v>2.5828999999930602E-2</c:v>
                </c:pt>
                <c:pt idx="369">
                  <c:v>1.1657000000013795E-2</c:v>
                </c:pt>
                <c:pt idx="370">
                  <c:v>1.8730000000459768E-3</c:v>
                </c:pt>
                <c:pt idx="371">
                  <c:v>1.5497999999979584E-2</c:v>
                </c:pt>
                <c:pt idx="372">
                  <c:v>8.6950000001024819E-3</c:v>
                </c:pt>
                <c:pt idx="373">
                  <c:v>-9.3930000000455038E-3</c:v>
                </c:pt>
                <c:pt idx="374">
                  <c:v>1.0515999999824999E-2</c:v>
                </c:pt>
                <c:pt idx="375">
                  <c:v>1.9354999999904976E-2</c:v>
                </c:pt>
                <c:pt idx="376">
                  <c:v>2.736800000002404E-2</c:v>
                </c:pt>
                <c:pt idx="377">
                  <c:v>1.1560999999801425E-2</c:v>
                </c:pt>
                <c:pt idx="378">
                  <c:v>1.0226999999986219E-2</c:v>
                </c:pt>
                <c:pt idx="379">
                  <c:v>3.3124000000043452E-2</c:v>
                </c:pt>
                <c:pt idx="380">
                  <c:v>3.8762000000133412E-2</c:v>
                </c:pt>
                <c:pt idx="381">
                  <c:v>2.0093999999971857E-2</c:v>
                </c:pt>
                <c:pt idx="382">
                  <c:v>1.6086999999970431E-2</c:v>
                </c:pt>
                <c:pt idx="383">
                  <c:v>5.0037999999858584E-2</c:v>
                </c:pt>
                <c:pt idx="384">
                  <c:v>2.389999999650172E-4</c:v>
                </c:pt>
                <c:pt idx="385">
                  <c:v>2.6909999999816137E-2</c:v>
                </c:pt>
                <c:pt idx="386">
                  <c:v>1.421899999991183E-2</c:v>
                </c:pt>
                <c:pt idx="387">
                  <c:v>1.1046000000078493E-2</c:v>
                </c:pt>
              </c:numCache>
            </c:numRef>
          </c:yVal>
          <c:smooth val="0"/>
          <c:extLst xmlns:c16r2="http://schemas.microsoft.com/office/drawing/2015/06/chart">
            <c:ext xmlns:c16="http://schemas.microsoft.com/office/drawing/2014/chart" uri="{C3380CC4-5D6E-409C-BE32-E72D297353CC}">
              <c16:uniqueId val="{00000002-1791-4EE4-93EA-F60B9615A392}"/>
            </c:ext>
          </c:extLst>
        </c:ser>
        <c:dLbls>
          <c:showLegendKey val="0"/>
          <c:showVal val="0"/>
          <c:showCatName val="0"/>
          <c:showSerName val="0"/>
          <c:showPercent val="0"/>
          <c:showBubbleSize val="0"/>
        </c:dLbls>
        <c:axId val="369161512"/>
        <c:axId val="369168176"/>
      </c:scatterChart>
      <c:valAx>
        <c:axId val="3691615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168176"/>
        <c:crosses val="autoZero"/>
        <c:crossBetween val="midCat"/>
      </c:valAx>
      <c:valAx>
        <c:axId val="369168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1615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J4m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5B0-4CBB-BB1A-27603020B14A}"/>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C5B0-4CBB-BB1A-27603020B14A}"/>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C5B0-4CBB-BB1A-27603020B14A}"/>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C5B0-4CBB-BB1A-27603020B14A}"/>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C5B0-4CBB-BB1A-27603020B14A}"/>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C5B0-4CBB-BB1A-27603020B14A}"/>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C5B0-4CBB-BB1A-27603020B14A}"/>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C5B0-4CBB-BB1A-27603020B14A}"/>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C5B0-4CBB-BB1A-27603020B14A}"/>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C5B0-4CBB-BB1A-27603020B14A}"/>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C5B0-4CBB-BB1A-27603020B14A}"/>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C5B0-4CBB-BB1A-27603020B14A}"/>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C5B0-4CBB-BB1A-27603020B14A}"/>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C5B0-4CBB-BB1A-27603020B14A}"/>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C5B0-4CBB-BB1A-27603020B14A}"/>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C5B0-4CBB-BB1A-27603020B14A}"/>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C5B0-4CBB-BB1A-27603020B14A}"/>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C5B0-4CBB-BB1A-27603020B14A}"/>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C5B0-4CBB-BB1A-27603020B14A}"/>
            </c:ext>
          </c:extLst>
        </c:ser>
        <c:dLbls>
          <c:showLegendKey val="0"/>
          <c:showVal val="0"/>
          <c:showCatName val="0"/>
          <c:showSerName val="0"/>
          <c:showPercent val="0"/>
          <c:showBubbleSize val="0"/>
        </c:dLbls>
        <c:axId val="369167000"/>
        <c:axId val="369164648"/>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C5B0-4CBB-BB1A-27603020B14A}"/>
                  </c:ext>
                </c:extLst>
              </c15:ser>
            </c15:filteredScatterSeries>
          </c:ext>
        </c:extLst>
      </c:scatterChart>
      <c:valAx>
        <c:axId val="369167000"/>
        <c:scaling>
          <c:orientation val="minMax"/>
        </c:scaling>
        <c:delete val="0"/>
        <c:axPos val="b"/>
        <c:numFmt formatCode="0.00E+00" sourceLinked="1"/>
        <c:majorTickMark val="out"/>
        <c:minorTickMark val="none"/>
        <c:tickLblPos val="nextTo"/>
        <c:crossAx val="369164648"/>
        <c:crosses val="autoZero"/>
        <c:crossBetween val="midCat"/>
      </c:valAx>
      <c:valAx>
        <c:axId val="369164648"/>
        <c:scaling>
          <c:orientation val="minMax"/>
          <c:max val="0.05"/>
          <c:min val="-0.05"/>
        </c:scaling>
        <c:delete val="0"/>
        <c:axPos val="l"/>
        <c:majorGridlines/>
        <c:numFmt formatCode="General" sourceLinked="1"/>
        <c:majorTickMark val="out"/>
        <c:minorTickMark val="none"/>
        <c:tickLblPos val="nextTo"/>
        <c:crossAx val="369167000"/>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J4m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03F7-4898-8415-6670AA9B2487}"/>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03F7-4898-8415-6670AA9B2487}"/>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03F7-4898-8415-6670AA9B2487}"/>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03F7-4898-8415-6670AA9B2487}"/>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03F7-4898-8415-6670AA9B2487}"/>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03F7-4898-8415-6670AA9B2487}"/>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03F7-4898-8415-6670AA9B2487}"/>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03F7-4898-8415-6670AA9B2487}"/>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03F7-4898-8415-6670AA9B2487}"/>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03F7-4898-8415-6670AA9B2487}"/>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03F7-4898-8415-6670AA9B2487}"/>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03F7-4898-8415-6670AA9B2487}"/>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03F7-4898-8415-6670AA9B2487}"/>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03F7-4898-8415-6670AA9B2487}"/>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03F7-4898-8415-6670AA9B2487}"/>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03F7-4898-8415-6670AA9B2487}"/>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03F7-4898-8415-6670AA9B2487}"/>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03F7-4898-8415-6670AA9B2487}"/>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03F7-4898-8415-6670AA9B2487}"/>
            </c:ext>
          </c:extLst>
        </c:ser>
        <c:dLbls>
          <c:showLegendKey val="0"/>
          <c:showVal val="0"/>
          <c:showCatName val="0"/>
          <c:showSerName val="0"/>
          <c:showPercent val="0"/>
          <c:showBubbleSize val="0"/>
        </c:dLbls>
        <c:axId val="369162688"/>
        <c:axId val="369165824"/>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03F7-4898-8415-6670AA9B2487}"/>
                  </c:ext>
                </c:extLst>
              </c15:ser>
            </c15:filteredScatterSeries>
          </c:ext>
        </c:extLst>
      </c:scatterChart>
      <c:valAx>
        <c:axId val="369162688"/>
        <c:scaling>
          <c:orientation val="minMax"/>
        </c:scaling>
        <c:delete val="0"/>
        <c:axPos val="b"/>
        <c:numFmt formatCode="0.00E+00" sourceLinked="1"/>
        <c:majorTickMark val="out"/>
        <c:minorTickMark val="none"/>
        <c:tickLblPos val="nextTo"/>
        <c:crossAx val="369165824"/>
        <c:crosses val="autoZero"/>
        <c:crossBetween val="midCat"/>
      </c:valAx>
      <c:valAx>
        <c:axId val="369165824"/>
        <c:scaling>
          <c:orientation val="minMax"/>
          <c:max val="0.05"/>
          <c:min val="-0.05"/>
        </c:scaling>
        <c:delete val="0"/>
        <c:axPos val="l"/>
        <c:majorGridlines/>
        <c:numFmt formatCode="General" sourceLinked="1"/>
        <c:majorTickMark val="out"/>
        <c:minorTickMark val="none"/>
        <c:tickLblPos val="nextTo"/>
        <c:crossAx val="369162688"/>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smooth val="0"/>
          <c:extLst xmlns:c16r2="http://schemas.microsoft.com/office/drawing/2015/06/chart">
            <c:ext xmlns:c16="http://schemas.microsoft.com/office/drawing/2014/chart" uri="{C3380CC4-5D6E-409C-BE32-E72D297353CC}">
              <c16:uniqueId val="{00000001-D903-4568-9E55-E92EC20CB1E6}"/>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D903-4568-9E55-E92EC20CB1E6}"/>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D903-4568-9E55-E92EC20CB1E6}"/>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D903-4568-9E55-E92EC20CB1E6}"/>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D903-4568-9E55-E92EC20CB1E6}"/>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D903-4568-9E55-E92EC20CB1E6}"/>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D903-4568-9E55-E92EC20CB1E6}"/>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D903-4568-9E55-E92EC20CB1E6}"/>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D903-4568-9E55-E92EC20CB1E6}"/>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D903-4568-9E55-E92EC20CB1E6}"/>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D903-4568-9E55-E92EC20CB1E6}"/>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D903-4568-9E55-E92EC20CB1E6}"/>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D903-4568-9E55-E92EC20CB1E6}"/>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D903-4568-9E55-E92EC20CB1E6}"/>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D903-4568-9E55-E92EC20CB1E6}"/>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D903-4568-9E55-E92EC20CB1E6}"/>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D903-4568-9E55-E92EC20CB1E6}"/>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D903-4568-9E55-E92EC20CB1E6}"/>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D903-4568-9E55-E92EC20CB1E6}"/>
            </c:ext>
          </c:extLst>
        </c:ser>
        <c:dLbls>
          <c:showLegendKey val="0"/>
          <c:showVal val="0"/>
          <c:showCatName val="0"/>
          <c:showSerName val="0"/>
          <c:showPercent val="0"/>
          <c:showBubbleSize val="0"/>
        </c:dLbls>
        <c:axId val="369161904"/>
        <c:axId val="369162296"/>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D903-4568-9E55-E92EC20CB1E6}"/>
                  </c:ext>
                </c:extLst>
              </c15:ser>
            </c15:filteredScatterSeries>
          </c:ext>
        </c:extLst>
      </c:scatterChart>
      <c:valAx>
        <c:axId val="369161904"/>
        <c:scaling>
          <c:orientation val="minMax"/>
        </c:scaling>
        <c:delete val="0"/>
        <c:axPos val="b"/>
        <c:numFmt formatCode="General" sourceLinked="1"/>
        <c:majorTickMark val="out"/>
        <c:minorTickMark val="none"/>
        <c:tickLblPos val="nextTo"/>
        <c:crossAx val="369162296"/>
        <c:crosses val="autoZero"/>
        <c:crossBetween val="midCat"/>
      </c:valAx>
      <c:valAx>
        <c:axId val="369162296"/>
        <c:scaling>
          <c:orientation val="minMax"/>
          <c:max val="0.05"/>
          <c:min val="-0.05"/>
        </c:scaling>
        <c:delete val="0"/>
        <c:axPos val="l"/>
        <c:majorGridlines/>
        <c:numFmt formatCode="General" sourceLinked="1"/>
        <c:majorTickMark val="out"/>
        <c:minorTickMark val="none"/>
        <c:tickLblPos val="nextTo"/>
        <c:crossAx val="369161904"/>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smooth val="0"/>
          <c:extLst xmlns:c16r2="http://schemas.microsoft.com/office/drawing/2015/06/chart">
            <c:ext xmlns:c16="http://schemas.microsoft.com/office/drawing/2014/chart" uri="{C3380CC4-5D6E-409C-BE32-E72D297353CC}">
              <c16:uniqueId val="{00000001-56D1-4979-A864-74DD0A5D7AEF}"/>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56D1-4979-A864-74DD0A5D7AEF}"/>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56D1-4979-A864-74DD0A5D7AEF}"/>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56D1-4979-A864-74DD0A5D7AEF}"/>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56D1-4979-A864-74DD0A5D7AEF}"/>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56D1-4979-A864-74DD0A5D7AEF}"/>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56D1-4979-A864-74DD0A5D7AEF}"/>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56D1-4979-A864-74DD0A5D7AEF}"/>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56D1-4979-A864-74DD0A5D7AEF}"/>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56D1-4979-A864-74DD0A5D7AEF}"/>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56D1-4979-A864-74DD0A5D7AEF}"/>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56D1-4979-A864-74DD0A5D7AEF}"/>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56D1-4979-A864-74DD0A5D7AEF}"/>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56D1-4979-A864-74DD0A5D7AEF}"/>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56D1-4979-A864-74DD0A5D7AEF}"/>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56D1-4979-A864-74DD0A5D7AEF}"/>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56D1-4979-A864-74DD0A5D7AEF}"/>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56D1-4979-A864-74DD0A5D7AEF}"/>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56D1-4979-A864-74DD0A5D7AEF}"/>
            </c:ext>
          </c:extLst>
        </c:ser>
        <c:dLbls>
          <c:showLegendKey val="0"/>
          <c:showVal val="0"/>
          <c:showCatName val="0"/>
          <c:showSerName val="0"/>
          <c:showPercent val="0"/>
          <c:showBubbleSize val="0"/>
        </c:dLbls>
        <c:axId val="382593528"/>
        <c:axId val="38259392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56D1-4979-A864-74DD0A5D7AEF}"/>
                  </c:ext>
                </c:extLst>
              </c15:ser>
            </c15:filteredScatterSeries>
          </c:ext>
        </c:extLst>
      </c:scatterChart>
      <c:valAx>
        <c:axId val="382593528"/>
        <c:scaling>
          <c:orientation val="minMax"/>
        </c:scaling>
        <c:delete val="0"/>
        <c:axPos val="b"/>
        <c:numFmt formatCode="General" sourceLinked="1"/>
        <c:majorTickMark val="out"/>
        <c:minorTickMark val="none"/>
        <c:tickLblPos val="nextTo"/>
        <c:crossAx val="382593920"/>
        <c:crosses val="autoZero"/>
        <c:crossBetween val="midCat"/>
      </c:valAx>
      <c:valAx>
        <c:axId val="382593920"/>
        <c:scaling>
          <c:orientation val="minMax"/>
          <c:max val="0.05"/>
          <c:min val="-0.05"/>
        </c:scaling>
        <c:delete val="0"/>
        <c:axPos val="l"/>
        <c:majorGridlines/>
        <c:numFmt formatCode="General" sourceLinked="1"/>
        <c:majorTickMark val="out"/>
        <c:minorTickMark val="none"/>
        <c:tickLblPos val="nextTo"/>
        <c:crossAx val="382593528"/>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smooth val="0"/>
          <c:extLst xmlns:c16r2="http://schemas.microsoft.com/office/drawing/2015/06/chart">
            <c:ext xmlns:c16="http://schemas.microsoft.com/office/drawing/2014/chart" uri="{C3380CC4-5D6E-409C-BE32-E72D297353CC}">
              <c16:uniqueId val="{00000001-2B37-4328-B181-B3EEFDF54D04}"/>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2B37-4328-B181-B3EEFDF54D04}"/>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2B37-4328-B181-B3EEFDF54D04}"/>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2B37-4328-B181-B3EEFDF54D04}"/>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2B37-4328-B181-B3EEFDF54D04}"/>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2B37-4328-B181-B3EEFDF54D04}"/>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2B37-4328-B181-B3EEFDF54D04}"/>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2B37-4328-B181-B3EEFDF54D04}"/>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2B37-4328-B181-B3EEFDF54D04}"/>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2B37-4328-B181-B3EEFDF54D04}"/>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2B37-4328-B181-B3EEFDF54D04}"/>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2B37-4328-B181-B3EEFDF54D04}"/>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2B37-4328-B181-B3EEFDF54D04}"/>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2B37-4328-B181-B3EEFDF54D04}"/>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2B37-4328-B181-B3EEFDF54D04}"/>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2B37-4328-B181-B3EEFDF54D04}"/>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2B37-4328-B181-B3EEFDF54D04}"/>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2B37-4328-B181-B3EEFDF54D04}"/>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2B37-4328-B181-B3EEFDF54D04}"/>
            </c:ext>
          </c:extLst>
        </c:ser>
        <c:dLbls>
          <c:showLegendKey val="0"/>
          <c:showVal val="0"/>
          <c:showCatName val="0"/>
          <c:showSerName val="0"/>
          <c:showPercent val="0"/>
          <c:showBubbleSize val="0"/>
        </c:dLbls>
        <c:axId val="382587648"/>
        <c:axId val="382588432"/>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2B37-4328-B181-B3EEFDF54D04}"/>
                  </c:ext>
                </c:extLst>
              </c15:ser>
            </c15:filteredScatterSeries>
          </c:ext>
        </c:extLst>
      </c:scatterChart>
      <c:valAx>
        <c:axId val="382587648"/>
        <c:scaling>
          <c:orientation val="minMax"/>
        </c:scaling>
        <c:delete val="0"/>
        <c:axPos val="b"/>
        <c:numFmt formatCode="General" sourceLinked="1"/>
        <c:majorTickMark val="out"/>
        <c:minorTickMark val="none"/>
        <c:tickLblPos val="nextTo"/>
        <c:crossAx val="382588432"/>
        <c:crosses val="autoZero"/>
        <c:crossBetween val="midCat"/>
      </c:valAx>
      <c:valAx>
        <c:axId val="382588432"/>
        <c:scaling>
          <c:orientation val="minMax"/>
          <c:max val="0.05"/>
          <c:min val="-0.05"/>
        </c:scaling>
        <c:delete val="0"/>
        <c:axPos val="l"/>
        <c:majorGridlines/>
        <c:numFmt formatCode="General" sourceLinked="1"/>
        <c:majorTickMark val="out"/>
        <c:minorTickMark val="none"/>
        <c:tickLblPos val="nextTo"/>
        <c:crossAx val="382587648"/>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smooth val="0"/>
          <c:extLst xmlns:c16r2="http://schemas.microsoft.com/office/drawing/2015/06/chart">
            <c:ext xmlns:c16="http://schemas.microsoft.com/office/drawing/2014/chart" uri="{C3380CC4-5D6E-409C-BE32-E72D297353CC}">
              <c16:uniqueId val="{00000001-56BD-41B9-92AD-48F875508B8E}"/>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56BD-41B9-92AD-48F875508B8E}"/>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56BD-41B9-92AD-48F875508B8E}"/>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56BD-41B9-92AD-48F875508B8E}"/>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56BD-41B9-92AD-48F875508B8E}"/>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56BD-41B9-92AD-48F875508B8E}"/>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56BD-41B9-92AD-48F875508B8E}"/>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56BD-41B9-92AD-48F875508B8E}"/>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56BD-41B9-92AD-48F875508B8E}"/>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56BD-41B9-92AD-48F875508B8E}"/>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56BD-41B9-92AD-48F875508B8E}"/>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56BD-41B9-92AD-48F875508B8E}"/>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56BD-41B9-92AD-48F875508B8E}"/>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56BD-41B9-92AD-48F875508B8E}"/>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56BD-41B9-92AD-48F875508B8E}"/>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56BD-41B9-92AD-48F875508B8E}"/>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56BD-41B9-92AD-48F875508B8E}"/>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56BD-41B9-92AD-48F875508B8E}"/>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56BD-41B9-92AD-48F875508B8E}"/>
            </c:ext>
          </c:extLst>
        </c:ser>
        <c:dLbls>
          <c:showLegendKey val="0"/>
          <c:showVal val="0"/>
          <c:showCatName val="0"/>
          <c:showSerName val="0"/>
          <c:showPercent val="0"/>
          <c:showBubbleSize val="0"/>
        </c:dLbls>
        <c:axId val="382591176"/>
        <c:axId val="382586864"/>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56BD-41B9-92AD-48F875508B8E}"/>
                  </c:ext>
                </c:extLst>
              </c15:ser>
            </c15:filteredScatterSeries>
          </c:ext>
        </c:extLst>
      </c:scatterChart>
      <c:valAx>
        <c:axId val="382591176"/>
        <c:scaling>
          <c:orientation val="minMax"/>
        </c:scaling>
        <c:delete val="0"/>
        <c:axPos val="b"/>
        <c:numFmt formatCode="General" sourceLinked="1"/>
        <c:majorTickMark val="out"/>
        <c:minorTickMark val="none"/>
        <c:tickLblPos val="nextTo"/>
        <c:crossAx val="382586864"/>
        <c:crosses val="autoZero"/>
        <c:crossBetween val="midCat"/>
      </c:valAx>
      <c:valAx>
        <c:axId val="382586864"/>
        <c:scaling>
          <c:orientation val="minMax"/>
          <c:max val="0.05"/>
          <c:min val="-0.05"/>
        </c:scaling>
        <c:delete val="0"/>
        <c:axPos val="l"/>
        <c:majorGridlines/>
        <c:numFmt formatCode="General" sourceLinked="1"/>
        <c:majorTickMark val="out"/>
        <c:minorTickMark val="none"/>
        <c:tickLblPos val="nextTo"/>
        <c:crossAx val="382591176"/>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J1m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8E3-4BE9-8B32-88F4BAA2B396}"/>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F8E3-4BE9-8B32-88F4BAA2B396}"/>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F8E3-4BE9-8B32-88F4BAA2B396}"/>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F8E3-4BE9-8B32-88F4BAA2B396}"/>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F8E3-4BE9-8B32-88F4BAA2B396}"/>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F8E3-4BE9-8B32-88F4BAA2B396}"/>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F8E3-4BE9-8B32-88F4BAA2B396}"/>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F8E3-4BE9-8B32-88F4BAA2B396}"/>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F8E3-4BE9-8B32-88F4BAA2B396}"/>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F8E3-4BE9-8B32-88F4BAA2B396}"/>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F8E3-4BE9-8B32-88F4BAA2B396}"/>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F8E3-4BE9-8B32-88F4BAA2B396}"/>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F8E3-4BE9-8B32-88F4BAA2B396}"/>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F8E3-4BE9-8B32-88F4BAA2B396}"/>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F8E3-4BE9-8B32-88F4BAA2B396}"/>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F8E3-4BE9-8B32-88F4BAA2B396}"/>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F8E3-4BE9-8B32-88F4BAA2B396}"/>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F8E3-4BE9-8B32-88F4BAA2B396}"/>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F8E3-4BE9-8B32-88F4BAA2B396}"/>
            </c:ext>
          </c:extLst>
        </c:ser>
        <c:dLbls>
          <c:showLegendKey val="0"/>
          <c:showVal val="0"/>
          <c:showCatName val="0"/>
          <c:showSerName val="0"/>
          <c:showPercent val="0"/>
          <c:showBubbleSize val="0"/>
        </c:dLbls>
        <c:axId val="382591568"/>
        <c:axId val="382588824"/>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F8E3-4BE9-8B32-88F4BAA2B396}"/>
                  </c:ext>
                </c:extLst>
              </c15:ser>
            </c15:filteredScatterSeries>
          </c:ext>
        </c:extLst>
      </c:scatterChart>
      <c:valAx>
        <c:axId val="382591568"/>
        <c:scaling>
          <c:orientation val="minMax"/>
        </c:scaling>
        <c:delete val="0"/>
        <c:axPos val="b"/>
        <c:numFmt formatCode="General" sourceLinked="1"/>
        <c:majorTickMark val="out"/>
        <c:minorTickMark val="none"/>
        <c:tickLblPos val="nextTo"/>
        <c:crossAx val="382588824"/>
        <c:crosses val="autoZero"/>
        <c:crossBetween val="midCat"/>
      </c:valAx>
      <c:valAx>
        <c:axId val="382588824"/>
        <c:scaling>
          <c:orientation val="minMax"/>
          <c:max val="0.05"/>
          <c:min val="-0.05"/>
        </c:scaling>
        <c:delete val="0"/>
        <c:axPos val="l"/>
        <c:majorGridlines/>
        <c:numFmt formatCode="General" sourceLinked="1"/>
        <c:majorTickMark val="out"/>
        <c:minorTickMark val="none"/>
        <c:tickLblPos val="nextTo"/>
        <c:crossAx val="382591568"/>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J1m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ECD-49E6-9925-8175B70E8837}"/>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9ECD-49E6-9925-8175B70E8837}"/>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9ECD-49E6-9925-8175B70E8837}"/>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9ECD-49E6-9925-8175B70E8837}"/>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9ECD-49E6-9925-8175B70E8837}"/>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9ECD-49E6-9925-8175B70E8837}"/>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9ECD-49E6-9925-8175B70E8837}"/>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9ECD-49E6-9925-8175B70E8837}"/>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9ECD-49E6-9925-8175B70E8837}"/>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9ECD-49E6-9925-8175B70E8837}"/>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9ECD-49E6-9925-8175B70E8837}"/>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9ECD-49E6-9925-8175B70E8837}"/>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9ECD-49E6-9925-8175B70E8837}"/>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9ECD-49E6-9925-8175B70E8837}"/>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9ECD-49E6-9925-8175B70E8837}"/>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9ECD-49E6-9925-8175B70E8837}"/>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9ECD-49E6-9925-8175B70E8837}"/>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9ECD-49E6-9925-8175B70E8837}"/>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9ECD-49E6-9925-8175B70E8837}"/>
            </c:ext>
          </c:extLst>
        </c:ser>
        <c:dLbls>
          <c:showLegendKey val="0"/>
          <c:showVal val="0"/>
          <c:showCatName val="0"/>
          <c:showSerName val="0"/>
          <c:showPercent val="0"/>
          <c:showBubbleSize val="0"/>
        </c:dLbls>
        <c:axId val="382589216"/>
        <c:axId val="38259196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9ECD-49E6-9925-8175B70E8837}"/>
                  </c:ext>
                </c:extLst>
              </c15:ser>
            </c15:filteredScatterSeries>
          </c:ext>
        </c:extLst>
      </c:scatterChart>
      <c:valAx>
        <c:axId val="382589216"/>
        <c:scaling>
          <c:orientation val="minMax"/>
        </c:scaling>
        <c:delete val="0"/>
        <c:axPos val="b"/>
        <c:numFmt formatCode="General" sourceLinked="1"/>
        <c:majorTickMark val="out"/>
        <c:minorTickMark val="none"/>
        <c:tickLblPos val="nextTo"/>
        <c:crossAx val="382591960"/>
        <c:crosses val="autoZero"/>
        <c:crossBetween val="midCat"/>
      </c:valAx>
      <c:valAx>
        <c:axId val="382591960"/>
        <c:scaling>
          <c:orientation val="minMax"/>
          <c:max val="0.05"/>
          <c:min val="-0.05"/>
        </c:scaling>
        <c:delete val="0"/>
        <c:axPos val="l"/>
        <c:majorGridlines/>
        <c:numFmt formatCode="General" sourceLinked="1"/>
        <c:majorTickMark val="out"/>
        <c:minorTickMark val="none"/>
        <c:tickLblPos val="nextTo"/>
        <c:crossAx val="382589216"/>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J1m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2514-49E6-8A68-A4AD27B7AA1E}"/>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2514-49E6-8A68-A4AD27B7AA1E}"/>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2514-49E6-8A68-A4AD27B7AA1E}"/>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2514-49E6-8A68-A4AD27B7AA1E}"/>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2514-49E6-8A68-A4AD27B7AA1E}"/>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2514-49E6-8A68-A4AD27B7AA1E}"/>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2514-49E6-8A68-A4AD27B7AA1E}"/>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2514-49E6-8A68-A4AD27B7AA1E}"/>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2514-49E6-8A68-A4AD27B7AA1E}"/>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2514-49E6-8A68-A4AD27B7AA1E}"/>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2514-49E6-8A68-A4AD27B7AA1E}"/>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2514-49E6-8A68-A4AD27B7AA1E}"/>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2514-49E6-8A68-A4AD27B7AA1E}"/>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2514-49E6-8A68-A4AD27B7AA1E}"/>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2514-49E6-8A68-A4AD27B7AA1E}"/>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2514-49E6-8A68-A4AD27B7AA1E}"/>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2514-49E6-8A68-A4AD27B7AA1E}"/>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2514-49E6-8A68-A4AD27B7AA1E}"/>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2514-49E6-8A68-A4AD27B7AA1E}"/>
            </c:ext>
          </c:extLst>
        </c:ser>
        <c:dLbls>
          <c:showLegendKey val="0"/>
          <c:showVal val="0"/>
          <c:showCatName val="0"/>
          <c:showSerName val="0"/>
          <c:showPercent val="0"/>
          <c:showBubbleSize val="0"/>
        </c:dLbls>
        <c:axId val="382590000"/>
        <c:axId val="382590392"/>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2514-49E6-8A68-A4AD27B7AA1E}"/>
                  </c:ext>
                </c:extLst>
              </c15:ser>
            </c15:filteredScatterSeries>
          </c:ext>
        </c:extLst>
      </c:scatterChart>
      <c:valAx>
        <c:axId val="382590000"/>
        <c:scaling>
          <c:orientation val="minMax"/>
        </c:scaling>
        <c:delete val="0"/>
        <c:axPos val="b"/>
        <c:numFmt formatCode="General" sourceLinked="1"/>
        <c:majorTickMark val="out"/>
        <c:minorTickMark val="none"/>
        <c:tickLblPos val="nextTo"/>
        <c:crossAx val="382590392"/>
        <c:crosses val="autoZero"/>
        <c:crossBetween val="midCat"/>
      </c:valAx>
      <c:valAx>
        <c:axId val="382590392"/>
        <c:scaling>
          <c:orientation val="minMax"/>
          <c:max val="0.05"/>
          <c:min val="-0.05"/>
        </c:scaling>
        <c:delete val="0"/>
        <c:axPos val="l"/>
        <c:majorGridlines/>
        <c:numFmt formatCode="General" sourceLinked="1"/>
        <c:majorTickMark val="out"/>
        <c:minorTickMark val="none"/>
        <c:tickLblPos val="nextTo"/>
        <c:crossAx val="382590000"/>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J2m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4107-42D1-A645-1CCFAAC55D13}"/>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4107-42D1-A645-1CCFAAC55D13}"/>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4107-42D1-A645-1CCFAAC55D13}"/>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4107-42D1-A645-1CCFAAC55D13}"/>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4107-42D1-A645-1CCFAAC55D13}"/>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4107-42D1-A645-1CCFAAC55D13}"/>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4107-42D1-A645-1CCFAAC55D13}"/>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4107-42D1-A645-1CCFAAC55D13}"/>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4107-42D1-A645-1CCFAAC55D13}"/>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4107-42D1-A645-1CCFAAC55D13}"/>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4107-42D1-A645-1CCFAAC55D13}"/>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4107-42D1-A645-1CCFAAC55D13}"/>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4107-42D1-A645-1CCFAAC55D13}"/>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4107-42D1-A645-1CCFAAC55D13}"/>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4107-42D1-A645-1CCFAAC55D13}"/>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4107-42D1-A645-1CCFAAC55D13}"/>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4107-42D1-A645-1CCFAAC55D13}"/>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4107-42D1-A645-1CCFAAC55D13}"/>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4107-42D1-A645-1CCFAAC55D13}"/>
            </c:ext>
          </c:extLst>
        </c:ser>
        <c:dLbls>
          <c:showLegendKey val="0"/>
          <c:showVal val="0"/>
          <c:showCatName val="0"/>
          <c:showSerName val="0"/>
          <c:showPercent val="0"/>
          <c:showBubbleSize val="0"/>
        </c:dLbls>
        <c:axId val="382593136"/>
        <c:axId val="369166608"/>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4107-42D1-A645-1CCFAAC55D13}"/>
                  </c:ext>
                </c:extLst>
              </c15:ser>
            </c15:filteredScatterSeries>
          </c:ext>
        </c:extLst>
      </c:scatterChart>
      <c:valAx>
        <c:axId val="382593136"/>
        <c:scaling>
          <c:orientation val="minMax"/>
        </c:scaling>
        <c:delete val="0"/>
        <c:axPos val="b"/>
        <c:numFmt formatCode="General" sourceLinked="1"/>
        <c:majorTickMark val="out"/>
        <c:minorTickMark val="none"/>
        <c:tickLblPos val="nextTo"/>
        <c:crossAx val="369166608"/>
        <c:crosses val="autoZero"/>
        <c:crossBetween val="midCat"/>
      </c:valAx>
      <c:valAx>
        <c:axId val="369166608"/>
        <c:scaling>
          <c:orientation val="minMax"/>
          <c:max val="0.05"/>
          <c:min val="-0.05"/>
        </c:scaling>
        <c:delete val="0"/>
        <c:axPos val="l"/>
        <c:majorGridlines/>
        <c:numFmt formatCode="General" sourceLinked="1"/>
        <c:majorTickMark val="out"/>
        <c:minorTickMark val="none"/>
        <c:tickLblPos val="nextTo"/>
        <c:crossAx val="382593136"/>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J2m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A969-4B59-AC9B-C1FF5E6CEEAA}"/>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A969-4B59-AC9B-C1FF5E6CEEAA}"/>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A969-4B59-AC9B-C1FF5E6CEEAA}"/>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A969-4B59-AC9B-C1FF5E6CEEAA}"/>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A969-4B59-AC9B-C1FF5E6CEEAA}"/>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A969-4B59-AC9B-C1FF5E6CEEAA}"/>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A969-4B59-AC9B-C1FF5E6CEEAA}"/>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A969-4B59-AC9B-C1FF5E6CEEAA}"/>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A969-4B59-AC9B-C1FF5E6CEEAA}"/>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A969-4B59-AC9B-C1FF5E6CEEAA}"/>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A969-4B59-AC9B-C1FF5E6CEEAA}"/>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A969-4B59-AC9B-C1FF5E6CEEAA}"/>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A969-4B59-AC9B-C1FF5E6CEEAA}"/>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A969-4B59-AC9B-C1FF5E6CEEAA}"/>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A969-4B59-AC9B-C1FF5E6CEEAA}"/>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A969-4B59-AC9B-C1FF5E6CEEAA}"/>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A969-4B59-AC9B-C1FF5E6CEEAA}"/>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A969-4B59-AC9B-C1FF5E6CEEAA}"/>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A969-4B59-AC9B-C1FF5E6CEEAA}"/>
            </c:ext>
          </c:extLst>
        </c:ser>
        <c:dLbls>
          <c:showLegendKey val="0"/>
          <c:showVal val="0"/>
          <c:showCatName val="0"/>
          <c:showSerName val="0"/>
          <c:showPercent val="0"/>
          <c:showBubbleSize val="0"/>
        </c:dLbls>
        <c:axId val="369160728"/>
        <c:axId val="36916112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A969-4B59-AC9B-C1FF5E6CEEAA}"/>
                  </c:ext>
                </c:extLst>
              </c15:ser>
            </c15:filteredScatterSeries>
          </c:ext>
        </c:extLst>
      </c:scatterChart>
      <c:valAx>
        <c:axId val="369160728"/>
        <c:scaling>
          <c:orientation val="minMax"/>
        </c:scaling>
        <c:delete val="0"/>
        <c:axPos val="b"/>
        <c:numFmt formatCode="General" sourceLinked="1"/>
        <c:majorTickMark val="out"/>
        <c:minorTickMark val="none"/>
        <c:tickLblPos val="nextTo"/>
        <c:crossAx val="369161120"/>
        <c:crosses val="autoZero"/>
        <c:crossBetween val="midCat"/>
      </c:valAx>
      <c:valAx>
        <c:axId val="369161120"/>
        <c:scaling>
          <c:orientation val="minMax"/>
          <c:max val="0.05"/>
          <c:min val="-0.05"/>
        </c:scaling>
        <c:delete val="0"/>
        <c:axPos val="l"/>
        <c:majorGridlines/>
        <c:numFmt formatCode="General" sourceLinked="1"/>
        <c:majorTickMark val="out"/>
        <c:minorTickMark val="none"/>
        <c:tickLblPos val="nextTo"/>
        <c:crossAx val="369160728"/>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J2m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C0F-4EA1-B587-2202ABD43DAD}"/>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CC0F-4EA1-B587-2202ABD43DAD}"/>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CC0F-4EA1-B587-2202ABD43DAD}"/>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CC0F-4EA1-B587-2202ABD43DAD}"/>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CC0F-4EA1-B587-2202ABD43DAD}"/>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CC0F-4EA1-B587-2202ABD43DAD}"/>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CC0F-4EA1-B587-2202ABD43DAD}"/>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CC0F-4EA1-B587-2202ABD43DAD}"/>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CC0F-4EA1-B587-2202ABD43DAD}"/>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CC0F-4EA1-B587-2202ABD43DAD}"/>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CC0F-4EA1-B587-2202ABD43DAD}"/>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CC0F-4EA1-B587-2202ABD43DAD}"/>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CC0F-4EA1-B587-2202ABD43DAD}"/>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CC0F-4EA1-B587-2202ABD43DAD}"/>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CC0F-4EA1-B587-2202ABD43DAD}"/>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CC0F-4EA1-B587-2202ABD43DAD}"/>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CC0F-4EA1-B587-2202ABD43DAD}"/>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CC0F-4EA1-B587-2202ABD43DAD}"/>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CC0F-4EA1-B587-2202ABD43DAD}"/>
            </c:ext>
          </c:extLst>
        </c:ser>
        <c:dLbls>
          <c:showLegendKey val="0"/>
          <c:showVal val="0"/>
          <c:showCatName val="0"/>
          <c:showSerName val="0"/>
          <c:showPercent val="0"/>
          <c:showBubbleSize val="0"/>
        </c:dLbls>
        <c:axId val="383999112"/>
        <c:axId val="38399872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CC0F-4EA1-B587-2202ABD43DAD}"/>
                  </c:ext>
                </c:extLst>
              </c15:ser>
            </c15:filteredScatterSeries>
          </c:ext>
        </c:extLst>
      </c:scatterChart>
      <c:valAx>
        <c:axId val="383999112"/>
        <c:scaling>
          <c:orientation val="minMax"/>
        </c:scaling>
        <c:delete val="0"/>
        <c:axPos val="b"/>
        <c:numFmt formatCode="General" sourceLinked="1"/>
        <c:majorTickMark val="out"/>
        <c:minorTickMark val="none"/>
        <c:tickLblPos val="nextTo"/>
        <c:crossAx val="383998720"/>
        <c:crosses val="autoZero"/>
        <c:crossBetween val="midCat"/>
      </c:valAx>
      <c:valAx>
        <c:axId val="383998720"/>
        <c:scaling>
          <c:orientation val="minMax"/>
          <c:max val="0.05"/>
          <c:min val="-0.05"/>
        </c:scaling>
        <c:delete val="0"/>
        <c:axPos val="l"/>
        <c:majorGridlines/>
        <c:numFmt formatCode="General" sourceLinked="1"/>
        <c:majorTickMark val="out"/>
        <c:minorTickMark val="none"/>
        <c:tickLblPos val="nextTo"/>
        <c:crossAx val="383999112"/>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J3m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79A2-40C4-A138-E286D82A6778}"/>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79A2-40C4-A138-E286D82A6778}"/>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79A2-40C4-A138-E286D82A6778}"/>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79A2-40C4-A138-E286D82A6778}"/>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79A2-40C4-A138-E286D82A6778}"/>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79A2-40C4-A138-E286D82A6778}"/>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79A2-40C4-A138-E286D82A6778}"/>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79A2-40C4-A138-E286D82A6778}"/>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79A2-40C4-A138-E286D82A6778}"/>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79A2-40C4-A138-E286D82A6778}"/>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79A2-40C4-A138-E286D82A6778}"/>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79A2-40C4-A138-E286D82A6778}"/>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79A2-40C4-A138-E286D82A6778}"/>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79A2-40C4-A138-E286D82A6778}"/>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79A2-40C4-A138-E286D82A6778}"/>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79A2-40C4-A138-E286D82A6778}"/>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79A2-40C4-A138-E286D82A6778}"/>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79A2-40C4-A138-E286D82A6778}"/>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79A2-40C4-A138-E286D82A6778}"/>
            </c:ext>
          </c:extLst>
        </c:ser>
        <c:dLbls>
          <c:showLegendKey val="0"/>
          <c:showVal val="0"/>
          <c:showCatName val="0"/>
          <c:showSerName val="0"/>
          <c:showPercent val="0"/>
          <c:showBubbleSize val="0"/>
        </c:dLbls>
        <c:axId val="383998328"/>
        <c:axId val="38400068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79A2-40C4-A138-E286D82A6778}"/>
                  </c:ext>
                </c:extLst>
              </c15:ser>
            </c15:filteredScatterSeries>
          </c:ext>
        </c:extLst>
      </c:scatterChart>
      <c:valAx>
        <c:axId val="383998328"/>
        <c:scaling>
          <c:orientation val="minMax"/>
        </c:scaling>
        <c:delete val="0"/>
        <c:axPos val="b"/>
        <c:numFmt formatCode="General" sourceLinked="1"/>
        <c:majorTickMark val="out"/>
        <c:minorTickMark val="none"/>
        <c:tickLblPos val="nextTo"/>
        <c:crossAx val="384000680"/>
        <c:crosses val="autoZero"/>
        <c:crossBetween val="midCat"/>
      </c:valAx>
      <c:valAx>
        <c:axId val="384000680"/>
        <c:scaling>
          <c:orientation val="minMax"/>
          <c:max val="0.05"/>
          <c:min val="-0.05"/>
        </c:scaling>
        <c:delete val="0"/>
        <c:axPos val="l"/>
        <c:majorGridlines/>
        <c:numFmt formatCode="General" sourceLinked="1"/>
        <c:majorTickMark val="out"/>
        <c:minorTickMark val="none"/>
        <c:tickLblPos val="nextTo"/>
        <c:crossAx val="383998328"/>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J3m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24E8-49DB-9FBA-B3E570B91335}"/>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24E8-49DB-9FBA-B3E570B91335}"/>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24E8-49DB-9FBA-B3E570B91335}"/>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24E8-49DB-9FBA-B3E570B91335}"/>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24E8-49DB-9FBA-B3E570B91335}"/>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24E8-49DB-9FBA-B3E570B91335}"/>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24E8-49DB-9FBA-B3E570B91335}"/>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24E8-49DB-9FBA-B3E570B91335}"/>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24E8-49DB-9FBA-B3E570B91335}"/>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24E8-49DB-9FBA-B3E570B91335}"/>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24E8-49DB-9FBA-B3E570B91335}"/>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24E8-49DB-9FBA-B3E570B91335}"/>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24E8-49DB-9FBA-B3E570B91335}"/>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24E8-49DB-9FBA-B3E570B91335}"/>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24E8-49DB-9FBA-B3E570B91335}"/>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24E8-49DB-9FBA-B3E570B91335}"/>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24E8-49DB-9FBA-B3E570B91335}"/>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24E8-49DB-9FBA-B3E570B91335}"/>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24E8-49DB-9FBA-B3E570B91335}"/>
            </c:ext>
          </c:extLst>
        </c:ser>
        <c:dLbls>
          <c:showLegendKey val="0"/>
          <c:showVal val="0"/>
          <c:showCatName val="0"/>
          <c:showSerName val="0"/>
          <c:showPercent val="0"/>
          <c:showBubbleSize val="0"/>
        </c:dLbls>
        <c:axId val="383999504"/>
        <c:axId val="383999896"/>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24E8-49DB-9FBA-B3E570B91335}"/>
                  </c:ext>
                </c:extLst>
              </c15:ser>
            </c15:filteredScatterSeries>
          </c:ext>
        </c:extLst>
      </c:scatterChart>
      <c:valAx>
        <c:axId val="383999504"/>
        <c:scaling>
          <c:orientation val="minMax"/>
        </c:scaling>
        <c:delete val="0"/>
        <c:axPos val="b"/>
        <c:numFmt formatCode="General" sourceLinked="1"/>
        <c:majorTickMark val="out"/>
        <c:minorTickMark val="none"/>
        <c:tickLblPos val="nextTo"/>
        <c:crossAx val="383999896"/>
        <c:crosses val="autoZero"/>
        <c:crossBetween val="midCat"/>
      </c:valAx>
      <c:valAx>
        <c:axId val="383999896"/>
        <c:scaling>
          <c:orientation val="minMax"/>
          <c:max val="0.05"/>
          <c:min val="-0.05"/>
        </c:scaling>
        <c:delete val="0"/>
        <c:axPos val="l"/>
        <c:majorGridlines/>
        <c:numFmt formatCode="General" sourceLinked="1"/>
        <c:majorTickMark val="out"/>
        <c:minorTickMark val="none"/>
        <c:tickLblPos val="nextTo"/>
        <c:crossAx val="383999504"/>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J5m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608B-4095-91BA-E7B2A8AB40E2}"/>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608B-4095-91BA-E7B2A8AB40E2}"/>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608B-4095-91BA-E7B2A8AB40E2}"/>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608B-4095-91BA-E7B2A8AB40E2}"/>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608B-4095-91BA-E7B2A8AB40E2}"/>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608B-4095-91BA-E7B2A8AB40E2}"/>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608B-4095-91BA-E7B2A8AB40E2}"/>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608B-4095-91BA-E7B2A8AB40E2}"/>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608B-4095-91BA-E7B2A8AB40E2}"/>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608B-4095-91BA-E7B2A8AB40E2}"/>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608B-4095-91BA-E7B2A8AB40E2}"/>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608B-4095-91BA-E7B2A8AB40E2}"/>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608B-4095-91BA-E7B2A8AB40E2}"/>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608B-4095-91BA-E7B2A8AB40E2}"/>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608B-4095-91BA-E7B2A8AB40E2}"/>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608B-4095-91BA-E7B2A8AB40E2}"/>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608B-4095-91BA-E7B2A8AB40E2}"/>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608B-4095-91BA-E7B2A8AB40E2}"/>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608B-4095-91BA-E7B2A8AB40E2}"/>
            </c:ext>
          </c:extLst>
        </c:ser>
        <c:dLbls>
          <c:showLegendKey val="0"/>
          <c:showVal val="0"/>
          <c:showCatName val="0"/>
          <c:showSerName val="0"/>
          <c:showPercent val="0"/>
          <c:showBubbleSize val="0"/>
        </c:dLbls>
        <c:axId val="384894824"/>
        <c:axId val="384893256"/>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608B-4095-91BA-E7B2A8AB40E2}"/>
                  </c:ext>
                </c:extLst>
              </c15:ser>
            </c15:filteredScatterSeries>
          </c:ext>
        </c:extLst>
      </c:scatterChart>
      <c:valAx>
        <c:axId val="384894824"/>
        <c:scaling>
          <c:orientation val="minMax"/>
        </c:scaling>
        <c:delete val="0"/>
        <c:axPos val="b"/>
        <c:numFmt formatCode="General" sourceLinked="1"/>
        <c:majorTickMark val="out"/>
        <c:minorTickMark val="none"/>
        <c:tickLblPos val="nextTo"/>
        <c:crossAx val="384893256"/>
        <c:crosses val="autoZero"/>
        <c:crossBetween val="midCat"/>
      </c:valAx>
      <c:valAx>
        <c:axId val="384893256"/>
        <c:scaling>
          <c:orientation val="minMax"/>
          <c:max val="0.05"/>
          <c:min val="-0.05"/>
        </c:scaling>
        <c:delete val="0"/>
        <c:axPos val="l"/>
        <c:majorGridlines/>
        <c:numFmt formatCode="General" sourceLinked="1"/>
        <c:majorTickMark val="out"/>
        <c:minorTickMark val="none"/>
        <c:tickLblPos val="nextTo"/>
        <c:crossAx val="384894824"/>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J5m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33E-4D0C-9A5B-9E69B478DEA6}"/>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E33E-4D0C-9A5B-9E69B478DEA6}"/>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E33E-4D0C-9A5B-9E69B478DEA6}"/>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E33E-4D0C-9A5B-9E69B478DEA6}"/>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E33E-4D0C-9A5B-9E69B478DEA6}"/>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E33E-4D0C-9A5B-9E69B478DEA6}"/>
            </c:ext>
          </c:extLst>
        </c:ser>
        <c:ser>
          <c:idx val="7"/>
          <c:order val="7"/>
          <c:tx>
            <c:v/>
          </c:tx>
          <c:spPr>
            <a:ln w="28575">
              <a:noFill/>
            </a:ln>
          </c:spPr>
          <c:marker>
            <c:symbol val="dot"/>
            <c:size val="7"/>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E33E-4D0C-9A5B-9E69B478DEA6}"/>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E33E-4D0C-9A5B-9E69B478DEA6}"/>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E33E-4D0C-9A5B-9E69B478DEA6}"/>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E33E-4D0C-9A5B-9E69B478DEA6}"/>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E33E-4D0C-9A5B-9E69B478DEA6}"/>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E33E-4D0C-9A5B-9E69B478DEA6}"/>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E33E-4D0C-9A5B-9E69B478DEA6}"/>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E33E-4D0C-9A5B-9E69B478DEA6}"/>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E33E-4D0C-9A5B-9E69B478DEA6}"/>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E33E-4D0C-9A5B-9E69B478DEA6}"/>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E33E-4D0C-9A5B-9E69B478DEA6}"/>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E33E-4D0C-9A5B-9E69B478DEA6}"/>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E33E-4D0C-9A5B-9E69B478DEA6}"/>
            </c:ext>
          </c:extLst>
        </c:ser>
        <c:dLbls>
          <c:showLegendKey val="0"/>
          <c:showVal val="0"/>
          <c:showCatName val="0"/>
          <c:showSerName val="0"/>
          <c:showPercent val="0"/>
          <c:showBubbleSize val="0"/>
        </c:dLbls>
        <c:axId val="384893648"/>
        <c:axId val="384895608"/>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E33E-4D0C-9A5B-9E69B478DEA6}"/>
                  </c:ext>
                </c:extLst>
              </c15:ser>
            </c15:filteredScatterSeries>
          </c:ext>
        </c:extLst>
      </c:scatterChart>
      <c:valAx>
        <c:axId val="384893648"/>
        <c:scaling>
          <c:orientation val="minMax"/>
        </c:scaling>
        <c:delete val="0"/>
        <c:axPos val="b"/>
        <c:numFmt formatCode="General" sourceLinked="1"/>
        <c:majorTickMark val="out"/>
        <c:minorTickMark val="none"/>
        <c:tickLblPos val="nextTo"/>
        <c:crossAx val="384895608"/>
        <c:crosses val="autoZero"/>
        <c:crossBetween val="midCat"/>
      </c:valAx>
      <c:valAx>
        <c:axId val="384895608"/>
        <c:scaling>
          <c:orientation val="minMax"/>
          <c:max val="0.05"/>
          <c:min val="-0.05"/>
        </c:scaling>
        <c:delete val="0"/>
        <c:axPos val="l"/>
        <c:majorGridlines/>
        <c:numFmt formatCode="General" sourceLinked="1"/>
        <c:majorTickMark val="out"/>
        <c:minorTickMark val="none"/>
        <c:tickLblPos val="nextTo"/>
        <c:crossAx val="384893648"/>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J6m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76F-4F4F-8184-F07E14350981}"/>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F76F-4F4F-8184-F07E14350981}"/>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F76F-4F4F-8184-F07E14350981}"/>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F76F-4F4F-8184-F07E14350981}"/>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F76F-4F4F-8184-F07E14350981}"/>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F76F-4F4F-8184-F07E14350981}"/>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F76F-4F4F-8184-F07E14350981}"/>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F76F-4F4F-8184-F07E14350981}"/>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F76F-4F4F-8184-F07E14350981}"/>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F76F-4F4F-8184-F07E14350981}"/>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F76F-4F4F-8184-F07E14350981}"/>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F76F-4F4F-8184-F07E14350981}"/>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F76F-4F4F-8184-F07E14350981}"/>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F76F-4F4F-8184-F07E14350981}"/>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F76F-4F4F-8184-F07E14350981}"/>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F76F-4F4F-8184-F07E14350981}"/>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F76F-4F4F-8184-F07E14350981}"/>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F76F-4F4F-8184-F07E14350981}"/>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F76F-4F4F-8184-F07E14350981}"/>
            </c:ext>
          </c:extLst>
        </c:ser>
        <c:dLbls>
          <c:showLegendKey val="0"/>
          <c:showVal val="0"/>
          <c:showCatName val="0"/>
          <c:showSerName val="0"/>
          <c:showPercent val="0"/>
          <c:showBubbleSize val="0"/>
        </c:dLbls>
        <c:axId val="384894432"/>
        <c:axId val="384892864"/>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F76F-4F4F-8184-F07E14350981}"/>
                  </c:ext>
                </c:extLst>
              </c15:ser>
            </c15:filteredScatterSeries>
          </c:ext>
        </c:extLst>
      </c:scatterChart>
      <c:valAx>
        <c:axId val="384894432"/>
        <c:scaling>
          <c:orientation val="minMax"/>
        </c:scaling>
        <c:delete val="0"/>
        <c:axPos val="b"/>
        <c:numFmt formatCode="0.00E+00" sourceLinked="1"/>
        <c:majorTickMark val="out"/>
        <c:minorTickMark val="none"/>
        <c:tickLblPos val="nextTo"/>
        <c:crossAx val="384892864"/>
        <c:crosses val="autoZero"/>
        <c:crossBetween val="midCat"/>
      </c:valAx>
      <c:valAx>
        <c:axId val="384892864"/>
        <c:scaling>
          <c:orientation val="minMax"/>
          <c:max val="0.05"/>
          <c:min val="-0.05"/>
        </c:scaling>
        <c:delete val="0"/>
        <c:axPos val="l"/>
        <c:majorGridlines/>
        <c:numFmt formatCode="General" sourceLinked="1"/>
        <c:majorTickMark val="out"/>
        <c:minorTickMark val="none"/>
        <c:tickLblPos val="nextTo"/>
        <c:crossAx val="384894432"/>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J6m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41E-4BF6-AA99-393517C0F119}"/>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941E-4BF6-AA99-393517C0F119}"/>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941E-4BF6-AA99-393517C0F119}"/>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941E-4BF6-AA99-393517C0F119}"/>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941E-4BF6-AA99-393517C0F119}"/>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941E-4BF6-AA99-393517C0F119}"/>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941E-4BF6-AA99-393517C0F119}"/>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941E-4BF6-AA99-393517C0F119}"/>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941E-4BF6-AA99-393517C0F119}"/>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941E-4BF6-AA99-393517C0F119}"/>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941E-4BF6-AA99-393517C0F119}"/>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941E-4BF6-AA99-393517C0F119}"/>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941E-4BF6-AA99-393517C0F119}"/>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941E-4BF6-AA99-393517C0F119}"/>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941E-4BF6-AA99-393517C0F119}"/>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941E-4BF6-AA99-393517C0F119}"/>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941E-4BF6-AA99-393517C0F119}"/>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941E-4BF6-AA99-393517C0F119}"/>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941E-4BF6-AA99-393517C0F119}"/>
            </c:ext>
          </c:extLst>
        </c:ser>
        <c:dLbls>
          <c:showLegendKey val="0"/>
          <c:showVal val="0"/>
          <c:showCatName val="0"/>
          <c:showSerName val="0"/>
          <c:showPercent val="0"/>
          <c:showBubbleSize val="0"/>
        </c:dLbls>
        <c:axId val="385488496"/>
        <c:axId val="385486144"/>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941E-4BF6-AA99-393517C0F119}"/>
                  </c:ext>
                </c:extLst>
              </c15:ser>
            </c15:filteredScatterSeries>
          </c:ext>
        </c:extLst>
      </c:scatterChart>
      <c:valAx>
        <c:axId val="385488496"/>
        <c:scaling>
          <c:orientation val="minMax"/>
        </c:scaling>
        <c:delete val="0"/>
        <c:axPos val="b"/>
        <c:numFmt formatCode="0.00E+00" sourceLinked="1"/>
        <c:majorTickMark val="out"/>
        <c:minorTickMark val="none"/>
        <c:tickLblPos val="nextTo"/>
        <c:crossAx val="385486144"/>
        <c:crosses val="autoZero"/>
        <c:crossBetween val="midCat"/>
      </c:valAx>
      <c:valAx>
        <c:axId val="385486144"/>
        <c:scaling>
          <c:orientation val="minMax"/>
          <c:max val="0.05"/>
          <c:min val="-0.05"/>
        </c:scaling>
        <c:delete val="0"/>
        <c:axPos val="l"/>
        <c:majorGridlines/>
        <c:numFmt formatCode="General" sourceLinked="1"/>
        <c:majorTickMark val="out"/>
        <c:minorTickMark val="none"/>
        <c:tickLblPos val="nextTo"/>
        <c:crossAx val="385488496"/>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J6m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F52-4F0B-92FA-36C53F9BA983}"/>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EF52-4F0B-92FA-36C53F9BA983}"/>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EF52-4F0B-92FA-36C53F9BA983}"/>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EF52-4F0B-92FA-36C53F9BA983}"/>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EF52-4F0B-92FA-36C53F9BA983}"/>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EF52-4F0B-92FA-36C53F9BA983}"/>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EF52-4F0B-92FA-36C53F9BA983}"/>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EF52-4F0B-92FA-36C53F9BA983}"/>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EF52-4F0B-92FA-36C53F9BA983}"/>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EF52-4F0B-92FA-36C53F9BA983}"/>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EF52-4F0B-92FA-36C53F9BA983}"/>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EF52-4F0B-92FA-36C53F9BA983}"/>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EF52-4F0B-92FA-36C53F9BA983}"/>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EF52-4F0B-92FA-36C53F9BA983}"/>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EF52-4F0B-92FA-36C53F9BA983}"/>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EF52-4F0B-92FA-36C53F9BA983}"/>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EF52-4F0B-92FA-36C53F9BA983}"/>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EF52-4F0B-92FA-36C53F9BA983}"/>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EF52-4F0B-92FA-36C53F9BA983}"/>
            </c:ext>
          </c:extLst>
        </c:ser>
        <c:dLbls>
          <c:showLegendKey val="0"/>
          <c:showVal val="0"/>
          <c:showCatName val="0"/>
          <c:showSerName val="0"/>
          <c:showPercent val="0"/>
          <c:showBubbleSize val="0"/>
        </c:dLbls>
        <c:axId val="385486536"/>
        <c:axId val="385488888"/>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EF52-4F0B-92FA-36C53F9BA983}"/>
                  </c:ext>
                </c:extLst>
              </c15:ser>
            </c15:filteredScatterSeries>
          </c:ext>
        </c:extLst>
      </c:scatterChart>
      <c:valAx>
        <c:axId val="385486536"/>
        <c:scaling>
          <c:orientation val="minMax"/>
        </c:scaling>
        <c:delete val="0"/>
        <c:axPos val="b"/>
        <c:numFmt formatCode="0.00E+00" sourceLinked="1"/>
        <c:majorTickMark val="out"/>
        <c:minorTickMark val="none"/>
        <c:tickLblPos val="nextTo"/>
        <c:crossAx val="385488888"/>
        <c:crosses val="autoZero"/>
        <c:crossBetween val="midCat"/>
      </c:valAx>
      <c:valAx>
        <c:axId val="385488888"/>
        <c:scaling>
          <c:orientation val="minMax"/>
          <c:max val="0.05"/>
          <c:min val="-0.05"/>
        </c:scaling>
        <c:delete val="0"/>
        <c:axPos val="l"/>
        <c:majorGridlines/>
        <c:numFmt formatCode="General" sourceLinked="1"/>
        <c:majorTickMark val="out"/>
        <c:minorTickMark val="none"/>
        <c:tickLblPos val="nextTo"/>
        <c:crossAx val="385486536"/>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smooth val="0"/>
          <c:extLst xmlns:c16r2="http://schemas.microsoft.com/office/drawing/2015/06/chart">
            <c:ext xmlns:c16="http://schemas.microsoft.com/office/drawing/2014/chart" uri="{C3380CC4-5D6E-409C-BE32-E72D297353CC}">
              <c16:uniqueId val="{00000001-0520-42D4-8D7B-D4FCB622F37C}"/>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0520-42D4-8D7B-D4FCB622F37C}"/>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0520-42D4-8D7B-D4FCB622F37C}"/>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0520-42D4-8D7B-D4FCB622F37C}"/>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0520-42D4-8D7B-D4FCB622F37C}"/>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0520-42D4-8D7B-D4FCB622F37C}"/>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0520-42D4-8D7B-D4FCB622F37C}"/>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0520-42D4-8D7B-D4FCB622F37C}"/>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0520-42D4-8D7B-D4FCB622F37C}"/>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0520-42D4-8D7B-D4FCB622F37C}"/>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0520-42D4-8D7B-D4FCB622F37C}"/>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0520-42D4-8D7B-D4FCB622F37C}"/>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0520-42D4-8D7B-D4FCB622F37C}"/>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0520-42D4-8D7B-D4FCB622F37C}"/>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0520-42D4-8D7B-D4FCB622F37C}"/>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0520-42D4-8D7B-D4FCB622F37C}"/>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0520-42D4-8D7B-D4FCB622F37C}"/>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0520-42D4-8D7B-D4FCB622F37C}"/>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0520-42D4-8D7B-D4FCB622F37C}"/>
            </c:ext>
          </c:extLst>
        </c:ser>
        <c:dLbls>
          <c:showLegendKey val="0"/>
          <c:showVal val="0"/>
          <c:showCatName val="0"/>
          <c:showSerName val="0"/>
          <c:showPercent val="0"/>
          <c:showBubbleSize val="0"/>
        </c:dLbls>
        <c:axId val="385487320"/>
        <c:axId val="385485752"/>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0520-42D4-8D7B-D4FCB622F37C}"/>
                  </c:ext>
                </c:extLst>
              </c15:ser>
            </c15:filteredScatterSeries>
          </c:ext>
        </c:extLst>
      </c:scatterChart>
      <c:valAx>
        <c:axId val="385487320"/>
        <c:scaling>
          <c:orientation val="minMax"/>
        </c:scaling>
        <c:delete val="0"/>
        <c:axPos val="b"/>
        <c:numFmt formatCode="General" sourceLinked="1"/>
        <c:majorTickMark val="out"/>
        <c:minorTickMark val="none"/>
        <c:tickLblPos val="nextTo"/>
        <c:crossAx val="385485752"/>
        <c:crosses val="autoZero"/>
        <c:crossBetween val="midCat"/>
      </c:valAx>
      <c:valAx>
        <c:axId val="385485752"/>
        <c:scaling>
          <c:orientation val="minMax"/>
          <c:max val="0.05"/>
          <c:min val="-0.05"/>
        </c:scaling>
        <c:delete val="0"/>
        <c:axPos val="l"/>
        <c:majorGridlines/>
        <c:numFmt formatCode="General" sourceLinked="1"/>
        <c:majorTickMark val="out"/>
        <c:minorTickMark val="none"/>
        <c:tickLblPos val="nextTo"/>
        <c:crossAx val="385487320"/>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smooth val="0"/>
          <c:extLst xmlns:c16r2="http://schemas.microsoft.com/office/drawing/2015/06/chart">
            <c:ext xmlns:c16="http://schemas.microsoft.com/office/drawing/2014/chart" uri="{C3380CC4-5D6E-409C-BE32-E72D297353CC}">
              <c16:uniqueId val="{00000001-A997-458E-A446-ACFB9D78E86B}"/>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A997-458E-A446-ACFB9D78E86B}"/>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A997-458E-A446-ACFB9D78E86B}"/>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A997-458E-A446-ACFB9D78E86B}"/>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A997-458E-A446-ACFB9D78E86B}"/>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A997-458E-A446-ACFB9D78E86B}"/>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A997-458E-A446-ACFB9D78E86B}"/>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A997-458E-A446-ACFB9D78E86B}"/>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A997-458E-A446-ACFB9D78E86B}"/>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A997-458E-A446-ACFB9D78E86B}"/>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A997-458E-A446-ACFB9D78E86B}"/>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A997-458E-A446-ACFB9D78E86B}"/>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A997-458E-A446-ACFB9D78E86B}"/>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A997-458E-A446-ACFB9D78E86B}"/>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A997-458E-A446-ACFB9D78E86B}"/>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A997-458E-A446-ACFB9D78E86B}"/>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A997-458E-A446-ACFB9D78E86B}"/>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A997-458E-A446-ACFB9D78E86B}"/>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A997-458E-A446-ACFB9D78E86B}"/>
            </c:ext>
          </c:extLst>
        </c:ser>
        <c:dLbls>
          <c:showLegendKey val="0"/>
          <c:showVal val="0"/>
          <c:showCatName val="0"/>
          <c:showSerName val="0"/>
          <c:showPercent val="0"/>
          <c:showBubbleSize val="0"/>
        </c:dLbls>
        <c:axId val="385487712"/>
        <c:axId val="38548928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A997-458E-A446-ACFB9D78E86B}"/>
                  </c:ext>
                </c:extLst>
              </c15:ser>
            </c15:filteredScatterSeries>
          </c:ext>
        </c:extLst>
      </c:scatterChart>
      <c:valAx>
        <c:axId val="385487712"/>
        <c:scaling>
          <c:orientation val="minMax"/>
        </c:scaling>
        <c:delete val="0"/>
        <c:axPos val="b"/>
        <c:numFmt formatCode="General" sourceLinked="1"/>
        <c:majorTickMark val="out"/>
        <c:minorTickMark val="none"/>
        <c:tickLblPos val="nextTo"/>
        <c:crossAx val="385489280"/>
        <c:crosses val="autoZero"/>
        <c:crossBetween val="midCat"/>
      </c:valAx>
      <c:valAx>
        <c:axId val="385489280"/>
        <c:scaling>
          <c:orientation val="minMax"/>
          <c:max val="0.05"/>
          <c:min val="-0.05"/>
        </c:scaling>
        <c:delete val="0"/>
        <c:axPos val="l"/>
        <c:majorGridlines/>
        <c:numFmt formatCode="General" sourceLinked="1"/>
        <c:majorTickMark val="out"/>
        <c:minorTickMark val="none"/>
        <c:tickLblPos val="nextTo"/>
        <c:crossAx val="385487712"/>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82857935718434794"/>
          <c:y val="0.13319494080967487"/>
          <c:w val="9.6418071039236497E-3"/>
          <c:h val="0.76974372995042284"/>
        </c:manualLayout>
      </c:layout>
      <c:scatterChart>
        <c:scatterStyle val="lineMarker"/>
        <c:varyColors val="0"/>
        <c:ser>
          <c:idx val="0"/>
          <c:order val="0"/>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0-E12B-492C-8382-BC3F45113E91}"/>
            </c:ext>
          </c:extLst>
        </c:ser>
        <c:ser>
          <c:idx val="1"/>
          <c:order val="1"/>
          <c:tx>
            <c:v/>
          </c:tx>
          <c:spPr>
            <a:ln w="28575">
              <a:noFill/>
            </a:ln>
          </c:spPr>
          <c:marker>
            <c:symbol val="square"/>
            <c:size val="5"/>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1-E12B-492C-8382-BC3F45113E91}"/>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2-E12B-492C-8382-BC3F45113E91}"/>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E12B-492C-8382-BC3F45113E91}"/>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E12B-492C-8382-BC3F45113E91}"/>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E12B-492C-8382-BC3F45113E91}"/>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E12B-492C-8382-BC3F45113E91}"/>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E12B-492C-8382-BC3F45113E91}"/>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8-E12B-492C-8382-BC3F45113E91}"/>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9-E12B-492C-8382-BC3F45113E91}"/>
            </c:ext>
          </c:extLst>
        </c:ser>
        <c:ser>
          <c:idx val="10"/>
          <c:order val="10"/>
          <c:tx>
            <c:v/>
          </c:tx>
          <c:spPr>
            <a:ln w="28575">
              <a:noFill/>
            </a:ln>
          </c:spPr>
          <c:marker>
            <c:symbol val="square"/>
            <c:size val="5"/>
            <c:spPr>
              <a:ln>
                <a:solidFill>
                  <a:srgbClr val="000000"/>
                </a:solidFill>
                <a:prstDash val="solid"/>
              </a:ln>
            </c:spPr>
          </c:marker>
          <c:smooth val="0"/>
          <c:extLst xmlns:c16r2="http://schemas.microsoft.com/office/drawing/2015/06/chart">
            <c:ext xmlns:c16="http://schemas.microsoft.com/office/drawing/2014/chart" uri="{C3380CC4-5D6E-409C-BE32-E72D297353CC}">
              <c16:uniqueId val="{0000000A-E12B-492C-8382-BC3F45113E91}"/>
            </c:ext>
          </c:extLst>
        </c:ser>
        <c:ser>
          <c:idx val="11"/>
          <c:order val="11"/>
          <c:tx>
            <c:v/>
          </c:tx>
          <c:spPr>
            <a:ln w="28575">
              <a:noFill/>
            </a:ln>
          </c:spPr>
          <c:marker>
            <c:symbol val="triangle"/>
            <c:size val="6"/>
            <c:spPr>
              <a:ln>
                <a:solidFill>
                  <a:srgbClr val="000000"/>
                </a:solidFill>
                <a:prstDash val="solid"/>
              </a:ln>
            </c:spPr>
          </c:marker>
          <c:smooth val="0"/>
          <c:extLst xmlns:c16r2="http://schemas.microsoft.com/office/drawing/2015/06/chart">
            <c:ext xmlns:c16="http://schemas.microsoft.com/office/drawing/2014/chart" uri="{C3380CC4-5D6E-409C-BE32-E72D297353CC}">
              <c16:uniqueId val="{0000000B-E12B-492C-8382-BC3F45113E91}"/>
            </c:ext>
          </c:extLst>
        </c:ser>
        <c:ser>
          <c:idx val="12"/>
          <c:order val="12"/>
          <c:tx>
            <c:v/>
          </c:tx>
          <c:spPr>
            <a:ln w="28575">
              <a:noFill/>
            </a:ln>
          </c:spPr>
          <c:smooth val="0"/>
          <c:extLst xmlns:c16r2="http://schemas.microsoft.com/office/drawing/2015/06/chart">
            <c:ext xmlns:c16="http://schemas.microsoft.com/office/drawing/2014/chart" uri="{C3380CC4-5D6E-409C-BE32-E72D297353CC}">
              <c16:uniqueId val="{0000000C-E12B-492C-8382-BC3F45113E91}"/>
            </c:ext>
          </c:extLst>
        </c:ser>
        <c:ser>
          <c:idx val="13"/>
          <c:order val="13"/>
          <c:tx>
            <c:v/>
          </c:tx>
          <c:spPr>
            <a:ln w="28575">
              <a:noFill/>
            </a:ln>
          </c:spPr>
          <c:smooth val="0"/>
          <c:extLst xmlns:c16r2="http://schemas.microsoft.com/office/drawing/2015/06/chart">
            <c:ext xmlns:c16="http://schemas.microsoft.com/office/drawing/2014/chart" uri="{C3380CC4-5D6E-409C-BE32-E72D297353CC}">
              <c16:uniqueId val="{0000000D-E12B-492C-8382-BC3F45113E91}"/>
            </c:ext>
          </c:extLst>
        </c:ser>
        <c:ser>
          <c:idx val="14"/>
          <c:order val="14"/>
          <c:tx>
            <c:v/>
          </c:tx>
          <c:spPr>
            <a:ln w="28575">
              <a:noFill/>
            </a:ln>
          </c:spPr>
          <c:marker>
            <c:symbol val="circle"/>
            <c:size val="6"/>
          </c:marker>
          <c:smooth val="0"/>
          <c:extLst xmlns:c16r2="http://schemas.microsoft.com/office/drawing/2015/06/chart">
            <c:ext xmlns:c16="http://schemas.microsoft.com/office/drawing/2014/chart" uri="{C3380CC4-5D6E-409C-BE32-E72D297353CC}">
              <c16:uniqueId val="{0000000E-E12B-492C-8382-BC3F45113E91}"/>
            </c:ext>
          </c:extLst>
        </c:ser>
        <c:ser>
          <c:idx val="15"/>
          <c:order val="15"/>
          <c:tx>
            <c:v/>
          </c:tx>
          <c:spPr>
            <a:ln w="28575">
              <a:noFill/>
            </a:ln>
          </c:spPr>
          <c:smooth val="0"/>
          <c:extLst xmlns:c16r2="http://schemas.microsoft.com/office/drawing/2015/06/chart">
            <c:ext xmlns:c16="http://schemas.microsoft.com/office/drawing/2014/chart" uri="{C3380CC4-5D6E-409C-BE32-E72D297353CC}">
              <c16:uniqueId val="{0000000F-E12B-492C-8382-BC3F45113E91}"/>
            </c:ext>
          </c:extLst>
        </c:ser>
        <c:ser>
          <c:idx val="16"/>
          <c:order val="16"/>
          <c:tx>
            <c:v/>
          </c:tx>
          <c:spPr>
            <a:ln w="28575">
              <a:noFill/>
            </a:ln>
          </c:spPr>
          <c:smooth val="0"/>
          <c:extLst xmlns:c16r2="http://schemas.microsoft.com/office/drawing/2015/06/chart">
            <c:ext xmlns:c16="http://schemas.microsoft.com/office/drawing/2014/chart" uri="{C3380CC4-5D6E-409C-BE32-E72D297353CC}">
              <c16:uniqueId val="{00000010-E12B-492C-8382-BC3F45113E91}"/>
            </c:ext>
          </c:extLst>
        </c:ser>
        <c:ser>
          <c:idx val="17"/>
          <c:order val="17"/>
          <c:tx>
            <c:v/>
          </c:tx>
          <c:spPr>
            <a:ln w="28575">
              <a:noFill/>
            </a:ln>
          </c:spPr>
          <c:smooth val="0"/>
          <c:extLst xmlns:c16r2="http://schemas.microsoft.com/office/drawing/2015/06/chart">
            <c:ext xmlns:c16="http://schemas.microsoft.com/office/drawing/2014/chart" uri="{C3380CC4-5D6E-409C-BE32-E72D297353CC}">
              <c16:uniqueId val="{00000011-E12B-492C-8382-BC3F45113E91}"/>
            </c:ext>
          </c:extLst>
        </c:ser>
        <c:ser>
          <c:idx val="18"/>
          <c:order val="18"/>
          <c:tx>
            <c:v/>
          </c:tx>
          <c:spPr>
            <a:ln w="28575">
              <a:noFill/>
            </a:ln>
          </c:spPr>
          <c:smooth val="0"/>
          <c:extLst xmlns:c16r2="http://schemas.microsoft.com/office/drawing/2015/06/chart">
            <c:ext xmlns:c16="http://schemas.microsoft.com/office/drawing/2014/chart" uri="{C3380CC4-5D6E-409C-BE32-E72D297353CC}">
              <c16:uniqueId val="{00000012-E12B-492C-8382-BC3F45113E91}"/>
            </c:ext>
          </c:extLst>
        </c:ser>
        <c:ser>
          <c:idx val="19"/>
          <c:order val="19"/>
          <c:tx>
            <c:v/>
          </c:tx>
          <c:spPr>
            <a:ln w="28575">
              <a:noFill/>
            </a:ln>
          </c:spPr>
          <c:smooth val="0"/>
          <c:extLst xmlns:c16r2="http://schemas.microsoft.com/office/drawing/2015/06/chart">
            <c:ext xmlns:c16="http://schemas.microsoft.com/office/drawing/2014/chart" uri="{C3380CC4-5D6E-409C-BE32-E72D297353CC}">
              <c16:uniqueId val="{00000013-E12B-492C-8382-BC3F45113E91}"/>
            </c:ext>
          </c:extLst>
        </c:ser>
        <c:dLbls>
          <c:showLegendKey val="0"/>
          <c:showVal val="0"/>
          <c:showCatName val="0"/>
          <c:showSerName val="0"/>
          <c:showPercent val="0"/>
          <c:showBubbleSize val="0"/>
        </c:dLbls>
        <c:axId val="385492808"/>
        <c:axId val="385490848"/>
        <c:extLst xmlns:c16r2="http://schemas.microsoft.com/office/drawing/2015/06/chart"/>
      </c:scatterChart>
      <c:valAx>
        <c:axId val="385492808"/>
        <c:scaling>
          <c:orientation val="minMax"/>
        </c:scaling>
        <c:delete val="0"/>
        <c:axPos val="b"/>
        <c:numFmt formatCode="General" sourceLinked="1"/>
        <c:majorTickMark val="out"/>
        <c:minorTickMark val="none"/>
        <c:tickLblPos val="nextTo"/>
        <c:crossAx val="385490848"/>
        <c:crosses val="autoZero"/>
        <c:crossBetween val="midCat"/>
      </c:valAx>
      <c:valAx>
        <c:axId val="385490848"/>
        <c:scaling>
          <c:orientation val="minMax"/>
          <c:max val="0.05"/>
          <c:min val="-0.05"/>
        </c:scaling>
        <c:delete val="0"/>
        <c:axPos val="l"/>
        <c:majorGridlines/>
        <c:numFmt formatCode="#,##0" sourceLinked="0"/>
        <c:majorTickMark val="out"/>
        <c:minorTickMark val="none"/>
        <c:tickLblPos val="nextTo"/>
        <c:crossAx val="385492808"/>
        <c:crosses val="autoZero"/>
        <c:crossBetween val="midCat"/>
      </c:valAx>
    </c:plotArea>
    <c:legend>
      <c:legendPos val="l"/>
      <c:layout>
        <c:manualLayout>
          <c:xMode val="edge"/>
          <c:yMode val="edge"/>
          <c:x val="1.8122982272298523E-2"/>
          <c:y val="1.1414039498241582E-2"/>
          <c:w val="7.6054212927441953E-2"/>
          <c:h val="0.97846811494573183"/>
        </c:manualLayout>
      </c:layout>
      <c:overlay val="0"/>
    </c:legend>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J3m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2856-4D03-8308-FD2784D440A9}"/>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2856-4D03-8308-FD2784D440A9}"/>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2856-4D03-8308-FD2784D440A9}"/>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2856-4D03-8308-FD2784D440A9}"/>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2856-4D03-8308-FD2784D440A9}"/>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2856-4D03-8308-FD2784D440A9}"/>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2856-4D03-8308-FD2784D440A9}"/>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2856-4D03-8308-FD2784D440A9}"/>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2856-4D03-8308-FD2784D440A9}"/>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2856-4D03-8308-FD2784D440A9}"/>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2856-4D03-8308-FD2784D440A9}"/>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2856-4D03-8308-FD2784D440A9}"/>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2856-4D03-8308-FD2784D440A9}"/>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2856-4D03-8308-FD2784D440A9}"/>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2856-4D03-8308-FD2784D440A9}"/>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2856-4D03-8308-FD2784D440A9}"/>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2856-4D03-8308-FD2784D440A9}"/>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2856-4D03-8308-FD2784D440A9}"/>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2856-4D03-8308-FD2784D440A9}"/>
            </c:ext>
          </c:extLst>
        </c:ser>
        <c:dLbls>
          <c:showLegendKey val="0"/>
          <c:showVal val="0"/>
          <c:showCatName val="0"/>
          <c:showSerName val="0"/>
          <c:showPercent val="0"/>
          <c:showBubbleSize val="0"/>
        </c:dLbls>
        <c:axId val="385490064"/>
        <c:axId val="38549124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2856-4D03-8308-FD2784D440A9}"/>
                  </c:ext>
                </c:extLst>
              </c15:ser>
            </c15:filteredScatterSeries>
          </c:ext>
        </c:extLst>
      </c:scatterChart>
      <c:valAx>
        <c:axId val="385490064"/>
        <c:scaling>
          <c:orientation val="minMax"/>
        </c:scaling>
        <c:delete val="0"/>
        <c:axPos val="b"/>
        <c:numFmt formatCode="General" sourceLinked="1"/>
        <c:majorTickMark val="out"/>
        <c:minorTickMark val="none"/>
        <c:tickLblPos val="nextTo"/>
        <c:crossAx val="385491240"/>
        <c:crosses val="autoZero"/>
        <c:crossBetween val="midCat"/>
      </c:valAx>
      <c:valAx>
        <c:axId val="385491240"/>
        <c:scaling>
          <c:orientation val="minMax"/>
          <c:max val="0.05"/>
          <c:min val="-0.05"/>
        </c:scaling>
        <c:delete val="0"/>
        <c:axPos val="l"/>
        <c:majorGridlines/>
        <c:numFmt formatCode="General" sourceLinked="1"/>
        <c:majorTickMark val="out"/>
        <c:minorTickMark val="none"/>
        <c:tickLblPos val="nextTo"/>
        <c:crossAx val="385490064"/>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J4m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4D8-4C9F-951F-5C072C59822F}"/>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E4D8-4C9F-951F-5C072C59822F}"/>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E4D8-4C9F-951F-5C072C59822F}"/>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E4D8-4C9F-951F-5C072C59822F}"/>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E4D8-4C9F-951F-5C072C59822F}"/>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E4D8-4C9F-951F-5C072C59822F}"/>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E4D8-4C9F-951F-5C072C59822F}"/>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E4D8-4C9F-951F-5C072C59822F}"/>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E4D8-4C9F-951F-5C072C59822F}"/>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E4D8-4C9F-951F-5C072C59822F}"/>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E4D8-4C9F-951F-5C072C59822F}"/>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E4D8-4C9F-951F-5C072C59822F}"/>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E4D8-4C9F-951F-5C072C59822F}"/>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E4D8-4C9F-951F-5C072C59822F}"/>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E4D8-4C9F-951F-5C072C59822F}"/>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E4D8-4C9F-951F-5C072C59822F}"/>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E4D8-4C9F-951F-5C072C59822F}"/>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E4D8-4C9F-951F-5C072C59822F}"/>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E4D8-4C9F-951F-5C072C59822F}"/>
            </c:ext>
          </c:extLst>
        </c:ser>
        <c:dLbls>
          <c:showLegendKey val="0"/>
          <c:showVal val="0"/>
          <c:showCatName val="0"/>
          <c:showSerName val="0"/>
          <c:showPercent val="0"/>
          <c:showBubbleSize val="0"/>
        </c:dLbls>
        <c:axId val="385492024"/>
        <c:axId val="38549320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E4D8-4C9F-951F-5C072C59822F}"/>
                  </c:ext>
                </c:extLst>
              </c15:ser>
            </c15:filteredScatterSeries>
          </c:ext>
        </c:extLst>
      </c:scatterChart>
      <c:valAx>
        <c:axId val="385492024"/>
        <c:scaling>
          <c:orientation val="minMax"/>
        </c:scaling>
        <c:delete val="0"/>
        <c:axPos val="b"/>
        <c:numFmt formatCode="0.00E+00" sourceLinked="1"/>
        <c:majorTickMark val="out"/>
        <c:minorTickMark val="none"/>
        <c:tickLblPos val="nextTo"/>
        <c:crossAx val="385493200"/>
        <c:crosses val="autoZero"/>
        <c:crossBetween val="midCat"/>
      </c:valAx>
      <c:valAx>
        <c:axId val="385493200"/>
        <c:scaling>
          <c:orientation val="minMax"/>
          <c:max val="0.05"/>
          <c:min val="-0.05"/>
        </c:scaling>
        <c:delete val="0"/>
        <c:axPos val="l"/>
        <c:majorGridlines/>
        <c:numFmt formatCode="General" sourceLinked="1"/>
        <c:majorTickMark val="out"/>
        <c:minorTickMark val="none"/>
        <c:tickLblPos val="nextTo"/>
        <c:crossAx val="385492024"/>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J5m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432E-4483-8AA9-CE145034E29C}"/>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432E-4483-8AA9-CE145034E29C}"/>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432E-4483-8AA9-CE145034E29C}"/>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432E-4483-8AA9-CE145034E29C}"/>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432E-4483-8AA9-CE145034E29C}"/>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432E-4483-8AA9-CE145034E29C}"/>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432E-4483-8AA9-CE145034E29C}"/>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432E-4483-8AA9-CE145034E29C}"/>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432E-4483-8AA9-CE145034E29C}"/>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432E-4483-8AA9-CE145034E29C}"/>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432E-4483-8AA9-CE145034E29C}"/>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432E-4483-8AA9-CE145034E29C}"/>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432E-4483-8AA9-CE145034E29C}"/>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432E-4483-8AA9-CE145034E29C}"/>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432E-4483-8AA9-CE145034E29C}"/>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432E-4483-8AA9-CE145034E29C}"/>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432E-4483-8AA9-CE145034E29C}"/>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432E-4483-8AA9-CE145034E29C}"/>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432E-4483-8AA9-CE145034E29C}"/>
            </c:ext>
          </c:extLst>
        </c:ser>
        <c:dLbls>
          <c:showLegendKey val="0"/>
          <c:showVal val="0"/>
          <c:showCatName val="0"/>
          <c:showSerName val="0"/>
          <c:showPercent val="0"/>
          <c:showBubbleSize val="0"/>
        </c:dLbls>
        <c:axId val="385771360"/>
        <c:axId val="385772928"/>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432E-4483-8AA9-CE145034E29C}"/>
                  </c:ext>
                </c:extLst>
              </c15:ser>
            </c15:filteredScatterSeries>
          </c:ext>
        </c:extLst>
      </c:scatterChart>
      <c:valAx>
        <c:axId val="385771360"/>
        <c:scaling>
          <c:orientation val="minMax"/>
        </c:scaling>
        <c:delete val="0"/>
        <c:axPos val="b"/>
        <c:numFmt formatCode="General" sourceLinked="1"/>
        <c:majorTickMark val="out"/>
        <c:minorTickMark val="none"/>
        <c:tickLblPos val="nextTo"/>
        <c:crossAx val="385772928"/>
        <c:crosses val="autoZero"/>
        <c:crossBetween val="midCat"/>
      </c:valAx>
      <c:valAx>
        <c:axId val="385772928"/>
        <c:scaling>
          <c:orientation val="minMax"/>
          <c:max val="0.05"/>
          <c:min val="-0.05"/>
        </c:scaling>
        <c:delete val="0"/>
        <c:axPos val="l"/>
        <c:majorGridlines/>
        <c:numFmt formatCode="General" sourceLinked="1"/>
        <c:majorTickMark val="out"/>
        <c:minorTickMark val="none"/>
        <c:tickLblPos val="nextTo"/>
        <c:crossAx val="385771360"/>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random All</a:t>
            </a:r>
            <a:endParaRPr lang="en-US" baseline="0"/>
          </a:p>
        </c:rich>
      </c:tx>
      <c:overlay val="0"/>
    </c:title>
    <c:autoTitleDeleted val="0"/>
    <c:plotArea>
      <c:layout/>
      <c:lineChart>
        <c:grouping val="standard"/>
        <c:varyColors val="0"/>
        <c:ser>
          <c:idx val="0"/>
          <c:order val="0"/>
          <c:tx>
            <c:v>random All</c:v>
          </c:tx>
          <c:marker>
            <c:symbol val="none"/>
          </c:marker>
          <c:val>
            <c:numRef>
              <c:f>Data!$AG$2:$AG$48</c:f>
              <c:numCache>
                <c:formatCode>0.000</c:formatCode>
                <c:ptCount val="47"/>
                <c:pt idx="0">
                  <c:v>9.9282817083351117E-3</c:v>
                </c:pt>
                <c:pt idx="1">
                  <c:v>1.7068074194393668E-3</c:v>
                </c:pt>
                <c:pt idx="2">
                  <c:v>3.8755625161478323E-3</c:v>
                </c:pt>
                <c:pt idx="3">
                  <c:v>4.3143681502209865E-3</c:v>
                </c:pt>
                <c:pt idx="4">
                  <c:v>2.6459090792939548E-3</c:v>
                </c:pt>
                <c:pt idx="5">
                  <c:v>5.4275709047543726E-3</c:v>
                </c:pt>
                <c:pt idx="6">
                  <c:v>4.448354331937872E-3</c:v>
                </c:pt>
                <c:pt idx="7">
                  <c:v>2.5734483359579961E-3</c:v>
                </c:pt>
                <c:pt idx="8">
                  <c:v>5.1058973928781838E-3</c:v>
                </c:pt>
                <c:pt idx="9">
                  <c:v>5.5506621699446526E-3</c:v>
                </c:pt>
                <c:pt idx="10">
                  <c:v>8.9434291151570984E-3</c:v>
                </c:pt>
                <c:pt idx="11">
                  <c:v>3.3573789702114071E-3</c:v>
                </c:pt>
                <c:pt idx="12">
                  <c:v>9.1876064122710845E-3</c:v>
                </c:pt>
                <c:pt idx="13">
                  <c:v>3.6409339890855798E-3</c:v>
                </c:pt>
                <c:pt idx="14">
                  <c:v>4.5244205582564536E-3</c:v>
                </c:pt>
                <c:pt idx="15">
                  <c:v>9.901919448690906E-3</c:v>
                </c:pt>
                <c:pt idx="16">
                  <c:v>4.3897431243265488E-3</c:v>
                </c:pt>
                <c:pt idx="17">
                  <c:v>3.0139632675300031E-3</c:v>
                </c:pt>
                <c:pt idx="18">
                  <c:v>7.6200015450817882E-3</c:v>
                </c:pt>
                <c:pt idx="19">
                  <c:v>7.1382987395532393E-3</c:v>
                </c:pt>
                <c:pt idx="20">
                  <c:v>2.8479252834456266E-3</c:v>
                </c:pt>
                <c:pt idx="21">
                  <c:v>1.0530723308097135E-2</c:v>
                </c:pt>
                <c:pt idx="22">
                  <c:v>6.9642285075141031E-3</c:v>
                </c:pt>
                <c:pt idx="23">
                  <c:v>4.4478272363297627E-3</c:v>
                </c:pt>
                <c:pt idx="24">
                  <c:v>1.7923738097933336E-3</c:v>
                </c:pt>
                <c:pt idx="25">
                  <c:v>5.5168855704880891E-3</c:v>
                </c:pt>
                <c:pt idx="26">
                  <c:v>4.1731128271972149E-3</c:v>
                </c:pt>
                <c:pt idx="27">
                  <c:v>4.0947903337271449E-3</c:v>
                </c:pt>
                <c:pt idx="28">
                  <c:v>3.0277670380866361E-3</c:v>
                </c:pt>
                <c:pt idx="29">
                  <c:v>9.7089057503519788E-3</c:v>
                </c:pt>
                <c:pt idx="30">
                  <c:v>1.1923937450273805E-2</c:v>
                </c:pt>
                <c:pt idx="31">
                  <c:v>2.5561492825534747E-3</c:v>
                </c:pt>
                <c:pt idx="32">
                  <c:v>4.2461276724121014E-3</c:v>
                </c:pt>
                <c:pt idx="33">
                  <c:v>2.480600674094302E-3</c:v>
                </c:pt>
                <c:pt idx="34">
                  <c:v>3.7315657970607122E-3</c:v>
                </c:pt>
                <c:pt idx="35">
                  <c:v>1.0166914110935099E-2</c:v>
                </c:pt>
                <c:pt idx="36">
                  <c:v>2.2086658393258912E-3</c:v>
                </c:pt>
                <c:pt idx="37">
                  <c:v>7.421838780795045E-3</c:v>
                </c:pt>
                <c:pt idx="38">
                  <c:v>4.4419643018368694E-3</c:v>
                </c:pt>
                <c:pt idx="39">
                  <c:v>6.9724691705833532E-3</c:v>
                </c:pt>
                <c:pt idx="40">
                  <c:v>3.7484932589668478E-3</c:v>
                </c:pt>
                <c:pt idx="41">
                  <c:v>4.8412122991526854E-3</c:v>
                </c:pt>
                <c:pt idx="42">
                  <c:v>2.6518685021004024E-3</c:v>
                </c:pt>
                <c:pt idx="43">
                  <c:v>1.2801534456934724E-2</c:v>
                </c:pt>
                <c:pt idx="44">
                  <c:v>4.8880723049140769E-3</c:v>
                </c:pt>
                <c:pt idx="45">
                  <c:v>7.6773098472823461E-3</c:v>
                </c:pt>
                <c:pt idx="46">
                  <c:v>5.7522464401861782E-3</c:v>
                </c:pt>
              </c:numCache>
            </c:numRef>
          </c:val>
          <c:smooth val="0"/>
          <c:extLst xmlns:c16r2="http://schemas.microsoft.com/office/drawing/2015/06/chart">
            <c:ext xmlns:c16="http://schemas.microsoft.com/office/drawing/2014/chart" uri="{C3380CC4-5D6E-409C-BE32-E72D297353CC}">
              <c16:uniqueId val="{00000000-CDB9-4C1F-8E23-E0956584CF2B}"/>
            </c:ext>
          </c:extLst>
        </c:ser>
        <c:dLbls>
          <c:showLegendKey val="0"/>
          <c:showVal val="0"/>
          <c:showCatName val="0"/>
          <c:showSerName val="0"/>
          <c:showPercent val="0"/>
          <c:showBubbleSize val="0"/>
        </c:dLbls>
        <c:smooth val="0"/>
        <c:axId val="385773320"/>
        <c:axId val="385775672"/>
      </c:lineChart>
      <c:catAx>
        <c:axId val="385773320"/>
        <c:scaling>
          <c:orientation val="minMax"/>
        </c:scaling>
        <c:delete val="1"/>
        <c:axPos val="b"/>
        <c:majorTickMark val="none"/>
        <c:minorTickMark val="none"/>
        <c:tickLblPos val="none"/>
        <c:crossAx val="385775672"/>
        <c:crosses val="autoZero"/>
        <c:auto val="1"/>
        <c:lblAlgn val="ctr"/>
        <c:lblOffset val="100"/>
        <c:tickMarkSkip val="10"/>
        <c:noMultiLvlLbl val="0"/>
      </c:catAx>
      <c:valAx>
        <c:axId val="385775672"/>
        <c:scaling>
          <c:orientation val="minMax"/>
          <c:max val="0.05"/>
          <c:min val="-0.05"/>
        </c:scaling>
        <c:delete val="0"/>
        <c:axPos val="l"/>
        <c:majorGridlines/>
        <c:title>
          <c:tx>
            <c:rich>
              <a:bodyPr/>
              <a:lstStyle/>
              <a:p>
                <a:pPr>
                  <a:defRPr/>
                </a:pPr>
                <a:r>
                  <a:rPr lang="en-US"/>
                  <a:t>Radial Error (")</a:t>
                </a:r>
              </a:p>
            </c:rich>
          </c:tx>
          <c:overlay val="0"/>
        </c:title>
        <c:numFmt formatCode="0.000" sourceLinked="1"/>
        <c:majorTickMark val="none"/>
        <c:minorTickMark val="none"/>
        <c:tickLblPos val="nextTo"/>
        <c:crossAx val="385773320"/>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bad All</a:t>
            </a:r>
          </a:p>
        </c:rich>
      </c:tx>
      <c:layout>
        <c:manualLayout>
          <c:xMode val="edge"/>
          <c:yMode val="edge"/>
          <c:x val="0.44576377952755908"/>
          <c:y val="1.8518518518518583E-2"/>
        </c:manualLayout>
      </c:layout>
      <c:overlay val="0"/>
    </c:title>
    <c:autoTitleDeleted val="0"/>
    <c:plotArea>
      <c:layout/>
      <c:lineChart>
        <c:grouping val="standard"/>
        <c:varyColors val="0"/>
        <c:ser>
          <c:idx val="0"/>
          <c:order val="0"/>
          <c:tx>
            <c:v>bad All</c:v>
          </c:tx>
          <c:marker>
            <c:symbol val="none"/>
          </c:marker>
          <c:val>
            <c:numRef>
              <c:f>Data!#REF!</c:f>
              <c:numCache>
                <c:formatCode>0.000</c:formatCode>
                <c:ptCount val="1"/>
                <c:pt idx="0">
                  <c:v>1.3597905175003431E-2</c:v>
                </c:pt>
              </c:numCache>
            </c:numRef>
          </c:val>
          <c:smooth val="0"/>
          <c:extLst xmlns:c16r2="http://schemas.microsoft.com/office/drawing/2015/06/chart">
            <c:ext xmlns:c16="http://schemas.microsoft.com/office/drawing/2014/chart" uri="{C3380CC4-5D6E-409C-BE32-E72D297353CC}">
              <c16:uniqueId val="{00000000-9639-4A54-AFDF-B082D726B806}"/>
            </c:ext>
          </c:extLst>
        </c:ser>
        <c:dLbls>
          <c:showLegendKey val="0"/>
          <c:showVal val="0"/>
          <c:showCatName val="0"/>
          <c:showSerName val="0"/>
          <c:showPercent val="0"/>
          <c:showBubbleSize val="0"/>
        </c:dLbls>
        <c:smooth val="0"/>
        <c:axId val="385769400"/>
        <c:axId val="385769792"/>
      </c:lineChart>
      <c:catAx>
        <c:axId val="385769400"/>
        <c:scaling>
          <c:orientation val="minMax"/>
        </c:scaling>
        <c:delete val="1"/>
        <c:axPos val="b"/>
        <c:majorTickMark val="none"/>
        <c:minorTickMark val="none"/>
        <c:tickLblPos val="none"/>
        <c:crossAx val="385769792"/>
        <c:crosses val="autoZero"/>
        <c:auto val="1"/>
        <c:lblAlgn val="ctr"/>
        <c:lblOffset val="100"/>
        <c:noMultiLvlLbl val="0"/>
      </c:catAx>
      <c:valAx>
        <c:axId val="385769792"/>
        <c:scaling>
          <c:orientation val="minMax"/>
          <c:max val="0.05"/>
          <c:min val="-0.05"/>
        </c:scaling>
        <c:delete val="0"/>
        <c:axPos val="l"/>
        <c:majorGridlines/>
        <c:title>
          <c:tx>
            <c:rich>
              <a:bodyPr/>
              <a:lstStyle/>
              <a:p>
                <a:pPr>
                  <a:defRPr/>
                </a:pPr>
                <a:r>
                  <a:rPr lang="en-US"/>
                  <a:t>Radial Error (")</a:t>
                </a:r>
              </a:p>
            </c:rich>
          </c:tx>
          <c:overlay val="0"/>
        </c:title>
        <c:numFmt formatCode="0.000" sourceLinked="1"/>
        <c:majorTickMark val="none"/>
        <c:minorTickMark val="none"/>
        <c:tickLblPos val="nextTo"/>
        <c:crossAx val="385769400"/>
        <c:crosses val="autoZero"/>
        <c:crossBetween val="between"/>
      </c:valAx>
    </c:plotArea>
    <c:plotVisOnly val="1"/>
    <c:dispBlanksAs val="gap"/>
    <c:showDLblsOverMax val="0"/>
  </c:chart>
  <c:printSettings>
    <c:headerFooter/>
    <c:pageMargins b="0.75000000000000377" l="0.70000000000000062" r="0.70000000000000062" t="0.75000000000000377"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check All</a:t>
            </a:r>
          </a:p>
        </c:rich>
      </c:tx>
      <c:overlay val="0"/>
    </c:title>
    <c:autoTitleDeleted val="0"/>
    <c:plotArea>
      <c:layout/>
      <c:lineChart>
        <c:grouping val="standard"/>
        <c:varyColors val="0"/>
        <c:ser>
          <c:idx val="0"/>
          <c:order val="0"/>
          <c:tx>
            <c:v>check All</c:v>
          </c:tx>
          <c:marker>
            <c:symbol val="none"/>
          </c:marker>
          <c:dLbls>
            <c:dLbl>
              <c:idx val="69"/>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7663-4602-8AE3-6D2859B09712}"/>
                </c:ext>
                <c:ext xmlns:c15="http://schemas.microsoft.com/office/drawing/2012/chart" uri="{CE6537A1-D6FC-4f65-9D91-7224C49458BB}"/>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val>
            <c:numRef>
              <c:f>Data!#REF!</c:f>
              <c:numCache>
                <c:formatCode>0.000</c:formatCode>
                <c:ptCount val="12"/>
                <c:pt idx="0">
                  <c:v>1.5608508500033817E-2</c:v>
                </c:pt>
                <c:pt idx="1">
                  <c:v>1.6052090273967402E-2</c:v>
                </c:pt>
                <c:pt idx="2">
                  <c:v>2.3296556095378569E-2</c:v>
                </c:pt>
                <c:pt idx="3">
                  <c:v>2.2535915237812319E-2</c:v>
                </c:pt>
                <c:pt idx="4">
                  <c:v>1.6491885323049075E-2</c:v>
                </c:pt>
                <c:pt idx="5">
                  <c:v>7.7564246899367887E-3</c:v>
                </c:pt>
                <c:pt idx="6">
                  <c:v>3.4613594285495719E-3</c:v>
                </c:pt>
                <c:pt idx="7">
                  <c:v>8.333946000876594E-3</c:v>
                </c:pt>
                <c:pt idx="8">
                  <c:v>6.5719158915505541E-3</c:v>
                </c:pt>
                <c:pt idx="9">
                  <c:v>1.2703957373525157E-2</c:v>
                </c:pt>
                <c:pt idx="10">
                  <c:v>1.7870103533888166E-3</c:v>
                </c:pt>
                <c:pt idx="11">
                  <c:v>1.6845599344801156E-2</c:v>
                </c:pt>
              </c:numCache>
            </c:numRef>
          </c:val>
          <c:smooth val="0"/>
          <c:extLst xmlns:c16r2="http://schemas.microsoft.com/office/drawing/2015/06/chart">
            <c:ext xmlns:c16="http://schemas.microsoft.com/office/drawing/2014/chart" uri="{C3380CC4-5D6E-409C-BE32-E72D297353CC}">
              <c16:uniqueId val="{00000001-7663-4602-8AE3-6D2859B09712}"/>
            </c:ext>
          </c:extLst>
        </c:ser>
        <c:dLbls>
          <c:showLegendKey val="0"/>
          <c:showVal val="0"/>
          <c:showCatName val="0"/>
          <c:showSerName val="0"/>
          <c:showPercent val="0"/>
          <c:showBubbleSize val="0"/>
        </c:dLbls>
        <c:smooth val="0"/>
        <c:axId val="385772536"/>
        <c:axId val="385776456"/>
      </c:lineChart>
      <c:catAx>
        <c:axId val="385772536"/>
        <c:scaling>
          <c:orientation val="minMax"/>
        </c:scaling>
        <c:delete val="1"/>
        <c:axPos val="b"/>
        <c:majorTickMark val="none"/>
        <c:minorTickMark val="none"/>
        <c:tickLblPos val="none"/>
        <c:crossAx val="385776456"/>
        <c:crosses val="autoZero"/>
        <c:auto val="1"/>
        <c:lblAlgn val="ctr"/>
        <c:lblOffset val="100"/>
        <c:noMultiLvlLbl val="0"/>
      </c:catAx>
      <c:valAx>
        <c:axId val="385776456"/>
        <c:scaling>
          <c:orientation val="minMax"/>
          <c:max val="0.05"/>
          <c:min val="-0.05"/>
        </c:scaling>
        <c:delete val="0"/>
        <c:axPos val="l"/>
        <c:majorGridlines/>
        <c:title>
          <c:tx>
            <c:rich>
              <a:bodyPr/>
              <a:lstStyle/>
              <a:p>
                <a:pPr>
                  <a:defRPr/>
                </a:pPr>
                <a:r>
                  <a:rPr lang="en-US"/>
                  <a:t>Radial Error (")</a:t>
                </a:r>
              </a:p>
            </c:rich>
          </c:tx>
          <c:overlay val="0"/>
        </c:title>
        <c:numFmt formatCode="0.000" sourceLinked="1"/>
        <c:majorTickMark val="none"/>
        <c:minorTickMark val="none"/>
        <c:tickLblPos val="nextTo"/>
        <c:crossAx val="385772536"/>
        <c:crosses val="autoZero"/>
        <c:crossBetween val="between"/>
      </c:valAx>
    </c:plotArea>
    <c:plotVisOnly val="1"/>
    <c:dispBlanksAs val="gap"/>
    <c:showDLblsOverMax val="0"/>
  </c:chart>
  <c:printSettings>
    <c:headerFooter/>
    <c:pageMargins b="0.75000000000000377" l="0.70000000000000062" r="0.70000000000000062" t="0.75000000000000377"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dLbls>
            <c:dLbl>
              <c:idx val="69"/>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A68D-4F1C-82B5-6319C0B9FECC}"/>
                </c:ext>
                <c:ext xmlns:c15="http://schemas.microsoft.com/office/drawing/2012/chart" uri="{CE6537A1-D6FC-4f65-9D91-7224C49458BB}"/>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1-A68D-4F1C-82B5-6319C0B9FECC}"/>
            </c:ext>
          </c:extLst>
        </c:ser>
        <c:dLbls>
          <c:showLegendKey val="0"/>
          <c:showVal val="0"/>
          <c:showCatName val="0"/>
          <c:showSerName val="0"/>
          <c:showPercent val="0"/>
          <c:showBubbleSize val="0"/>
        </c:dLbls>
        <c:smooth val="0"/>
        <c:axId val="385770576"/>
        <c:axId val="385773712"/>
      </c:lineChart>
      <c:catAx>
        <c:axId val="385770576"/>
        <c:scaling>
          <c:orientation val="minMax"/>
        </c:scaling>
        <c:delete val="1"/>
        <c:axPos val="b"/>
        <c:majorTickMark val="none"/>
        <c:minorTickMark val="none"/>
        <c:tickLblPos val="none"/>
        <c:crossAx val="385773712"/>
        <c:crosses val="autoZero"/>
        <c:auto val="1"/>
        <c:lblAlgn val="ctr"/>
        <c:lblOffset val="100"/>
        <c:noMultiLvlLbl val="0"/>
      </c:catAx>
      <c:valAx>
        <c:axId val="385773712"/>
        <c:scaling>
          <c:orientation val="minMax"/>
          <c:max val="0.05"/>
          <c:min val="-0.05"/>
        </c:scaling>
        <c:delete val="0"/>
        <c:axPos val="l"/>
        <c:majorGridlines/>
        <c:title>
          <c:tx>
            <c:rich>
              <a:bodyPr/>
              <a:lstStyle/>
              <a:p>
                <a:pPr>
                  <a:defRPr/>
                </a:pPr>
                <a:r>
                  <a:rPr lang="en-US"/>
                  <a:t>Radial Error (")</a:t>
                </a:r>
              </a:p>
            </c:rich>
          </c:tx>
          <c:overlay val="0"/>
        </c:title>
        <c:numFmt formatCode="General" sourceLinked="1"/>
        <c:majorTickMark val="none"/>
        <c:minorTickMark val="none"/>
        <c:tickLblPos val="nextTo"/>
        <c:crossAx val="385770576"/>
        <c:crosses val="autoZero"/>
        <c:crossBetween val="between"/>
      </c:valAx>
    </c:plotArea>
    <c:plotVisOnly val="1"/>
    <c:dispBlanksAs val="gap"/>
    <c:showDLblsOverMax val="0"/>
  </c:chart>
  <c:printSettings>
    <c:headerFooter/>
    <c:pageMargins b="0.75000000000000377" l="0.70000000000000062" r="0.70000000000000062" t="0.75000000000000377"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8E12-44A3-AF59-9ADCA9D8D528}"/>
            </c:ext>
          </c:extLst>
        </c:ser>
        <c:dLbls>
          <c:showLegendKey val="0"/>
          <c:showVal val="0"/>
          <c:showCatName val="0"/>
          <c:showSerName val="0"/>
          <c:showPercent val="0"/>
          <c:showBubbleSize val="0"/>
        </c:dLbls>
        <c:smooth val="0"/>
        <c:axId val="385774104"/>
        <c:axId val="385770968"/>
      </c:lineChart>
      <c:catAx>
        <c:axId val="385774104"/>
        <c:scaling>
          <c:orientation val="minMax"/>
        </c:scaling>
        <c:delete val="1"/>
        <c:axPos val="b"/>
        <c:majorTickMark val="none"/>
        <c:minorTickMark val="none"/>
        <c:tickLblPos val="none"/>
        <c:crossAx val="385770968"/>
        <c:crosses val="autoZero"/>
        <c:auto val="1"/>
        <c:lblAlgn val="ctr"/>
        <c:lblOffset val="100"/>
        <c:noMultiLvlLbl val="0"/>
      </c:catAx>
      <c:valAx>
        <c:axId val="385770968"/>
        <c:scaling>
          <c:orientation val="minMax"/>
          <c:max val="0.05"/>
          <c:min val="-0.05"/>
        </c:scaling>
        <c:delete val="0"/>
        <c:axPos val="l"/>
        <c:majorGridlines/>
        <c:title>
          <c:tx>
            <c:rich>
              <a:bodyPr/>
              <a:lstStyle/>
              <a:p>
                <a:pPr>
                  <a:defRPr/>
                </a:pPr>
                <a:r>
                  <a:rPr lang="en-US"/>
                  <a:t>Radial</a:t>
                </a:r>
                <a:r>
                  <a:rPr lang="en-US" baseline="0"/>
                  <a:t> Error (")</a:t>
                </a:r>
                <a:endParaRPr lang="en-US"/>
              </a:p>
            </c:rich>
          </c:tx>
          <c:overlay val="0"/>
        </c:title>
        <c:numFmt formatCode="General" sourceLinked="1"/>
        <c:majorTickMark val="none"/>
        <c:minorTickMark val="none"/>
        <c:tickLblPos val="nextTo"/>
        <c:crossAx val="385774104"/>
        <c:crosses val="autoZero"/>
        <c:crossBetween val="between"/>
      </c:valAx>
    </c:plotArea>
    <c:plotVisOnly val="1"/>
    <c:dispBlanksAs val="gap"/>
    <c:showDLblsOverMax val="0"/>
  </c:chart>
  <c:printSettings>
    <c:headerFooter/>
    <c:pageMargins b="0.75000000000000377" l="0.70000000000000062" r="0.70000000000000062" t="0.75000000000000377"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5AC1-442E-AB44-DC384D98865B}"/>
            </c:ext>
          </c:extLst>
        </c:ser>
        <c:dLbls>
          <c:showLegendKey val="0"/>
          <c:showVal val="0"/>
          <c:showCatName val="0"/>
          <c:showSerName val="0"/>
          <c:showPercent val="0"/>
          <c:showBubbleSize val="0"/>
        </c:dLbls>
        <c:smooth val="0"/>
        <c:axId val="386721768"/>
        <c:axId val="386722160"/>
      </c:lineChart>
      <c:catAx>
        <c:axId val="386721768"/>
        <c:scaling>
          <c:orientation val="minMax"/>
        </c:scaling>
        <c:delete val="1"/>
        <c:axPos val="b"/>
        <c:majorTickMark val="none"/>
        <c:minorTickMark val="none"/>
        <c:tickLblPos val="none"/>
        <c:crossAx val="386722160"/>
        <c:crosses val="autoZero"/>
        <c:auto val="1"/>
        <c:lblAlgn val="ctr"/>
        <c:lblOffset val="100"/>
        <c:noMultiLvlLbl val="0"/>
      </c:catAx>
      <c:valAx>
        <c:axId val="386722160"/>
        <c:scaling>
          <c:orientation val="minMax"/>
          <c:max val="0.05"/>
          <c:min val="-0.05"/>
        </c:scaling>
        <c:delete val="0"/>
        <c:axPos val="l"/>
        <c:majorGridlines/>
        <c:title>
          <c:tx>
            <c:rich>
              <a:bodyPr/>
              <a:lstStyle/>
              <a:p>
                <a:pPr>
                  <a:defRPr/>
                </a:pPr>
                <a:r>
                  <a:rPr lang="en-US"/>
                  <a:t>Radial Error (")</a:t>
                </a:r>
              </a:p>
            </c:rich>
          </c:tx>
          <c:overlay val="0"/>
        </c:title>
        <c:numFmt formatCode="General" sourceLinked="1"/>
        <c:majorTickMark val="none"/>
        <c:minorTickMark val="none"/>
        <c:tickLblPos val="nextTo"/>
        <c:crossAx val="386721768"/>
        <c:crosses val="autoZero"/>
        <c:crossBetween val="between"/>
      </c:valAx>
    </c:plotArea>
    <c:plotVisOnly val="1"/>
    <c:dispBlanksAs val="gap"/>
    <c:showDLblsOverMax val="0"/>
  </c:chart>
  <c:printSettings>
    <c:headerFooter/>
    <c:pageMargins b="0.75000000000000377" l="0.70000000000000062" r="0.70000000000000062" t="0.75000000000000377"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21BC-4107-A51D-7651CCE8D5E8}"/>
            </c:ext>
          </c:extLst>
        </c:ser>
        <c:dLbls>
          <c:showLegendKey val="0"/>
          <c:showVal val="0"/>
          <c:showCatName val="0"/>
          <c:showSerName val="0"/>
          <c:showPercent val="0"/>
          <c:showBubbleSize val="0"/>
        </c:dLbls>
        <c:smooth val="0"/>
        <c:axId val="386722552"/>
        <c:axId val="386722944"/>
      </c:lineChart>
      <c:catAx>
        <c:axId val="386722552"/>
        <c:scaling>
          <c:orientation val="minMax"/>
        </c:scaling>
        <c:delete val="1"/>
        <c:axPos val="b"/>
        <c:majorTickMark val="none"/>
        <c:minorTickMark val="none"/>
        <c:tickLblPos val="none"/>
        <c:crossAx val="386722944"/>
        <c:crosses val="autoZero"/>
        <c:auto val="1"/>
        <c:lblAlgn val="ctr"/>
        <c:lblOffset val="100"/>
        <c:noMultiLvlLbl val="0"/>
      </c:catAx>
      <c:valAx>
        <c:axId val="386722944"/>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722552"/>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5557-4AE9-8B1E-B8FB222702B3}"/>
            </c:ext>
          </c:extLst>
        </c:ser>
        <c:dLbls>
          <c:showLegendKey val="0"/>
          <c:showVal val="0"/>
          <c:showCatName val="0"/>
          <c:showSerName val="0"/>
          <c:showPercent val="0"/>
          <c:showBubbleSize val="0"/>
        </c:dLbls>
        <c:smooth val="0"/>
        <c:axId val="386719808"/>
        <c:axId val="386721376"/>
      </c:lineChart>
      <c:catAx>
        <c:axId val="386719808"/>
        <c:scaling>
          <c:orientation val="minMax"/>
        </c:scaling>
        <c:delete val="1"/>
        <c:axPos val="b"/>
        <c:majorTickMark val="none"/>
        <c:minorTickMark val="none"/>
        <c:tickLblPos val="none"/>
        <c:crossAx val="386721376"/>
        <c:crosses val="autoZero"/>
        <c:auto val="1"/>
        <c:lblAlgn val="ctr"/>
        <c:lblOffset val="100"/>
        <c:noMultiLvlLbl val="0"/>
      </c:catAx>
      <c:valAx>
        <c:axId val="386721376"/>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719808"/>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D6CE-4895-B16E-F1A4738C0F14}"/>
            </c:ext>
          </c:extLst>
        </c:ser>
        <c:dLbls>
          <c:showLegendKey val="0"/>
          <c:showVal val="0"/>
          <c:showCatName val="0"/>
          <c:showSerName val="0"/>
          <c:showPercent val="0"/>
          <c:showBubbleSize val="0"/>
        </c:dLbls>
        <c:smooth val="0"/>
        <c:axId val="386720200"/>
        <c:axId val="387659360"/>
      </c:lineChart>
      <c:catAx>
        <c:axId val="386720200"/>
        <c:scaling>
          <c:orientation val="minMax"/>
        </c:scaling>
        <c:delete val="1"/>
        <c:axPos val="b"/>
        <c:majorTickMark val="none"/>
        <c:minorTickMark val="none"/>
        <c:tickLblPos val="none"/>
        <c:crossAx val="387659360"/>
        <c:crosses val="autoZero"/>
        <c:auto val="1"/>
        <c:lblAlgn val="ctr"/>
        <c:lblOffset val="100"/>
        <c:noMultiLvlLbl val="0"/>
      </c:catAx>
      <c:valAx>
        <c:axId val="387659360"/>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720200"/>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63AD-48DC-AFA4-2067B232FAD0}"/>
            </c:ext>
          </c:extLst>
        </c:ser>
        <c:dLbls>
          <c:showLegendKey val="0"/>
          <c:showVal val="0"/>
          <c:showCatName val="0"/>
          <c:showSerName val="0"/>
          <c:showPercent val="0"/>
          <c:showBubbleSize val="0"/>
        </c:dLbls>
        <c:smooth val="0"/>
        <c:axId val="387660536"/>
        <c:axId val="387664848"/>
      </c:lineChart>
      <c:catAx>
        <c:axId val="387660536"/>
        <c:scaling>
          <c:orientation val="minMax"/>
        </c:scaling>
        <c:delete val="1"/>
        <c:axPos val="b"/>
        <c:majorTickMark val="none"/>
        <c:minorTickMark val="none"/>
        <c:tickLblPos val="none"/>
        <c:crossAx val="387664848"/>
        <c:crosses val="autoZero"/>
        <c:auto val="1"/>
        <c:lblAlgn val="ctr"/>
        <c:lblOffset val="100"/>
        <c:noMultiLvlLbl val="0"/>
      </c:catAx>
      <c:valAx>
        <c:axId val="387664848"/>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7660536"/>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43CD-46E2-944A-B2B7C9CB9DC9}"/>
            </c:ext>
          </c:extLst>
        </c:ser>
        <c:dLbls>
          <c:showLegendKey val="0"/>
          <c:showVal val="0"/>
          <c:showCatName val="0"/>
          <c:showSerName val="0"/>
          <c:showPercent val="0"/>
          <c:showBubbleSize val="0"/>
        </c:dLbls>
        <c:smooth val="0"/>
        <c:axId val="387663280"/>
        <c:axId val="387662104"/>
      </c:lineChart>
      <c:catAx>
        <c:axId val="387663280"/>
        <c:scaling>
          <c:orientation val="minMax"/>
        </c:scaling>
        <c:delete val="1"/>
        <c:axPos val="b"/>
        <c:majorTickMark val="none"/>
        <c:minorTickMark val="none"/>
        <c:tickLblPos val="none"/>
        <c:crossAx val="387662104"/>
        <c:crosses val="autoZero"/>
        <c:auto val="1"/>
        <c:lblAlgn val="ctr"/>
        <c:lblOffset val="100"/>
        <c:noMultiLvlLbl val="0"/>
      </c:catAx>
      <c:valAx>
        <c:axId val="387662104"/>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7663280"/>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980B-4A0C-8CAB-A77949987561}"/>
            </c:ext>
          </c:extLst>
        </c:ser>
        <c:dLbls>
          <c:showLegendKey val="0"/>
          <c:showVal val="0"/>
          <c:showCatName val="0"/>
          <c:showSerName val="0"/>
          <c:showPercent val="0"/>
          <c:showBubbleSize val="0"/>
        </c:dLbls>
        <c:smooth val="0"/>
        <c:axId val="387657792"/>
        <c:axId val="387663672"/>
      </c:lineChart>
      <c:catAx>
        <c:axId val="387657792"/>
        <c:scaling>
          <c:orientation val="minMax"/>
        </c:scaling>
        <c:delete val="1"/>
        <c:axPos val="b"/>
        <c:majorTickMark val="none"/>
        <c:minorTickMark val="none"/>
        <c:tickLblPos val="none"/>
        <c:crossAx val="387663672"/>
        <c:crosses val="autoZero"/>
        <c:auto val="1"/>
        <c:lblAlgn val="ctr"/>
        <c:lblOffset val="100"/>
        <c:noMultiLvlLbl val="0"/>
      </c:catAx>
      <c:valAx>
        <c:axId val="387663672"/>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7657792"/>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8BF8-4014-8B33-D9749E3BF3C5}"/>
            </c:ext>
          </c:extLst>
        </c:ser>
        <c:dLbls>
          <c:showLegendKey val="0"/>
          <c:showVal val="0"/>
          <c:showCatName val="0"/>
          <c:showSerName val="0"/>
          <c:showPercent val="0"/>
          <c:showBubbleSize val="0"/>
        </c:dLbls>
        <c:smooth val="0"/>
        <c:axId val="387662496"/>
        <c:axId val="387658576"/>
      </c:lineChart>
      <c:catAx>
        <c:axId val="387662496"/>
        <c:scaling>
          <c:orientation val="minMax"/>
        </c:scaling>
        <c:delete val="1"/>
        <c:axPos val="b"/>
        <c:majorTickMark val="none"/>
        <c:minorTickMark val="none"/>
        <c:tickLblPos val="none"/>
        <c:crossAx val="387658576"/>
        <c:crosses val="autoZero"/>
        <c:auto val="1"/>
        <c:lblAlgn val="ctr"/>
        <c:lblOffset val="100"/>
        <c:noMultiLvlLbl val="0"/>
      </c:catAx>
      <c:valAx>
        <c:axId val="387658576"/>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7662496"/>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0143-45FA-8F8D-9E25F74AAECC}"/>
            </c:ext>
          </c:extLst>
        </c:ser>
        <c:dLbls>
          <c:showLegendKey val="0"/>
          <c:showVal val="0"/>
          <c:showCatName val="0"/>
          <c:showSerName val="0"/>
          <c:showPercent val="0"/>
          <c:showBubbleSize val="0"/>
        </c:dLbls>
        <c:smooth val="0"/>
        <c:axId val="387662888"/>
        <c:axId val="387658184"/>
      </c:lineChart>
      <c:catAx>
        <c:axId val="387662888"/>
        <c:scaling>
          <c:orientation val="minMax"/>
        </c:scaling>
        <c:delete val="1"/>
        <c:axPos val="b"/>
        <c:majorTickMark val="none"/>
        <c:minorTickMark val="none"/>
        <c:tickLblPos val="none"/>
        <c:crossAx val="387658184"/>
        <c:crosses val="autoZero"/>
        <c:auto val="1"/>
        <c:lblAlgn val="ctr"/>
        <c:lblOffset val="100"/>
        <c:noMultiLvlLbl val="0"/>
      </c:catAx>
      <c:valAx>
        <c:axId val="387658184"/>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7662888"/>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501D-4095-B93F-35B59B544277}"/>
            </c:ext>
          </c:extLst>
        </c:ser>
        <c:dLbls>
          <c:showLegendKey val="0"/>
          <c:showVal val="0"/>
          <c:showCatName val="0"/>
          <c:showSerName val="0"/>
          <c:showPercent val="0"/>
          <c:showBubbleSize val="0"/>
        </c:dLbls>
        <c:smooth val="0"/>
        <c:axId val="387660928"/>
        <c:axId val="387661320"/>
      </c:lineChart>
      <c:catAx>
        <c:axId val="387660928"/>
        <c:scaling>
          <c:orientation val="minMax"/>
        </c:scaling>
        <c:delete val="1"/>
        <c:axPos val="b"/>
        <c:majorTickMark val="none"/>
        <c:minorTickMark val="none"/>
        <c:tickLblPos val="none"/>
        <c:crossAx val="387661320"/>
        <c:crosses val="autoZero"/>
        <c:auto val="1"/>
        <c:lblAlgn val="ctr"/>
        <c:lblOffset val="100"/>
        <c:noMultiLvlLbl val="0"/>
      </c:catAx>
      <c:valAx>
        <c:axId val="387661320"/>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7660928"/>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E91B-4C5D-802A-CBC289F9A4EB}"/>
            </c:ext>
          </c:extLst>
        </c:ser>
        <c:dLbls>
          <c:showLegendKey val="0"/>
          <c:showVal val="0"/>
          <c:showCatName val="0"/>
          <c:showSerName val="0"/>
          <c:showPercent val="0"/>
          <c:showBubbleSize val="0"/>
        </c:dLbls>
        <c:smooth val="0"/>
        <c:axId val="388161664"/>
        <c:axId val="388158920"/>
      </c:lineChart>
      <c:catAx>
        <c:axId val="388161664"/>
        <c:scaling>
          <c:orientation val="minMax"/>
        </c:scaling>
        <c:delete val="1"/>
        <c:axPos val="b"/>
        <c:majorTickMark val="none"/>
        <c:minorTickMark val="none"/>
        <c:tickLblPos val="none"/>
        <c:crossAx val="388158920"/>
        <c:crosses val="autoZero"/>
        <c:auto val="1"/>
        <c:lblAlgn val="ctr"/>
        <c:lblOffset val="100"/>
        <c:noMultiLvlLbl val="0"/>
      </c:catAx>
      <c:valAx>
        <c:axId val="388158920"/>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8161664"/>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B542-48D2-BC71-C68EF8AD02A5}"/>
            </c:ext>
          </c:extLst>
        </c:ser>
        <c:dLbls>
          <c:showLegendKey val="0"/>
          <c:showVal val="0"/>
          <c:showCatName val="0"/>
          <c:showSerName val="0"/>
          <c:showPercent val="0"/>
          <c:showBubbleSize val="0"/>
        </c:dLbls>
        <c:smooth val="0"/>
        <c:axId val="388165584"/>
        <c:axId val="388160096"/>
      </c:lineChart>
      <c:catAx>
        <c:axId val="388165584"/>
        <c:scaling>
          <c:orientation val="minMax"/>
        </c:scaling>
        <c:delete val="1"/>
        <c:axPos val="b"/>
        <c:majorTickMark val="none"/>
        <c:minorTickMark val="none"/>
        <c:tickLblPos val="none"/>
        <c:crossAx val="388160096"/>
        <c:crosses val="autoZero"/>
        <c:auto val="1"/>
        <c:lblAlgn val="ctr"/>
        <c:lblOffset val="100"/>
        <c:noMultiLvlLbl val="0"/>
      </c:catAx>
      <c:valAx>
        <c:axId val="388160096"/>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8165584"/>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69B6-4ECC-A4C2-025ED205ECC2}"/>
            </c:ext>
          </c:extLst>
        </c:ser>
        <c:dLbls>
          <c:showLegendKey val="0"/>
          <c:showVal val="0"/>
          <c:showCatName val="0"/>
          <c:showSerName val="0"/>
          <c:showPercent val="0"/>
          <c:showBubbleSize val="0"/>
        </c:dLbls>
        <c:smooth val="0"/>
        <c:axId val="388164800"/>
        <c:axId val="388164016"/>
      </c:lineChart>
      <c:catAx>
        <c:axId val="388164800"/>
        <c:scaling>
          <c:orientation val="minMax"/>
        </c:scaling>
        <c:delete val="1"/>
        <c:axPos val="b"/>
        <c:majorTickMark val="none"/>
        <c:minorTickMark val="none"/>
        <c:tickLblPos val="none"/>
        <c:crossAx val="388164016"/>
        <c:crosses val="autoZero"/>
        <c:auto val="1"/>
        <c:lblAlgn val="ctr"/>
        <c:lblOffset val="100"/>
        <c:noMultiLvlLbl val="0"/>
      </c:catAx>
      <c:valAx>
        <c:axId val="388164016"/>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8164800"/>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Data!$AA$1</c:f>
              <c:strCache>
                <c:ptCount val="1"/>
                <c:pt idx="0">
                  <c:v>Xerr</c:v>
                </c:pt>
              </c:strCache>
            </c:strRef>
          </c:tx>
          <c:marker>
            <c:symbol val="none"/>
          </c:marker>
          <c:val>
            <c:numRef>
              <c:f>[0]!Xerr</c:f>
              <c:numCache>
                <c:formatCode>0.000</c:formatCode>
                <c:ptCount val="115"/>
                <c:pt idx="0">
                  <c:v>4.7582843240964101E-3</c:v>
                </c:pt>
                <c:pt idx="1">
                  <c:v>-7.9988945842606113E-4</c:v>
                </c:pt>
                <c:pt idx="2">
                  <c:v>1.1434890507480196E-3</c:v>
                </c:pt>
                <c:pt idx="3">
                  <c:v>3.0120493393695599E-3</c:v>
                </c:pt>
                <c:pt idx="4">
                  <c:v>1.3112237435799095E-3</c:v>
                </c:pt>
                <c:pt idx="5">
                  <c:v>-5.1255884327197129E-3</c:v>
                </c:pt>
                <c:pt idx="6">
                  <c:v>-2.241279438584477E-3</c:v>
                </c:pt>
                <c:pt idx="7">
                  <c:v>-1.8511663937013825E-3</c:v>
                </c:pt>
                <c:pt idx="8">
                  <c:v>3.0302905480315474E-3</c:v>
                </c:pt>
                <c:pt idx="9">
                  <c:v>-4.8359756102027451E-4</c:v>
                </c:pt>
                <c:pt idx="10">
                  <c:v>-2.760904831496542E-3</c:v>
                </c:pt>
                <c:pt idx="11">
                  <c:v>-2.2749931377537597E-4</c:v>
                </c:pt>
                <c:pt idx="12">
                  <c:v>1.9473941574867104E-3</c:v>
                </c:pt>
                <c:pt idx="13">
                  <c:v>-7.6713230704068177E-5</c:v>
                </c:pt>
                <c:pt idx="14">
                  <c:v>-2.3824190512188549E-3</c:v>
                </c:pt>
                <c:pt idx="15">
                  <c:v>1.5580696153543025E-3</c:v>
                </c:pt>
                <c:pt idx="16">
                  <c:v>3.1821913249608425E-3</c:v>
                </c:pt>
                <c:pt idx="17">
                  <c:v>1.6322745180696611E-3</c:v>
                </c:pt>
                <c:pt idx="18">
                  <c:v>1.0807089815325598E-3</c:v>
                </c:pt>
                <c:pt idx="19">
                  <c:v>-3.3009602347242543E-3</c:v>
                </c:pt>
                <c:pt idx="20">
                  <c:v>-2.3710576538576783E-3</c:v>
                </c:pt>
                <c:pt idx="21">
                  <c:v>-5.482420987951756E-3</c:v>
                </c:pt>
                <c:pt idx="22">
                  <c:v>-1.5027904255905415E-3</c:v>
                </c:pt>
                <c:pt idx="23">
                  <c:v>-2.3260113405518409E-3</c:v>
                </c:pt>
                <c:pt idx="24">
                  <c:v>-9.4130824921616807E-4</c:v>
                </c:pt>
                <c:pt idx="25">
                  <c:v>1.7179108822812678E-3</c:v>
                </c:pt>
                <c:pt idx="26">
                  <c:v>3.7307328763806187E-3</c:v>
                </c:pt>
                <c:pt idx="27">
                  <c:v>-3.1437403488218376E-3</c:v>
                </c:pt>
                <c:pt idx="28">
                  <c:v>-5.1229775156957837E-4</c:v>
                </c:pt>
                <c:pt idx="29">
                  <c:v>-1.8486456437002078E-3</c:v>
                </c:pt>
                <c:pt idx="30">
                  <c:v>-8.5176161208591374E-3</c:v>
                </c:pt>
                <c:pt idx="31">
                  <c:v>1.6166004917339898E-3</c:v>
                </c:pt>
                <c:pt idx="32">
                  <c:v>1.8508881460612306E-3</c:v>
                </c:pt>
                <c:pt idx="33">
                  <c:v>-2.4469146618090651E-3</c:v>
                </c:pt>
                <c:pt idx="34">
                  <c:v>2.3132883196793287E-3</c:v>
                </c:pt>
                <c:pt idx="35">
                  <c:v>7.3269263129879516E-3</c:v>
                </c:pt>
                <c:pt idx="36">
                  <c:v>2.6859927558016211E-4</c:v>
                </c:pt>
                <c:pt idx="37">
                  <c:v>1.6530193275455559E-3</c:v>
                </c:pt>
                <c:pt idx="38">
                  <c:v>-1.1768911035437131E-3</c:v>
                </c:pt>
                <c:pt idx="39">
                  <c:v>2.7720338791340057E-3</c:v>
                </c:pt>
                <c:pt idx="40">
                  <c:v>-1.0935316826842208E-3</c:v>
                </c:pt>
                <c:pt idx="41">
                  <c:v>4.3284025681048404E-3</c:v>
                </c:pt>
                <c:pt idx="42">
                  <c:v>8.1213726811772105E-4</c:v>
                </c:pt>
                <c:pt idx="43">
                  <c:v>8.7001930196278201E-4</c:v>
                </c:pt>
                <c:pt idx="44">
                  <c:v>-7.7543010314997892E-4</c:v>
                </c:pt>
                <c:pt idx="45">
                  <c:v>-1.8491866007827311E-3</c:v>
                </c:pt>
                <c:pt idx="46">
                  <c:v>-2.1658462283514783E-3</c:v>
                </c:pt>
                <c:pt idx="47">
                  <c:v>-2.7731314972289675E-3</c:v>
                </c:pt>
                <c:pt idx="48">
                  <c:v>7.0322265771647213E-3</c:v>
                </c:pt>
                <c:pt idx="49">
                  <c:v>2.4433117448820919E-3</c:v>
                </c:pt>
                <c:pt idx="50">
                  <c:v>5.2873875630233321E-4</c:v>
                </c:pt>
                <c:pt idx="51">
                  <c:v>-8.1708707216510829E-3</c:v>
                </c:pt>
                <c:pt idx="52">
                  <c:v>-2.4247207354404763E-3</c:v>
                </c:pt>
                <c:pt idx="53">
                  <c:v>-3.3555052488188847E-3</c:v>
                </c:pt>
                <c:pt idx="54">
                  <c:v>4.3489375940945442E-3</c:v>
                </c:pt>
                <c:pt idx="55">
                  <c:v>5.8690248578759062E-3</c:v>
                </c:pt>
                <c:pt idx="56">
                  <c:v>-2.2989002153588974E-3</c:v>
                </c:pt>
                <c:pt idx="57">
                  <c:v>-8.1807990472666499E-4</c:v>
                </c:pt>
                <c:pt idx="58">
                  <c:v>-9.9733775590627946E-4</c:v>
                </c:pt>
                <c:pt idx="59">
                  <c:v>-1.2331115196796268E-4</c:v>
                </c:pt>
                <c:pt idx="60">
                  <c:v>6.3380826338654123E-4</c:v>
                </c:pt>
                <c:pt idx="61">
                  <c:v>-1.7696864487813909E-4</c:v>
                </c:pt>
                <c:pt idx="62">
                  <c:v>-8.2850262085738954E-4</c:v>
                </c:pt>
                <c:pt idx="63">
                  <c:v>4.1342255350337925E-3</c:v>
                </c:pt>
                <c:pt idx="64">
                  <c:v>4.7934552338578153E-3</c:v>
                </c:pt>
                <c:pt idx="65">
                  <c:v>1.4830180019655061E-3</c:v>
                </c:pt>
                <c:pt idx="66">
                  <c:v>5.6042391968831216E-4</c:v>
                </c:pt>
                <c:pt idx="67">
                  <c:v>-2.3583611275572315E-3</c:v>
                </c:pt>
                <c:pt idx="68">
                  <c:v>-5.153521404721916E-3</c:v>
                </c:pt>
                <c:pt idx="69">
                  <c:v>1.2744170353614644E-4</c:v>
                </c:pt>
                <c:pt idx="70">
                  <c:v>-6.6282291335819605E-5</c:v>
                </c:pt>
                <c:pt idx="71">
                  <c:v>1.5552245318887555E-3</c:v>
                </c:pt>
                <c:pt idx="72">
                  <c:v>-7.2876063858007181E-4</c:v>
                </c:pt>
                <c:pt idx="73">
                  <c:v>3.9293466448818764E-3</c:v>
                </c:pt>
                <c:pt idx="74">
                  <c:v>-1.395051430314541E-3</c:v>
                </c:pt>
                <c:pt idx="75">
                  <c:v>6.0840140770458346E-3</c:v>
                </c:pt>
                <c:pt idx="76">
                  <c:v>3.7767227225608945E-3</c:v>
                </c:pt>
                <c:pt idx="77">
                  <c:v>-1.0334021868495585E-3</c:v>
                </c:pt>
                <c:pt idx="78">
                  <c:v>2.405734018308554E-3</c:v>
                </c:pt>
                <c:pt idx="79">
                  <c:v>3.8276958957481392E-3</c:v>
                </c:pt>
                <c:pt idx="80">
                  <c:v>-1.9756535727974839E-3</c:v>
                </c:pt>
                <c:pt idx="81">
                  <c:v>1.6987010690933506E-3</c:v>
                </c:pt>
                <c:pt idx="82">
                  <c:v>3.4220992384236494E-3</c:v>
                </c:pt>
                <c:pt idx="83">
                  <c:v>-1.5939755554323554E-3</c:v>
                </c:pt>
                <c:pt idx="84">
                  <c:v>2.9950060008682908E-3</c:v>
                </c:pt>
                <c:pt idx="85">
                  <c:v>-5.9988527662992097E-3</c:v>
                </c:pt>
                <c:pt idx="86">
                  <c:v>-3.7938131437006338E-4</c:v>
                </c:pt>
                <c:pt idx="87">
                  <c:v>1.2088405829528288E-2</c:v>
                </c:pt>
                <c:pt idx="88">
                  <c:v>-3.5212923940946884E-3</c:v>
                </c:pt>
                <c:pt idx="89">
                  <c:v>-6.3086625393733858E-3</c:v>
                </c:pt>
                <c:pt idx="90">
                  <c:v>-3.0909122385782833E-3</c:v>
                </c:pt>
                <c:pt idx="91">
                  <c:v>-2.0894484322879874E-3</c:v>
                </c:pt>
                <c:pt idx="92">
                  <c:v>-2.0291096964193118E-3</c:v>
                </c:pt>
                <c:pt idx="93">
                  <c:v>-1.3043792823217821E-3</c:v>
                </c:pt>
                <c:pt idx="94">
                  <c:v>1.7521605801174536E-3</c:v>
                </c:pt>
                <c:pt idx="95">
                  <c:v>-4.5436573522440486E-3</c:v>
                </c:pt>
                <c:pt idx="96">
                  <c:v>-1.5303633921303834E-3</c:v>
                </c:pt>
                <c:pt idx="97">
                  <c:v>-2.1315730976394251E-3</c:v>
                </c:pt>
                <c:pt idx="98">
                  <c:v>-1.3975610488167034E-3</c:v>
                </c:pt>
                <c:pt idx="99">
                  <c:v>1.0227874216564767E-3</c:v>
                </c:pt>
                <c:pt idx="100">
                  <c:v>6.8708230668827438E-4</c:v>
                </c:pt>
                <c:pt idx="101">
                  <c:v>9.7853497874256581E-4</c:v>
                </c:pt>
                <c:pt idx="102">
                  <c:v>-8.5506702440956513E-4</c:v>
                </c:pt>
                <c:pt idx="103">
                  <c:v>-8.1338733464038761E-4</c:v>
                </c:pt>
                <c:pt idx="104">
                  <c:v>-3.7750644645797806E-4</c:v>
                </c:pt>
                <c:pt idx="105">
                  <c:v>5.3264331708713884E-3</c:v>
                </c:pt>
                <c:pt idx="106">
                  <c:v>1.8269951858280013E-3</c:v>
                </c:pt>
                <c:pt idx="107">
                  <c:v>4.9658719133974694E-4</c:v>
                </c:pt>
                <c:pt idx="108">
                  <c:v>1.820179803152006E-3</c:v>
                </c:pt>
                <c:pt idx="109">
                  <c:v>5.4134313778935546E-4</c:v>
                </c:pt>
                <c:pt idx="110">
                  <c:v>-1.8507750566881241E-3</c:v>
                </c:pt>
                <c:pt idx="111">
                  <c:v>4.5882880315042799E-4</c:v>
                </c:pt>
                <c:pt idx="112">
                  <c:v>1.8957811251913352E-3</c:v>
                </c:pt>
                <c:pt idx="113">
                  <c:v>-1.386766871265056E-3</c:v>
                </c:pt>
              </c:numCache>
            </c:numRef>
          </c:val>
          <c:smooth val="0"/>
          <c:extLst xmlns:c16r2="http://schemas.microsoft.com/office/drawing/2015/06/chart">
            <c:ext xmlns:c16="http://schemas.microsoft.com/office/drawing/2014/chart" uri="{C3380CC4-5D6E-409C-BE32-E72D297353CC}">
              <c16:uniqueId val="{00000000-BC61-4A86-8E02-3FA0FEF65652}"/>
            </c:ext>
          </c:extLst>
        </c:ser>
        <c:ser>
          <c:idx val="1"/>
          <c:order val="1"/>
          <c:tx>
            <c:strRef>
              <c:f>Data!$AB$1</c:f>
              <c:strCache>
                <c:ptCount val="1"/>
                <c:pt idx="0">
                  <c:v>Yerr</c:v>
                </c:pt>
              </c:strCache>
            </c:strRef>
          </c:tx>
          <c:marker>
            <c:symbol val="none"/>
          </c:marker>
          <c:val>
            <c:numRef>
              <c:f>[0]!Yerr</c:f>
              <c:numCache>
                <c:formatCode>0.000</c:formatCode>
                <c:ptCount val="115"/>
                <c:pt idx="0">
                  <c:v>2.6605922732125544E-3</c:v>
                </c:pt>
                <c:pt idx="1">
                  <c:v>-2.4170122638521907E-5</c:v>
                </c:pt>
                <c:pt idx="2">
                  <c:v>-3.6898647446052318E-3</c:v>
                </c:pt>
                <c:pt idx="3">
                  <c:v>-1.4366351756704293E-3</c:v>
                </c:pt>
                <c:pt idx="4">
                  <c:v>-1.3814276773614009E-3</c:v>
                </c:pt>
                <c:pt idx="5">
                  <c:v>-1.4439801979512494E-3</c:v>
                </c:pt>
                <c:pt idx="6">
                  <c:v>1.1882987913698945E-3</c:v>
                </c:pt>
                <c:pt idx="7">
                  <c:v>-1.7757026562596964E-3</c:v>
                </c:pt>
                <c:pt idx="8">
                  <c:v>-2.2957317724812427E-3</c:v>
                </c:pt>
                <c:pt idx="9">
                  <c:v>-3.1675076338194596E-3</c:v>
                </c:pt>
                <c:pt idx="10">
                  <c:v>-1.7655793852361422E-3</c:v>
                </c:pt>
                <c:pt idx="11">
                  <c:v>-8.5467111759944742E-4</c:v>
                </c:pt>
                <c:pt idx="12">
                  <c:v>-1.1404124894495256E-3</c:v>
                </c:pt>
                <c:pt idx="13">
                  <c:v>-3.4881235037023256E-3</c:v>
                </c:pt>
                <c:pt idx="14">
                  <c:v>3.2382496842133582E-3</c:v>
                </c:pt>
                <c:pt idx="15">
                  <c:v>-9.2146651196878439E-5</c:v>
                </c:pt>
                <c:pt idx="16">
                  <c:v>-1.0290305736166768E-4</c:v>
                </c:pt>
                <c:pt idx="17">
                  <c:v>2.1230127972477401E-3</c:v>
                </c:pt>
                <c:pt idx="18">
                  <c:v>-1.0063578672046551E-3</c:v>
                </c:pt>
                <c:pt idx="19">
                  <c:v>-8.153111649580465E-5</c:v>
                </c:pt>
                <c:pt idx="20">
                  <c:v>-6.3809572745276814E-4</c:v>
                </c:pt>
                <c:pt idx="21">
                  <c:v>-1.0650203211787267E-3</c:v>
                </c:pt>
                <c:pt idx="22">
                  <c:v>-3.774291405472099E-3</c:v>
                </c:pt>
                <c:pt idx="23">
                  <c:v>-2.9100735184246738E-3</c:v>
                </c:pt>
                <c:pt idx="24">
                  <c:v>-1.506631480590905E-3</c:v>
                </c:pt>
                <c:pt idx="25">
                  <c:v>-1.9716621863772269E-3</c:v>
                </c:pt>
                <c:pt idx="26">
                  <c:v>-1.8601816688579122E-3</c:v>
                </c:pt>
                <c:pt idx="27">
                  <c:v>-1.8248567314959638E-3</c:v>
                </c:pt>
                <c:pt idx="28">
                  <c:v>-1.4963241060993423E-3</c:v>
                </c:pt>
                <c:pt idx="29">
                  <c:v>6.4173202439367898E-3</c:v>
                </c:pt>
                <c:pt idx="30">
                  <c:v>7.6202643345310902E-3</c:v>
                </c:pt>
                <c:pt idx="31">
                  <c:v>-1.9088326689374242E-3</c:v>
                </c:pt>
                <c:pt idx="32">
                  <c:v>-6.7416057972439114E-4</c:v>
                </c:pt>
                <c:pt idx="33">
                  <c:v>-3.3649781578748341E-4</c:v>
                </c:pt>
                <c:pt idx="34">
                  <c:v>2.8981926195652294E-3</c:v>
                </c:pt>
                <c:pt idx="35">
                  <c:v>-6.1403804826372331E-3</c:v>
                </c:pt>
                <c:pt idx="36">
                  <c:v>-3.8550488763748907E-4</c:v>
                </c:pt>
                <c:pt idx="37">
                  <c:v>4.6287227109438053E-4</c:v>
                </c:pt>
                <c:pt idx="38">
                  <c:v>-2.6191276765754139E-3</c:v>
                </c:pt>
                <c:pt idx="39">
                  <c:v>1.8723041940162384E-3</c:v>
                </c:pt>
                <c:pt idx="40">
                  <c:v>-1.7702673859451719E-3</c:v>
                </c:pt>
                <c:pt idx="41">
                  <c:v>-6.6601767992182878E-4</c:v>
                </c:pt>
                <c:pt idx="42">
                  <c:v>1.1416533745269469E-3</c:v>
                </c:pt>
                <c:pt idx="43">
                  <c:v>6.7015081614460264E-4</c:v>
                </c:pt>
                <c:pt idx="44">
                  <c:v>-4.8192962830717438E-4</c:v>
                </c:pt>
                <c:pt idx="45">
                  <c:v>-1.497276773308364E-3</c:v>
                </c:pt>
                <c:pt idx="46">
                  <c:v>-4.4001896479931393E-4</c:v>
                </c:pt>
                <c:pt idx="47">
                  <c:v>1.7531265370078518E-3</c:v>
                </c:pt>
                <c:pt idx="48">
                  <c:v>7.5926300098224481E-4</c:v>
                </c:pt>
                <c:pt idx="49">
                  <c:v>3.1542319180699256E-3</c:v>
                </c:pt>
                <c:pt idx="50">
                  <c:v>2.0678135405563535E-4</c:v>
                </c:pt>
                <c:pt idx="51">
                  <c:v>-9.247314561031182E-4</c:v>
                </c:pt>
                <c:pt idx="52">
                  <c:v>6.4032972866118329E-4</c:v>
                </c:pt>
                <c:pt idx="53">
                  <c:v>4.2933817270471453E-3</c:v>
                </c:pt>
                <c:pt idx="54">
                  <c:v>8.6874156488188931E-3</c:v>
                </c:pt>
                <c:pt idx="55">
                  <c:v>8.8809612392914353E-3</c:v>
                </c:pt>
                <c:pt idx="56">
                  <c:v>9.1307695054330153E-3</c:v>
                </c:pt>
                <c:pt idx="57">
                  <c:v>-3.2336271760242219E-3</c:v>
                </c:pt>
                <c:pt idx="58">
                  <c:v>1.9781930999590623E-3</c:v>
                </c:pt>
                <c:pt idx="59">
                  <c:v>5.7632961175195629E-3</c:v>
                </c:pt>
                <c:pt idx="60">
                  <c:v>2.5701056953940358E-3</c:v>
                </c:pt>
                <c:pt idx="61">
                  <c:v>9.2362257889790696E-4</c:v>
                </c:pt>
                <c:pt idx="62">
                  <c:v>3.4769699145655302E-4</c:v>
                </c:pt>
                <c:pt idx="63">
                  <c:v>-1.7779311141728749E-3</c:v>
                </c:pt>
                <c:pt idx="64">
                  <c:v>4.512679501186812E-4</c:v>
                </c:pt>
                <c:pt idx="65">
                  <c:v>1.0090582418499474E-3</c:v>
                </c:pt>
                <c:pt idx="66">
                  <c:v>1.7023863381897121E-3</c:v>
                </c:pt>
                <c:pt idx="67">
                  <c:v>9.0674522563024466E-4</c:v>
                </c:pt>
                <c:pt idx="68">
                  <c:v>-9.9452793925256552E-4</c:v>
                </c:pt>
                <c:pt idx="69">
                  <c:v>2.6688681290942991E-3</c:v>
                </c:pt>
                <c:pt idx="70">
                  <c:v>-8.5198332992890714E-5</c:v>
                </c:pt>
                <c:pt idx="71">
                  <c:v>-3.2595562685023774E-4</c:v>
                </c:pt>
                <c:pt idx="72">
                  <c:v>1.0371474626764232E-3</c:v>
                </c:pt>
                <c:pt idx="73">
                  <c:v>1.9971719580317896E-3</c:v>
                </c:pt>
                <c:pt idx="74">
                  <c:v>-5.4688022318909646E-4</c:v>
                </c:pt>
                <c:pt idx="75">
                  <c:v>-1.511004011023681E-4</c:v>
                </c:pt>
                <c:pt idx="76">
                  <c:v>9.3937669019649144E-4</c:v>
                </c:pt>
                <c:pt idx="77">
                  <c:v>9.0360821999979635E-4</c:v>
                </c:pt>
                <c:pt idx="78">
                  <c:v>2.7811614065352003E-3</c:v>
                </c:pt>
                <c:pt idx="79">
                  <c:v>2.1448118799996989E-3</c:v>
                </c:pt>
                <c:pt idx="80">
                  <c:v>-1.6438332750784129E-3</c:v>
                </c:pt>
                <c:pt idx="81">
                  <c:v>-2.512037694723484E-3</c:v>
                </c:pt>
                <c:pt idx="82">
                  <c:v>-1.4083088115745925E-3</c:v>
                </c:pt>
                <c:pt idx="83">
                  <c:v>-5.3884519448791171E-4</c:v>
                </c:pt>
                <c:pt idx="84">
                  <c:v>-2.6269540115358148E-3</c:v>
                </c:pt>
                <c:pt idx="85">
                  <c:v>-2.6100449837791191E-3</c:v>
                </c:pt>
                <c:pt idx="86">
                  <c:v>-1.4304062076381722E-3</c:v>
                </c:pt>
                <c:pt idx="87">
                  <c:v>1.9252542529096762E-3</c:v>
                </c:pt>
                <c:pt idx="88">
                  <c:v>1.6992076575191521E-3</c:v>
                </c:pt>
                <c:pt idx="89">
                  <c:v>-5.2583182082791718E-4</c:v>
                </c:pt>
                <c:pt idx="90">
                  <c:v>-3.9852822303054931E-4</c:v>
                </c:pt>
                <c:pt idx="91">
                  <c:v>1.4735221085590358E-3</c:v>
                </c:pt>
                <c:pt idx="92">
                  <c:v>2.4095481062941893E-4</c:v>
                </c:pt>
                <c:pt idx="93">
                  <c:v>-1.0196519609439927E-3</c:v>
                </c:pt>
                <c:pt idx="94">
                  <c:v>-6.7393840295180345E-4</c:v>
                </c:pt>
                <c:pt idx="95">
                  <c:v>-1.1647844686229643E-3</c:v>
                </c:pt>
                <c:pt idx="96">
                  <c:v>-1.7900141767589184E-4</c:v>
                </c:pt>
                <c:pt idx="97">
                  <c:v>1.4671181452644033E-4</c:v>
                </c:pt>
                <c:pt idx="98">
                  <c:v>3.7496918964716603E-4</c:v>
                </c:pt>
                <c:pt idx="99">
                  <c:v>4.9909228244039369E-4</c:v>
                </c:pt>
                <c:pt idx="100">
                  <c:v>2.8581823350468696E-4</c:v>
                </c:pt>
                <c:pt idx="101">
                  <c:v>-5.4838506925103132E-4</c:v>
                </c:pt>
                <c:pt idx="102">
                  <c:v>-9.5102953103104763E-4</c:v>
                </c:pt>
                <c:pt idx="103">
                  <c:v>-6.1823595181080928E-4</c:v>
                </c:pt>
                <c:pt idx="104">
                  <c:v>-7.9495648952753589E-4</c:v>
                </c:pt>
                <c:pt idx="105">
                  <c:v>2.7177493828747811E-3</c:v>
                </c:pt>
                <c:pt idx="106">
                  <c:v>9.9396069629836522E-4</c:v>
                </c:pt>
                <c:pt idx="107">
                  <c:v>-2.3550879032294986E-3</c:v>
                </c:pt>
                <c:pt idx="108">
                  <c:v>-1.4697732848031864E-3</c:v>
                </c:pt>
                <c:pt idx="109">
                  <c:v>-1.9948857451562237E-3</c:v>
                </c:pt>
                <c:pt idx="110">
                  <c:v>-2.3219074500398021E-3</c:v>
                </c:pt>
                <c:pt idx="111">
                  <c:v>-2.955795857166247E-3</c:v>
                </c:pt>
                <c:pt idx="112">
                  <c:v>-3.6717051581894246E-3</c:v>
                </c:pt>
                <c:pt idx="113">
                  <c:v>-1.9457035735439868E-3</c:v>
                </c:pt>
              </c:numCache>
            </c:numRef>
          </c:val>
          <c:smooth val="0"/>
          <c:extLst xmlns:c16r2="http://schemas.microsoft.com/office/drawing/2015/06/chart">
            <c:ext xmlns:c16="http://schemas.microsoft.com/office/drawing/2014/chart" uri="{C3380CC4-5D6E-409C-BE32-E72D297353CC}">
              <c16:uniqueId val="{00000001-BC61-4A86-8E02-3FA0FEF65652}"/>
            </c:ext>
          </c:extLst>
        </c:ser>
        <c:ser>
          <c:idx val="2"/>
          <c:order val="2"/>
          <c:tx>
            <c:strRef>
              <c:f>Data!$AC$1</c:f>
              <c:strCache>
                <c:ptCount val="1"/>
                <c:pt idx="0">
                  <c:v>Zerr</c:v>
                </c:pt>
              </c:strCache>
            </c:strRef>
          </c:tx>
          <c:marker>
            <c:symbol val="none"/>
          </c:marker>
          <c:val>
            <c:numRef>
              <c:f>[0]!Zerr</c:f>
              <c:numCache>
                <c:formatCode>0.000</c:formatCode>
                <c:ptCount val="115"/>
                <c:pt idx="0">
                  <c:v>8.2976356106328024E-3</c:v>
                </c:pt>
                <c:pt idx="1">
                  <c:v>-1.5075756122078163E-3</c:v>
                </c:pt>
                <c:pt idx="2">
                  <c:v>-3.1195476260008727E-4</c:v>
                </c:pt>
                <c:pt idx="3">
                  <c:v>2.7344854515742169E-3</c:v>
                </c:pt>
                <c:pt idx="4">
                  <c:v>1.8366231846468552E-3</c:v>
                </c:pt>
                <c:pt idx="5">
                  <c:v>1.0496620086631468E-3</c:v>
                </c:pt>
                <c:pt idx="6">
                  <c:v>3.6541029984221486E-3</c:v>
                </c:pt>
                <c:pt idx="7">
                  <c:v>2.066383246831426E-4</c:v>
                </c:pt>
                <c:pt idx="8">
                  <c:v>-3.4083930245690603E-3</c:v>
                </c:pt>
                <c:pt idx="9">
                  <c:v>-4.5324253235464749E-3</c:v>
                </c:pt>
                <c:pt idx="10">
                  <c:v>-8.3213615642927022E-3</c:v>
                </c:pt>
                <c:pt idx="11">
                  <c:v>3.2387921965743422E-3</c:v>
                </c:pt>
                <c:pt idx="12">
                  <c:v>8.9061342307478683E-3</c:v>
                </c:pt>
                <c:pt idx="13">
                  <c:v>-1.0409177758271733E-3</c:v>
                </c:pt>
                <c:pt idx="14">
                  <c:v>-2.0756203494510209E-3</c:v>
                </c:pt>
                <c:pt idx="15">
                  <c:v>9.7781356524005176E-3</c:v>
                </c:pt>
                <c:pt idx="16">
                  <c:v>3.0220711490138333E-3</c:v>
                </c:pt>
                <c:pt idx="17">
                  <c:v>1.3829212336221156E-3</c:v>
                </c:pt>
                <c:pt idx="18">
                  <c:v>-7.475542487833174E-3</c:v>
                </c:pt>
                <c:pt idx="19">
                  <c:v>-6.3286904728323944E-3</c:v>
                </c:pt>
                <c:pt idx="20">
                  <c:v>-1.4427743637791385E-3</c:v>
                </c:pt>
                <c:pt idx="21">
                  <c:v>-8.9277614897600582E-3</c:v>
                </c:pt>
                <c:pt idx="22">
                  <c:v>-5.6565735236276168E-3</c:v>
                </c:pt>
                <c:pt idx="23">
                  <c:v>-2.4298786976358557E-3</c:v>
                </c:pt>
                <c:pt idx="24">
                  <c:v>-2.3791644685292068E-4</c:v>
                </c:pt>
                <c:pt idx="25">
                  <c:v>-4.8577110681070216E-3</c:v>
                </c:pt>
                <c:pt idx="26">
                  <c:v>1.9033400236352692E-4</c:v>
                </c:pt>
                <c:pt idx="27">
                  <c:v>-1.8852327192918864E-3</c:v>
                </c:pt>
                <c:pt idx="28">
                  <c:v>-2.5818478692918138E-3</c:v>
                </c:pt>
                <c:pt idx="29">
                  <c:v>7.0472236405555487E-3</c:v>
                </c:pt>
                <c:pt idx="30">
                  <c:v>3.400304605119395E-3</c:v>
                </c:pt>
                <c:pt idx="31">
                  <c:v>-5.2617473031427013E-4</c:v>
                </c:pt>
                <c:pt idx="32">
                  <c:v>3.7615582933060469E-3</c:v>
                </c:pt>
                <c:pt idx="33">
                  <c:v>2.2969014369621395E-4</c:v>
                </c:pt>
                <c:pt idx="34">
                  <c:v>4.1684528032133163E-4</c:v>
                </c:pt>
                <c:pt idx="35">
                  <c:v>3.4609277472411595E-3</c:v>
                </c:pt>
                <c:pt idx="36">
                  <c:v>-2.1581114893745785E-3</c:v>
                </c:pt>
                <c:pt idx="37">
                  <c:v>-7.2205932755921133E-3</c:v>
                </c:pt>
                <c:pt idx="38">
                  <c:v>-3.3891214795267292E-3</c:v>
                </c:pt>
                <c:pt idx="39">
                  <c:v>-6.1176491818947737E-3</c:v>
                </c:pt>
                <c:pt idx="40">
                  <c:v>-3.1179389913442118E-3</c:v>
                </c:pt>
                <c:pt idx="41">
                  <c:v>-2.0636589311032465E-3</c:v>
                </c:pt>
                <c:pt idx="42">
                  <c:v>2.2515477304729191E-3</c:v>
                </c:pt>
                <c:pt idx="43">
                  <c:v>1.275434234878145E-2</c:v>
                </c:pt>
                <c:pt idx="44">
                  <c:v>4.8020519412597506E-3</c:v>
                </c:pt>
                <c:pt idx="45">
                  <c:v>7.2992984368893555E-3</c:v>
                </c:pt>
                <c:pt idx="46">
                  <c:v>5.3107280606699472E-3</c:v>
                </c:pt>
                <c:pt idx="47">
                  <c:v>-4.8962159116925918E-3</c:v>
                </c:pt>
                <c:pt idx="48">
                  <c:v>-7.4452882660617737E-3</c:v>
                </c:pt>
                <c:pt idx="49">
                  <c:v>1.9856042838705971E-4</c:v>
                </c:pt>
                <c:pt idx="50">
                  <c:v>-1.7550236960655245E-3</c:v>
                </c:pt>
                <c:pt idx="51">
                  <c:v>4.9689615078982673E-4</c:v>
                </c:pt>
                <c:pt idx="52">
                  <c:v>-4.5852854881878007E-3</c:v>
                </c:pt>
                <c:pt idx="53">
                  <c:v>1.1011533622046603E-3</c:v>
                </c:pt>
                <c:pt idx="54">
                  <c:v>5.1681854704759998E-3</c:v>
                </c:pt>
                <c:pt idx="55">
                  <c:v>4.2592481204749453E-3</c:v>
                </c:pt>
                <c:pt idx="56">
                  <c:v>9.8944696519645825E-3</c:v>
                </c:pt>
                <c:pt idx="57">
                  <c:v>-3.2558207889752072E-3</c:v>
                </c:pt>
                <c:pt idx="58">
                  <c:v>6.8579716889692601E-3</c:v>
                </c:pt>
                <c:pt idx="59">
                  <c:v>7.2290944063039689E-3</c:v>
                </c:pt>
                <c:pt idx="60">
                  <c:v>4.0334312708687429E-3</c:v>
                </c:pt>
                <c:pt idx="61">
                  <c:v>-1.1751309685449115E-4</c:v>
                </c:pt>
                <c:pt idx="62">
                  <c:v>-3.4894271980317896E-3</c:v>
                </c:pt>
                <c:pt idx="63">
                  <c:v>-1.0746501374804096E-2</c:v>
                </c:pt>
                <c:pt idx="64">
                  <c:v>-6.9137047590561631E-3</c:v>
                </c:pt>
                <c:pt idx="65">
                  <c:v>-6.5547550397649333E-3</c:v>
                </c:pt>
                <c:pt idx="66">
                  <c:v>-7.7866786970108423E-3</c:v>
                </c:pt>
                <c:pt idx="67">
                  <c:v>-8.1195591939749144E-3</c:v>
                </c:pt>
                <c:pt idx="68">
                  <c:v>-6.1966598050419161E-3</c:v>
                </c:pt>
                <c:pt idx="69">
                  <c:v>-7.6699778641856867E-4</c:v>
                </c:pt>
                <c:pt idx="70">
                  <c:v>3.3821886987397635E-3</c:v>
                </c:pt>
                <c:pt idx="71">
                  <c:v>4.4276563946859249E-3</c:v>
                </c:pt>
                <c:pt idx="72">
                  <c:v>6.0154080003931229E-3</c:v>
                </c:pt>
                <c:pt idx="73">
                  <c:v>2.7225397435434095E-3</c:v>
                </c:pt>
                <c:pt idx="74">
                  <c:v>6.6376088291732463E-3</c:v>
                </c:pt>
                <c:pt idx="75">
                  <c:v>8.0379717312991737E-3</c:v>
                </c:pt>
                <c:pt idx="76">
                  <c:v>1.7117315437389596E-3</c:v>
                </c:pt>
                <c:pt idx="77">
                  <c:v>3.0786681081888057E-3</c:v>
                </c:pt>
                <c:pt idx="78">
                  <c:v>1.5910169067292444E-3</c:v>
                </c:pt>
                <c:pt idx="79">
                  <c:v>-4.6901936288190702E-3</c:v>
                </c:pt>
                <c:pt idx="80">
                  <c:v>-9.1252639119301683E-3</c:v>
                </c:pt>
                <c:pt idx="81">
                  <c:v>-4.5003929460652606E-3</c:v>
                </c:pt>
                <c:pt idx="82">
                  <c:v>-1.2646072436980358E-3</c:v>
                </c:pt>
                <c:pt idx="83">
                  <c:v>-6.8735667441149591E-4</c:v>
                </c:pt>
                <c:pt idx="84">
                  <c:v>1.9722411397694707E-3</c:v>
                </c:pt>
                <c:pt idx="85">
                  <c:v>5.7019679841715967E-4</c:v>
                </c:pt>
                <c:pt idx="86">
                  <c:v>2.0678258314955037E-3</c:v>
                </c:pt>
                <c:pt idx="87">
                  <c:v>9.1849218251970483E-3</c:v>
                </c:pt>
                <c:pt idx="88">
                  <c:v>1.5360395405523593E-3</c:v>
                </c:pt>
                <c:pt idx="89">
                  <c:v>5.9983898504326603E-4</c:v>
                </c:pt>
                <c:pt idx="90">
                  <c:v>-3.94515429137053E-4</c:v>
                </c:pt>
                <c:pt idx="91">
                  <c:v>4.6235839122023819E-3</c:v>
                </c:pt>
                <c:pt idx="92">
                  <c:v>2.8204343181094044E-3</c:v>
                </c:pt>
                <c:pt idx="93">
                  <c:v>-3.1053832074801929E-3</c:v>
                </c:pt>
                <c:pt idx="94">
                  <c:v>-3.1246677340913101E-3</c:v>
                </c:pt>
                <c:pt idx="95">
                  <c:v>-7.4695373681191364E-4</c:v>
                </c:pt>
                <c:pt idx="96">
                  <c:v>-1.4853028804328624E-3</c:v>
                </c:pt>
                <c:pt idx="97">
                  <c:v>1.0175947935423875E-3</c:v>
                </c:pt>
                <c:pt idx="98">
                  <c:v>1.9395236539746586E-3</c:v>
                </c:pt>
                <c:pt idx="99">
                  <c:v>-3.7788946822838697E-3</c:v>
                </c:pt>
                <c:pt idx="100">
                  <c:v>-4.5319706970482774E-3</c:v>
                </c:pt>
                <c:pt idx="101">
                  <c:v>-3.2975432641770444E-3</c:v>
                </c:pt>
                <c:pt idx="102">
                  <c:v>-2.1468386951192862E-3</c:v>
                </c:pt>
                <c:pt idx="103">
                  <c:v>6.4829368921250779E-4</c:v>
                </c:pt>
                <c:pt idx="104">
                  <c:v>-4.7678793438943844E-3</c:v>
                </c:pt>
                <c:pt idx="105">
                  <c:v>-3.8176958086597284E-3</c:v>
                </c:pt>
                <c:pt idx="106">
                  <c:v>1.6370769055435279E-4</c:v>
                </c:pt>
                <c:pt idx="107">
                  <c:v>-7.788781667322049E-3</c:v>
                </c:pt>
                <c:pt idx="108">
                  <c:v>-3.6602903464595365E-3</c:v>
                </c:pt>
                <c:pt idx="109">
                  <c:v>-8.6404909228353002E-3</c:v>
                </c:pt>
                <c:pt idx="110">
                  <c:v>-5.1288941822832832E-3</c:v>
                </c:pt>
                <c:pt idx="111">
                  <c:v>-3.0842232161458513E-3</c:v>
                </c:pt>
                <c:pt idx="112">
                  <c:v>-4.5478835913425027E-3</c:v>
                </c:pt>
                <c:pt idx="113">
                  <c:v>-5.9032990129869326E-3</c:v>
                </c:pt>
              </c:numCache>
            </c:numRef>
          </c:val>
          <c:smooth val="0"/>
          <c:extLst xmlns:c16r2="http://schemas.microsoft.com/office/drawing/2015/06/chart">
            <c:ext xmlns:c16="http://schemas.microsoft.com/office/drawing/2014/chart" uri="{C3380CC4-5D6E-409C-BE32-E72D297353CC}">
              <c16:uniqueId val="{00000002-BC61-4A86-8E02-3FA0FEF65652}"/>
            </c:ext>
          </c:extLst>
        </c:ser>
        <c:dLbls>
          <c:showLegendKey val="0"/>
          <c:showVal val="0"/>
          <c:showCatName val="0"/>
          <c:showSerName val="0"/>
          <c:showPercent val="0"/>
          <c:showBubbleSize val="0"/>
        </c:dLbls>
        <c:smooth val="0"/>
        <c:axId val="388162056"/>
        <c:axId val="388158136"/>
      </c:lineChart>
      <c:catAx>
        <c:axId val="388162056"/>
        <c:scaling>
          <c:orientation val="minMax"/>
        </c:scaling>
        <c:delete val="0"/>
        <c:axPos val="b"/>
        <c:majorTickMark val="out"/>
        <c:minorTickMark val="none"/>
        <c:tickLblPos val="nextTo"/>
        <c:crossAx val="388158136"/>
        <c:crosses val="autoZero"/>
        <c:auto val="1"/>
        <c:lblAlgn val="ctr"/>
        <c:lblOffset val="100"/>
        <c:noMultiLvlLbl val="0"/>
      </c:catAx>
      <c:valAx>
        <c:axId val="388158136"/>
        <c:scaling>
          <c:orientation val="minMax"/>
        </c:scaling>
        <c:delete val="0"/>
        <c:axPos val="l"/>
        <c:majorGridlines/>
        <c:numFmt formatCode="0.000" sourceLinked="1"/>
        <c:majorTickMark val="out"/>
        <c:minorTickMark val="none"/>
        <c:tickLblPos val="nextTo"/>
        <c:crossAx val="388162056"/>
        <c:crosses val="autoZero"/>
        <c:crossBetween val="between"/>
      </c:valAx>
    </c:plotArea>
    <c:legend>
      <c:legendPos val="r"/>
      <c:overlay val="0"/>
    </c:legend>
    <c:plotVisOnly val="1"/>
    <c:dispBlanksAs val="gap"/>
    <c:showDLblsOverMax val="0"/>
  </c:chart>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X,</a:t>
            </a:r>
            <a:r>
              <a:rPr lang="en-US" baseline="0"/>
              <a:t> Y, Z Comp Values</a:t>
            </a:r>
            <a:endParaRPr lang="en-US"/>
          </a:p>
        </c:rich>
      </c:tx>
      <c:overlay val="0"/>
    </c:title>
    <c:autoTitleDeleted val="0"/>
    <c:plotArea>
      <c:layout/>
      <c:scatterChart>
        <c:scatterStyle val="lineMarker"/>
        <c:varyColors val="0"/>
        <c:ser>
          <c:idx val="0"/>
          <c:order val="0"/>
          <c:tx>
            <c:strRef>
              <c:f>CompTableCheck!$C$32</c:f>
              <c:strCache>
                <c:ptCount val="1"/>
                <c:pt idx="0">
                  <c:v>X</c:v>
                </c:pt>
              </c:strCache>
            </c:strRef>
          </c:tx>
          <c:xVal>
            <c:numRef>
              <c:f>CompTableCheck!$B$33:$B$196</c:f>
              <c:numCache>
                <c:formatCode>General</c:formatCode>
                <c:ptCount val="19"/>
                <c:pt idx="0">
                  <c:v>-1350</c:v>
                </c:pt>
                <c:pt idx="1">
                  <c:v>-1200</c:v>
                </c:pt>
                <c:pt idx="2">
                  <c:v>-1050</c:v>
                </c:pt>
                <c:pt idx="3">
                  <c:v>-900</c:v>
                </c:pt>
                <c:pt idx="4">
                  <c:v>-750</c:v>
                </c:pt>
                <c:pt idx="5">
                  <c:v>-600</c:v>
                </c:pt>
                <c:pt idx="6">
                  <c:v>-450</c:v>
                </c:pt>
                <c:pt idx="7">
                  <c:v>-300</c:v>
                </c:pt>
                <c:pt idx="8">
                  <c:v>-150</c:v>
                </c:pt>
                <c:pt idx="9">
                  <c:v>0</c:v>
                </c:pt>
                <c:pt idx="10">
                  <c:v>150</c:v>
                </c:pt>
                <c:pt idx="11">
                  <c:v>300</c:v>
                </c:pt>
                <c:pt idx="12">
                  <c:v>450</c:v>
                </c:pt>
                <c:pt idx="13">
                  <c:v>600</c:v>
                </c:pt>
                <c:pt idx="14">
                  <c:v>750</c:v>
                </c:pt>
                <c:pt idx="15">
                  <c:v>900</c:v>
                </c:pt>
                <c:pt idx="16">
                  <c:v>1050</c:v>
                </c:pt>
                <c:pt idx="17">
                  <c:v>1200</c:v>
                </c:pt>
                <c:pt idx="18">
                  <c:v>1350</c:v>
                </c:pt>
              </c:numCache>
            </c:numRef>
          </c:xVal>
          <c:yVal>
            <c:numRef>
              <c:f>CompTableCheck!$C$33:$C$196</c:f>
              <c:numCache>
                <c:formatCode>General</c:formatCode>
                <c:ptCount val="19"/>
                <c:pt idx="0">
                  <c:v>-4.4000000000000003E-3</c:v>
                </c:pt>
                <c:pt idx="1">
                  <c:v>5.2499999999999998E-2</c:v>
                </c:pt>
                <c:pt idx="2">
                  <c:v>1.95E-2</c:v>
                </c:pt>
                <c:pt idx="3">
                  <c:v>-4.0000000000000001E-3</c:v>
                </c:pt>
                <c:pt idx="4">
                  <c:v>3.5999999999999999E-3</c:v>
                </c:pt>
                <c:pt idx="5">
                  <c:v>9.7000000000000003E-3</c:v>
                </c:pt>
                <c:pt idx="6">
                  <c:v>1.1900000000000001E-2</c:v>
                </c:pt>
                <c:pt idx="7">
                  <c:v>9.9000000000000008E-3</c:v>
                </c:pt>
                <c:pt idx="8">
                  <c:v>1.09E-2</c:v>
                </c:pt>
                <c:pt idx="9">
                  <c:v>-2.8999999999999998E-3</c:v>
                </c:pt>
                <c:pt idx="10">
                  <c:v>-7.3000000000000001E-3</c:v>
                </c:pt>
                <c:pt idx="11">
                  <c:v>-5.5999999999999999E-3</c:v>
                </c:pt>
                <c:pt idx="12">
                  <c:v>1.0500000000000001E-2</c:v>
                </c:pt>
                <c:pt idx="13">
                  <c:v>1.14E-2</c:v>
                </c:pt>
                <c:pt idx="14">
                  <c:v>-1.2699999999999999E-2</c:v>
                </c:pt>
                <c:pt idx="15">
                  <c:v>-4.9299999999999997E-2</c:v>
                </c:pt>
                <c:pt idx="16">
                  <c:v>-7.9000000000000008E-3</c:v>
                </c:pt>
                <c:pt idx="17">
                  <c:v>-2.98E-2</c:v>
                </c:pt>
                <c:pt idx="18">
                  <c:v>3.3399999999999999E-2</c:v>
                </c:pt>
              </c:numCache>
            </c:numRef>
          </c:yVal>
          <c:smooth val="0"/>
          <c:extLst xmlns:c16r2="http://schemas.microsoft.com/office/drawing/2015/06/chart">
            <c:ext xmlns:c16="http://schemas.microsoft.com/office/drawing/2014/chart" uri="{C3380CC4-5D6E-409C-BE32-E72D297353CC}">
              <c16:uniqueId val="{00000000-63EE-4347-8A51-B91E2C3056FA}"/>
            </c:ext>
          </c:extLst>
        </c:ser>
        <c:ser>
          <c:idx val="1"/>
          <c:order val="1"/>
          <c:tx>
            <c:strRef>
              <c:f>CompTableCheck!$D$32</c:f>
              <c:strCache>
                <c:ptCount val="1"/>
                <c:pt idx="0">
                  <c:v>Y</c:v>
                </c:pt>
              </c:strCache>
            </c:strRef>
          </c:tx>
          <c:xVal>
            <c:numRef>
              <c:f>CompTableCheck!$B$33:$B$196</c:f>
              <c:numCache>
                <c:formatCode>General</c:formatCode>
                <c:ptCount val="19"/>
                <c:pt idx="0">
                  <c:v>-1350</c:v>
                </c:pt>
                <c:pt idx="1">
                  <c:v>-1200</c:v>
                </c:pt>
                <c:pt idx="2">
                  <c:v>-1050</c:v>
                </c:pt>
                <c:pt idx="3">
                  <c:v>-900</c:v>
                </c:pt>
                <c:pt idx="4">
                  <c:v>-750</c:v>
                </c:pt>
                <c:pt idx="5">
                  <c:v>-600</c:v>
                </c:pt>
                <c:pt idx="6">
                  <c:v>-450</c:v>
                </c:pt>
                <c:pt idx="7">
                  <c:v>-300</c:v>
                </c:pt>
                <c:pt idx="8">
                  <c:v>-150</c:v>
                </c:pt>
                <c:pt idx="9">
                  <c:v>0</c:v>
                </c:pt>
                <c:pt idx="10">
                  <c:v>150</c:v>
                </c:pt>
                <c:pt idx="11">
                  <c:v>300</c:v>
                </c:pt>
                <c:pt idx="12">
                  <c:v>450</c:v>
                </c:pt>
                <c:pt idx="13">
                  <c:v>600</c:v>
                </c:pt>
                <c:pt idx="14">
                  <c:v>750</c:v>
                </c:pt>
                <c:pt idx="15">
                  <c:v>900</c:v>
                </c:pt>
                <c:pt idx="16">
                  <c:v>1050</c:v>
                </c:pt>
                <c:pt idx="17">
                  <c:v>1200</c:v>
                </c:pt>
                <c:pt idx="18">
                  <c:v>1350</c:v>
                </c:pt>
              </c:numCache>
            </c:numRef>
          </c:xVal>
          <c:yVal>
            <c:numRef>
              <c:f>CompTableCheck!$D$33:$D$196</c:f>
              <c:numCache>
                <c:formatCode>General</c:formatCode>
                <c:ptCount val="19"/>
                <c:pt idx="0">
                  <c:v>-2.7099999999999999E-2</c:v>
                </c:pt>
                <c:pt idx="1">
                  <c:v>5.1999999999999998E-3</c:v>
                </c:pt>
                <c:pt idx="2">
                  <c:v>2.3099999999999999E-2</c:v>
                </c:pt>
                <c:pt idx="3">
                  <c:v>5.4000000000000003E-3</c:v>
                </c:pt>
                <c:pt idx="4">
                  <c:v>3.4700000000000002E-2</c:v>
                </c:pt>
                <c:pt idx="5">
                  <c:v>2.6100000000000002E-2</c:v>
                </c:pt>
                <c:pt idx="6">
                  <c:v>4.3200000000000002E-2</c:v>
                </c:pt>
                <c:pt idx="7">
                  <c:v>2.46E-2</c:v>
                </c:pt>
                <c:pt idx="8">
                  <c:v>1.5900000000000001E-2</c:v>
                </c:pt>
                <c:pt idx="9">
                  <c:v>1.11E-2</c:v>
                </c:pt>
                <c:pt idx="10">
                  <c:v>3.4799999999999998E-2</c:v>
                </c:pt>
                <c:pt idx="11">
                  <c:v>1.49E-2</c:v>
                </c:pt>
                <c:pt idx="12">
                  <c:v>-7.6E-3</c:v>
                </c:pt>
                <c:pt idx="13">
                  <c:v>6.1999999999999998E-3</c:v>
                </c:pt>
                <c:pt idx="14">
                  <c:v>-3.6299999999999999E-2</c:v>
                </c:pt>
                <c:pt idx="15">
                  <c:v>-5.6300000000000003E-2</c:v>
                </c:pt>
                <c:pt idx="16">
                  <c:v>-1.44E-2</c:v>
                </c:pt>
                <c:pt idx="17">
                  <c:v>-1.8499999999999999E-2</c:v>
                </c:pt>
                <c:pt idx="18">
                  <c:v>-1.52E-2</c:v>
                </c:pt>
              </c:numCache>
            </c:numRef>
          </c:yVal>
          <c:smooth val="0"/>
          <c:extLst xmlns:c16r2="http://schemas.microsoft.com/office/drawing/2015/06/chart">
            <c:ext xmlns:c16="http://schemas.microsoft.com/office/drawing/2014/chart" uri="{C3380CC4-5D6E-409C-BE32-E72D297353CC}">
              <c16:uniqueId val="{00000001-63EE-4347-8A51-B91E2C3056FA}"/>
            </c:ext>
          </c:extLst>
        </c:ser>
        <c:ser>
          <c:idx val="2"/>
          <c:order val="2"/>
          <c:tx>
            <c:strRef>
              <c:f>CompTableCheck!$E$32</c:f>
              <c:strCache>
                <c:ptCount val="1"/>
                <c:pt idx="0">
                  <c:v>Z</c:v>
                </c:pt>
              </c:strCache>
            </c:strRef>
          </c:tx>
          <c:xVal>
            <c:numRef>
              <c:f>CompTableCheck!$B$33:$B$196</c:f>
              <c:numCache>
                <c:formatCode>General</c:formatCode>
                <c:ptCount val="19"/>
                <c:pt idx="0">
                  <c:v>-1350</c:v>
                </c:pt>
                <c:pt idx="1">
                  <c:v>-1200</c:v>
                </c:pt>
                <c:pt idx="2">
                  <c:v>-1050</c:v>
                </c:pt>
                <c:pt idx="3">
                  <c:v>-900</c:v>
                </c:pt>
                <c:pt idx="4">
                  <c:v>-750</c:v>
                </c:pt>
                <c:pt idx="5">
                  <c:v>-600</c:v>
                </c:pt>
                <c:pt idx="6">
                  <c:v>-450</c:v>
                </c:pt>
                <c:pt idx="7">
                  <c:v>-300</c:v>
                </c:pt>
                <c:pt idx="8">
                  <c:v>-150</c:v>
                </c:pt>
                <c:pt idx="9">
                  <c:v>0</c:v>
                </c:pt>
                <c:pt idx="10">
                  <c:v>150</c:v>
                </c:pt>
                <c:pt idx="11">
                  <c:v>300</c:v>
                </c:pt>
                <c:pt idx="12">
                  <c:v>450</c:v>
                </c:pt>
                <c:pt idx="13">
                  <c:v>600</c:v>
                </c:pt>
                <c:pt idx="14">
                  <c:v>750</c:v>
                </c:pt>
                <c:pt idx="15">
                  <c:v>900</c:v>
                </c:pt>
                <c:pt idx="16">
                  <c:v>1050</c:v>
                </c:pt>
                <c:pt idx="17">
                  <c:v>1200</c:v>
                </c:pt>
                <c:pt idx="18">
                  <c:v>1350</c:v>
                </c:pt>
              </c:numCache>
            </c:numRef>
          </c:xVal>
          <c:yVal>
            <c:numRef>
              <c:f>CompTableCheck!$E$33:$E$196</c:f>
              <c:numCache>
                <c:formatCode>General</c:formatCode>
                <c:ptCount val="19"/>
                <c:pt idx="0">
                  <c:v>-1.03E-2</c:v>
                </c:pt>
                <c:pt idx="1">
                  <c:v>5.0000000000000001E-3</c:v>
                </c:pt>
                <c:pt idx="2">
                  <c:v>5.7999999999999996E-3</c:v>
                </c:pt>
                <c:pt idx="3">
                  <c:v>2.8999999999999998E-3</c:v>
                </c:pt>
                <c:pt idx="4">
                  <c:v>4.7000000000000002E-3</c:v>
                </c:pt>
                <c:pt idx="5">
                  <c:v>-2.6200000000000001E-2</c:v>
                </c:pt>
                <c:pt idx="6">
                  <c:v>1E-3</c:v>
                </c:pt>
                <c:pt idx="7">
                  <c:v>-4.5600000000000002E-2</c:v>
                </c:pt>
                <c:pt idx="8">
                  <c:v>1.17E-2</c:v>
                </c:pt>
                <c:pt idx="9">
                  <c:v>8.0000000000000002E-3</c:v>
                </c:pt>
                <c:pt idx="10">
                  <c:v>5.7000000000000002E-3</c:v>
                </c:pt>
                <c:pt idx="11">
                  <c:v>2.7000000000000001E-3</c:v>
                </c:pt>
                <c:pt idx="12">
                  <c:v>1.6999999999999999E-3</c:v>
                </c:pt>
                <c:pt idx="13">
                  <c:v>-6.7000000000000002E-3</c:v>
                </c:pt>
                <c:pt idx="14">
                  <c:v>3.8999999999999998E-3</c:v>
                </c:pt>
                <c:pt idx="15">
                  <c:v>-1.2200000000000001E-2</c:v>
                </c:pt>
                <c:pt idx="16">
                  <c:v>-1E-4</c:v>
                </c:pt>
                <c:pt idx="17">
                  <c:v>6.6E-3</c:v>
                </c:pt>
                <c:pt idx="18">
                  <c:v>-1.3899999999999999E-2</c:v>
                </c:pt>
              </c:numCache>
            </c:numRef>
          </c:yVal>
          <c:smooth val="0"/>
          <c:extLst xmlns:c16r2="http://schemas.microsoft.com/office/drawing/2015/06/chart">
            <c:ext xmlns:c16="http://schemas.microsoft.com/office/drawing/2014/chart" uri="{C3380CC4-5D6E-409C-BE32-E72D297353CC}">
              <c16:uniqueId val="{00000002-63EE-4347-8A51-B91E2C3056FA}"/>
            </c:ext>
          </c:extLst>
        </c:ser>
        <c:dLbls>
          <c:showLegendKey val="0"/>
          <c:showVal val="0"/>
          <c:showCatName val="0"/>
          <c:showSerName val="0"/>
          <c:showPercent val="0"/>
          <c:showBubbleSize val="0"/>
        </c:dLbls>
        <c:axId val="388163624"/>
        <c:axId val="388159312"/>
      </c:scatterChart>
      <c:valAx>
        <c:axId val="388163624"/>
        <c:scaling>
          <c:orientation val="minMax"/>
        </c:scaling>
        <c:delete val="0"/>
        <c:axPos val="b"/>
        <c:numFmt formatCode="General" sourceLinked="1"/>
        <c:majorTickMark val="out"/>
        <c:minorTickMark val="none"/>
        <c:tickLblPos val="nextTo"/>
        <c:crossAx val="388159312"/>
        <c:crosses val="autoZero"/>
        <c:crossBetween val="midCat"/>
      </c:valAx>
      <c:valAx>
        <c:axId val="388159312"/>
        <c:scaling>
          <c:orientation val="minMax"/>
        </c:scaling>
        <c:delete val="0"/>
        <c:axPos val="r"/>
        <c:majorGridlines/>
        <c:numFmt formatCode="General" sourceLinked="1"/>
        <c:majorTickMark val="out"/>
        <c:minorTickMark val="none"/>
        <c:tickLblPos val="nextTo"/>
        <c:crossAx val="388163624"/>
        <c:crosses val="max"/>
        <c:crossBetween val="midCat"/>
      </c:valAx>
    </c:plotArea>
    <c:legend>
      <c:legendPos val="r"/>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rX,</a:t>
            </a:r>
            <a:r>
              <a:rPr lang="en-US" baseline="0"/>
              <a:t> rY, rZ Comp Values</a:t>
            </a:r>
            <a:endParaRPr lang="en-US"/>
          </a:p>
        </c:rich>
      </c:tx>
      <c:overlay val="0"/>
    </c:title>
    <c:autoTitleDeleted val="0"/>
    <c:plotArea>
      <c:layout/>
      <c:scatterChart>
        <c:scatterStyle val="lineMarker"/>
        <c:varyColors val="0"/>
        <c:ser>
          <c:idx val="0"/>
          <c:order val="0"/>
          <c:tx>
            <c:strRef>
              <c:f>CompTableCheck!$F$32</c:f>
              <c:strCache>
                <c:ptCount val="1"/>
                <c:pt idx="0">
                  <c:v>rX</c:v>
                </c:pt>
              </c:strCache>
            </c:strRef>
          </c:tx>
          <c:xVal>
            <c:numRef>
              <c:f>CompTableCheck!$B$33:$B$196</c:f>
              <c:numCache>
                <c:formatCode>General</c:formatCode>
                <c:ptCount val="19"/>
                <c:pt idx="0">
                  <c:v>-1350</c:v>
                </c:pt>
                <c:pt idx="1">
                  <c:v>-1200</c:v>
                </c:pt>
                <c:pt idx="2">
                  <c:v>-1050</c:v>
                </c:pt>
                <c:pt idx="3">
                  <c:v>-900</c:v>
                </c:pt>
                <c:pt idx="4">
                  <c:v>-750</c:v>
                </c:pt>
                <c:pt idx="5">
                  <c:v>-600</c:v>
                </c:pt>
                <c:pt idx="6">
                  <c:v>-450</c:v>
                </c:pt>
                <c:pt idx="7">
                  <c:v>-300</c:v>
                </c:pt>
                <c:pt idx="8">
                  <c:v>-150</c:v>
                </c:pt>
                <c:pt idx="9">
                  <c:v>0</c:v>
                </c:pt>
                <c:pt idx="10">
                  <c:v>150</c:v>
                </c:pt>
                <c:pt idx="11">
                  <c:v>300</c:v>
                </c:pt>
                <c:pt idx="12">
                  <c:v>450</c:v>
                </c:pt>
                <c:pt idx="13">
                  <c:v>600</c:v>
                </c:pt>
                <c:pt idx="14">
                  <c:v>750</c:v>
                </c:pt>
                <c:pt idx="15">
                  <c:v>900</c:v>
                </c:pt>
                <c:pt idx="16">
                  <c:v>1050</c:v>
                </c:pt>
                <c:pt idx="17">
                  <c:v>1200</c:v>
                </c:pt>
                <c:pt idx="18">
                  <c:v>1350</c:v>
                </c:pt>
              </c:numCache>
            </c:numRef>
          </c:xVal>
          <c:yVal>
            <c:numRef>
              <c:f>CompTableCheck!$F$33:$F$196</c:f>
              <c:numCache>
                <c:formatCode>General</c:formatCode>
                <c:ptCount val="19"/>
                <c:pt idx="0">
                  <c:v>5.6006800000000001E-5</c:v>
                </c:pt>
                <c:pt idx="1">
                  <c:v>-1.87306E-5</c:v>
                </c:pt>
                <c:pt idx="2">
                  <c:v>-1.3885300000000001E-5</c:v>
                </c:pt>
                <c:pt idx="3">
                  <c:v>8.1371000000000004E-6</c:v>
                </c:pt>
                <c:pt idx="4">
                  <c:v>2.3954399999999999E-5</c:v>
                </c:pt>
                <c:pt idx="5">
                  <c:v>3.7756699999999997E-5</c:v>
                </c:pt>
                <c:pt idx="6">
                  <c:v>4.19083E-5</c:v>
                </c:pt>
                <c:pt idx="7">
                  <c:v>3.1464999999999998E-5</c:v>
                </c:pt>
                <c:pt idx="8">
                  <c:v>3.9942299999999999E-5</c:v>
                </c:pt>
                <c:pt idx="9">
                  <c:v>2.57705E-5</c:v>
                </c:pt>
                <c:pt idx="10">
                  <c:v>1.5391199999999999E-5</c:v>
                </c:pt>
                <c:pt idx="11">
                  <c:v>-5.9650000000000003E-7</c:v>
                </c:pt>
                <c:pt idx="12">
                  <c:v>1.1413E-6</c:v>
                </c:pt>
                <c:pt idx="13">
                  <c:v>-4.9800000000000004E-7</c:v>
                </c:pt>
                <c:pt idx="14">
                  <c:v>-2.53009E-5</c:v>
                </c:pt>
                <c:pt idx="15">
                  <c:v>-3.86636E-5</c:v>
                </c:pt>
                <c:pt idx="16">
                  <c:v>2.8609999999999998E-6</c:v>
                </c:pt>
                <c:pt idx="17">
                  <c:v>-2.8372000000000001E-6</c:v>
                </c:pt>
                <c:pt idx="18">
                  <c:v>-5.9701299999999997E-5</c:v>
                </c:pt>
              </c:numCache>
            </c:numRef>
          </c:yVal>
          <c:smooth val="0"/>
          <c:extLst xmlns:c16r2="http://schemas.microsoft.com/office/drawing/2015/06/chart">
            <c:ext xmlns:c16="http://schemas.microsoft.com/office/drawing/2014/chart" uri="{C3380CC4-5D6E-409C-BE32-E72D297353CC}">
              <c16:uniqueId val="{00000000-73B7-45E1-875B-4596F705F4FE}"/>
            </c:ext>
          </c:extLst>
        </c:ser>
        <c:ser>
          <c:idx val="1"/>
          <c:order val="1"/>
          <c:tx>
            <c:strRef>
              <c:f>CompTableCheck!$G$32</c:f>
              <c:strCache>
                <c:ptCount val="1"/>
                <c:pt idx="0">
                  <c:v>rY</c:v>
                </c:pt>
              </c:strCache>
            </c:strRef>
          </c:tx>
          <c:xVal>
            <c:numRef>
              <c:f>CompTableCheck!$B$33:$B$196</c:f>
              <c:numCache>
                <c:formatCode>General</c:formatCode>
                <c:ptCount val="19"/>
                <c:pt idx="0">
                  <c:v>-1350</c:v>
                </c:pt>
                <c:pt idx="1">
                  <c:v>-1200</c:v>
                </c:pt>
                <c:pt idx="2">
                  <c:v>-1050</c:v>
                </c:pt>
                <c:pt idx="3">
                  <c:v>-900</c:v>
                </c:pt>
                <c:pt idx="4">
                  <c:v>-750</c:v>
                </c:pt>
                <c:pt idx="5">
                  <c:v>-600</c:v>
                </c:pt>
                <c:pt idx="6">
                  <c:v>-450</c:v>
                </c:pt>
                <c:pt idx="7">
                  <c:v>-300</c:v>
                </c:pt>
                <c:pt idx="8">
                  <c:v>-150</c:v>
                </c:pt>
                <c:pt idx="9">
                  <c:v>0</c:v>
                </c:pt>
                <c:pt idx="10">
                  <c:v>150</c:v>
                </c:pt>
                <c:pt idx="11">
                  <c:v>300</c:v>
                </c:pt>
                <c:pt idx="12">
                  <c:v>450</c:v>
                </c:pt>
                <c:pt idx="13">
                  <c:v>600</c:v>
                </c:pt>
                <c:pt idx="14">
                  <c:v>750</c:v>
                </c:pt>
                <c:pt idx="15">
                  <c:v>900</c:v>
                </c:pt>
                <c:pt idx="16">
                  <c:v>1050</c:v>
                </c:pt>
                <c:pt idx="17">
                  <c:v>1200</c:v>
                </c:pt>
                <c:pt idx="18">
                  <c:v>1350</c:v>
                </c:pt>
              </c:numCache>
            </c:numRef>
          </c:xVal>
          <c:yVal>
            <c:numRef>
              <c:f>CompTableCheck!$G$33:$G$196</c:f>
              <c:numCache>
                <c:formatCode>General</c:formatCode>
                <c:ptCount val="19"/>
                <c:pt idx="0">
                  <c:v>-5.6673699999999999E-5</c:v>
                </c:pt>
                <c:pt idx="1">
                  <c:v>-2.27634E-5</c:v>
                </c:pt>
                <c:pt idx="2">
                  <c:v>-2.28858E-5</c:v>
                </c:pt>
                <c:pt idx="3">
                  <c:v>-1.8090399999999999E-5</c:v>
                </c:pt>
                <c:pt idx="4">
                  <c:v>-2.65337E-5</c:v>
                </c:pt>
                <c:pt idx="5">
                  <c:v>-5.5389999999999998E-6</c:v>
                </c:pt>
                <c:pt idx="6">
                  <c:v>4.6918999999999999E-6</c:v>
                </c:pt>
                <c:pt idx="7">
                  <c:v>-9.0820000000000005E-7</c:v>
                </c:pt>
                <c:pt idx="8">
                  <c:v>1.10913E-5</c:v>
                </c:pt>
                <c:pt idx="9">
                  <c:v>1.8053399999999999E-5</c:v>
                </c:pt>
                <c:pt idx="10">
                  <c:v>1.02378E-5</c:v>
                </c:pt>
                <c:pt idx="11">
                  <c:v>1.04146E-5</c:v>
                </c:pt>
                <c:pt idx="12">
                  <c:v>1.9357200000000002E-5</c:v>
                </c:pt>
                <c:pt idx="13">
                  <c:v>1.96564E-5</c:v>
                </c:pt>
                <c:pt idx="14">
                  <c:v>1.34795E-5</c:v>
                </c:pt>
                <c:pt idx="15">
                  <c:v>2.14009E-5</c:v>
                </c:pt>
                <c:pt idx="16">
                  <c:v>2.4473399999999998E-5</c:v>
                </c:pt>
                <c:pt idx="17">
                  <c:v>3.0680399999999999E-5</c:v>
                </c:pt>
                <c:pt idx="18">
                  <c:v>4.8132900000000001E-5</c:v>
                </c:pt>
              </c:numCache>
            </c:numRef>
          </c:yVal>
          <c:smooth val="0"/>
          <c:extLst xmlns:c16r2="http://schemas.microsoft.com/office/drawing/2015/06/chart">
            <c:ext xmlns:c16="http://schemas.microsoft.com/office/drawing/2014/chart" uri="{C3380CC4-5D6E-409C-BE32-E72D297353CC}">
              <c16:uniqueId val="{00000001-73B7-45E1-875B-4596F705F4FE}"/>
            </c:ext>
          </c:extLst>
        </c:ser>
        <c:ser>
          <c:idx val="2"/>
          <c:order val="2"/>
          <c:tx>
            <c:strRef>
              <c:f>CompTableCheck!$H$32</c:f>
              <c:strCache>
                <c:ptCount val="1"/>
                <c:pt idx="0">
                  <c:v>rZ</c:v>
                </c:pt>
              </c:strCache>
            </c:strRef>
          </c:tx>
          <c:xVal>
            <c:numRef>
              <c:f>CompTableCheck!$B$33:$B$196</c:f>
              <c:numCache>
                <c:formatCode>General</c:formatCode>
                <c:ptCount val="19"/>
                <c:pt idx="0">
                  <c:v>-1350</c:v>
                </c:pt>
                <c:pt idx="1">
                  <c:v>-1200</c:v>
                </c:pt>
                <c:pt idx="2">
                  <c:v>-1050</c:v>
                </c:pt>
                <c:pt idx="3">
                  <c:v>-900</c:v>
                </c:pt>
                <c:pt idx="4">
                  <c:v>-750</c:v>
                </c:pt>
                <c:pt idx="5">
                  <c:v>-600</c:v>
                </c:pt>
                <c:pt idx="6">
                  <c:v>-450</c:v>
                </c:pt>
                <c:pt idx="7">
                  <c:v>-300</c:v>
                </c:pt>
                <c:pt idx="8">
                  <c:v>-150</c:v>
                </c:pt>
                <c:pt idx="9">
                  <c:v>0</c:v>
                </c:pt>
                <c:pt idx="10">
                  <c:v>150</c:v>
                </c:pt>
                <c:pt idx="11">
                  <c:v>300</c:v>
                </c:pt>
                <c:pt idx="12">
                  <c:v>450</c:v>
                </c:pt>
                <c:pt idx="13">
                  <c:v>600</c:v>
                </c:pt>
                <c:pt idx="14">
                  <c:v>750</c:v>
                </c:pt>
                <c:pt idx="15">
                  <c:v>900</c:v>
                </c:pt>
                <c:pt idx="16">
                  <c:v>1050</c:v>
                </c:pt>
                <c:pt idx="17">
                  <c:v>1200</c:v>
                </c:pt>
                <c:pt idx="18">
                  <c:v>1350</c:v>
                </c:pt>
              </c:numCache>
            </c:numRef>
          </c:xVal>
          <c:yVal>
            <c:numRef>
              <c:f>CompTableCheck!$H$33:$H$196</c:f>
              <c:numCache>
                <c:formatCode>General</c:formatCode>
                <c:ptCount val="19"/>
                <c:pt idx="0">
                  <c:v>1.747423E-4</c:v>
                </c:pt>
                <c:pt idx="1">
                  <c:v>6.7551600000000006E-5</c:v>
                </c:pt>
                <c:pt idx="2">
                  <c:v>5.7355899999999997E-5</c:v>
                </c:pt>
                <c:pt idx="3">
                  <c:v>3.9261799999999997E-5</c:v>
                </c:pt>
                <c:pt idx="4">
                  <c:v>3.7934800000000001E-5</c:v>
                </c:pt>
                <c:pt idx="5">
                  <c:v>4.7052999999999997E-6</c:v>
                </c:pt>
                <c:pt idx="6">
                  <c:v>-1.10691E-5</c:v>
                </c:pt>
                <c:pt idx="7">
                  <c:v>-5.2912999999999996E-6</c:v>
                </c:pt>
                <c:pt idx="8">
                  <c:v>-2.0786799999999999E-5</c:v>
                </c:pt>
                <c:pt idx="9">
                  <c:v>-1.5961000000000001E-6</c:v>
                </c:pt>
                <c:pt idx="10">
                  <c:v>6.4152E-6</c:v>
                </c:pt>
                <c:pt idx="11">
                  <c:v>5.9600999999999999E-6</c:v>
                </c:pt>
                <c:pt idx="12">
                  <c:v>1.8470799999999999E-5</c:v>
                </c:pt>
                <c:pt idx="13">
                  <c:v>2.6358499999999998E-5</c:v>
                </c:pt>
                <c:pt idx="14">
                  <c:v>2.93768E-5</c:v>
                </c:pt>
                <c:pt idx="15">
                  <c:v>4.6883399999999999E-5</c:v>
                </c:pt>
                <c:pt idx="16">
                  <c:v>5.8495500000000003E-5</c:v>
                </c:pt>
                <c:pt idx="17">
                  <c:v>9.3981999999999996E-5</c:v>
                </c:pt>
                <c:pt idx="18">
                  <c:v>1.5180169999999999E-4</c:v>
                </c:pt>
              </c:numCache>
            </c:numRef>
          </c:yVal>
          <c:smooth val="0"/>
          <c:extLst xmlns:c16r2="http://schemas.microsoft.com/office/drawing/2015/06/chart">
            <c:ext xmlns:c16="http://schemas.microsoft.com/office/drawing/2014/chart" uri="{C3380CC4-5D6E-409C-BE32-E72D297353CC}">
              <c16:uniqueId val="{00000002-73B7-45E1-875B-4596F705F4FE}"/>
            </c:ext>
          </c:extLst>
        </c:ser>
        <c:dLbls>
          <c:showLegendKey val="0"/>
          <c:showVal val="0"/>
          <c:showCatName val="0"/>
          <c:showSerName val="0"/>
          <c:showPercent val="0"/>
          <c:showBubbleSize val="0"/>
        </c:dLbls>
        <c:axId val="388159704"/>
        <c:axId val="388162840"/>
      </c:scatterChart>
      <c:valAx>
        <c:axId val="388159704"/>
        <c:scaling>
          <c:orientation val="minMax"/>
        </c:scaling>
        <c:delete val="0"/>
        <c:axPos val="b"/>
        <c:numFmt formatCode="General" sourceLinked="1"/>
        <c:majorTickMark val="out"/>
        <c:minorTickMark val="none"/>
        <c:tickLblPos val="nextTo"/>
        <c:crossAx val="388162840"/>
        <c:crosses val="autoZero"/>
        <c:crossBetween val="midCat"/>
      </c:valAx>
      <c:valAx>
        <c:axId val="388162840"/>
        <c:scaling>
          <c:orientation val="minMax"/>
        </c:scaling>
        <c:delete val="0"/>
        <c:axPos val="r"/>
        <c:majorGridlines/>
        <c:numFmt formatCode="General" sourceLinked="1"/>
        <c:majorTickMark val="out"/>
        <c:minorTickMark val="none"/>
        <c:tickLblPos val="nextTo"/>
        <c:crossAx val="388159704"/>
        <c:crosses val="max"/>
        <c:crossBetween val="midCat"/>
      </c:valAx>
    </c:plotArea>
    <c:legend>
      <c:legendPos val="r"/>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codeName="Chart1">
    <tabColor theme="1" tint="0.499984740745262"/>
  </sheetPr>
  <sheetViews>
    <sheetView zoomScale="119"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Radio" firstButton="1" fmlaLink="$AW$2"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5" dropStyle="combo" dx="16" fmlaLink="$H$3" fmlaRange="$H$4:$H$17" noThreeD="1"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21" Type="http://schemas.openxmlformats.org/officeDocument/2006/relationships/chart" Target="../charts/chart23.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5" Type="http://schemas.openxmlformats.org/officeDocument/2006/relationships/chart" Target="../charts/chart27.xml"/><Relationship Id="rId2" Type="http://schemas.openxmlformats.org/officeDocument/2006/relationships/chart" Target="../charts/chart4.xml"/><Relationship Id="rId16" Type="http://schemas.openxmlformats.org/officeDocument/2006/relationships/chart" Target="../charts/chart18.xml"/><Relationship Id="rId20" Type="http://schemas.openxmlformats.org/officeDocument/2006/relationships/chart" Target="../charts/chart22.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24" Type="http://schemas.openxmlformats.org/officeDocument/2006/relationships/chart" Target="../charts/chart26.xml"/><Relationship Id="rId5" Type="http://schemas.openxmlformats.org/officeDocument/2006/relationships/chart" Target="../charts/chart7.xml"/><Relationship Id="rId15" Type="http://schemas.openxmlformats.org/officeDocument/2006/relationships/chart" Target="../charts/chart17.xml"/><Relationship Id="rId23" Type="http://schemas.openxmlformats.org/officeDocument/2006/relationships/chart" Target="../charts/chart25.xml"/><Relationship Id="rId10" Type="http://schemas.openxmlformats.org/officeDocument/2006/relationships/chart" Target="../charts/chart12.xml"/><Relationship Id="rId19" Type="http://schemas.openxmlformats.org/officeDocument/2006/relationships/chart" Target="../charts/chart21.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 Id="rId22" Type="http://schemas.openxmlformats.org/officeDocument/2006/relationships/chart" Target="../charts/chart2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5.xml"/><Relationship Id="rId13" Type="http://schemas.openxmlformats.org/officeDocument/2006/relationships/chart" Target="../charts/chart40.xml"/><Relationship Id="rId18" Type="http://schemas.openxmlformats.org/officeDocument/2006/relationships/chart" Target="../charts/chart45.xml"/><Relationship Id="rId3" Type="http://schemas.openxmlformats.org/officeDocument/2006/relationships/chart" Target="../charts/chart30.xml"/><Relationship Id="rId7" Type="http://schemas.openxmlformats.org/officeDocument/2006/relationships/chart" Target="../charts/chart34.xml"/><Relationship Id="rId12" Type="http://schemas.openxmlformats.org/officeDocument/2006/relationships/chart" Target="../charts/chart39.xml"/><Relationship Id="rId17" Type="http://schemas.openxmlformats.org/officeDocument/2006/relationships/chart" Target="../charts/chart44.xml"/><Relationship Id="rId2" Type="http://schemas.openxmlformats.org/officeDocument/2006/relationships/chart" Target="../charts/chart29.xml"/><Relationship Id="rId16" Type="http://schemas.openxmlformats.org/officeDocument/2006/relationships/chart" Target="../charts/chart43.xml"/><Relationship Id="rId1" Type="http://schemas.openxmlformats.org/officeDocument/2006/relationships/chart" Target="../charts/chart28.xml"/><Relationship Id="rId6" Type="http://schemas.openxmlformats.org/officeDocument/2006/relationships/chart" Target="../charts/chart33.xml"/><Relationship Id="rId11" Type="http://schemas.openxmlformats.org/officeDocument/2006/relationships/chart" Target="../charts/chart38.xml"/><Relationship Id="rId5" Type="http://schemas.openxmlformats.org/officeDocument/2006/relationships/chart" Target="../charts/chart32.xml"/><Relationship Id="rId15" Type="http://schemas.openxmlformats.org/officeDocument/2006/relationships/chart" Target="../charts/chart42.xml"/><Relationship Id="rId10" Type="http://schemas.openxmlformats.org/officeDocument/2006/relationships/chart" Target="../charts/chart37.xml"/><Relationship Id="rId4" Type="http://schemas.openxmlformats.org/officeDocument/2006/relationships/chart" Target="../charts/chart31.xml"/><Relationship Id="rId9" Type="http://schemas.openxmlformats.org/officeDocument/2006/relationships/chart" Target="../charts/chart36.xml"/><Relationship Id="rId14" Type="http://schemas.openxmlformats.org/officeDocument/2006/relationships/chart" Target="../charts/chart4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48.xml"/><Relationship Id="rId1"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xdr:twoCellAnchor>
    <xdr:from>
      <xdr:col>35</xdr:col>
      <xdr:colOff>432707</xdr:colOff>
      <xdr:row>14</xdr:row>
      <xdr:rowOff>136072</xdr:rowOff>
    </xdr:from>
    <xdr:to>
      <xdr:col>40</xdr:col>
      <xdr:colOff>557893</xdr:colOff>
      <xdr:row>36</xdr:row>
      <xdr:rowOff>152854</xdr:rowOff>
    </xdr:to>
    <xdr:grpSp>
      <xdr:nvGrpSpPr>
        <xdr:cNvPr id="8" name="Group 7">
          <a:extLst>
            <a:ext uri="{FF2B5EF4-FFF2-40B4-BE49-F238E27FC236}">
              <a16:creationId xmlns="" xmlns:a16="http://schemas.microsoft.com/office/drawing/2014/main" id="{00000000-0008-0000-0100-000008000000}"/>
            </a:ext>
          </a:extLst>
        </xdr:cNvPr>
        <xdr:cNvGrpSpPr/>
      </xdr:nvGrpSpPr>
      <xdr:grpSpPr>
        <a:xfrm>
          <a:off x="21244832" y="2767353"/>
          <a:ext cx="3589905" cy="3683907"/>
          <a:chOff x="15217588" y="2406866"/>
          <a:chExt cx="3505842" cy="3784383"/>
        </a:xfrm>
      </xdr:grpSpPr>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15217588" y="2406866"/>
            <a:ext cx="3505842" cy="37843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Controls</a:t>
            </a:r>
          </a:p>
          <a:p>
            <a:endParaRPr lang="en-US" sz="1400" b="1"/>
          </a:p>
          <a:p>
            <a:endParaRPr lang="en-US" sz="1400" b="1"/>
          </a:p>
          <a:p>
            <a:endParaRPr lang="en-US" sz="1400" b="1"/>
          </a:p>
          <a:p>
            <a:endParaRPr lang="en-US" sz="1400" b="1"/>
          </a:p>
          <a:p>
            <a:endParaRPr lang="en-US" sz="1400" b="1"/>
          </a:p>
        </xdr:txBody>
      </xdr:sp>
      <mc:AlternateContent xmlns:mc="http://schemas.openxmlformats.org/markup-compatibility/2006">
        <mc:Choice xmlns:a14="http://schemas.microsoft.com/office/drawing/2010/main" Requires="a14">
          <xdr:sp macro="" textlink="">
            <xdr:nvSpPr>
              <xdr:cNvPr id="1056" name="Button 32" hidden="1">
                <a:extLst>
                  <a:ext uri="{63B3BB69-23CF-44E3-9099-C40C66FF867C}">
                    <a14:compatExt spid="_x0000_s1056"/>
                  </a:ext>
                  <a:ext uri="{FF2B5EF4-FFF2-40B4-BE49-F238E27FC236}">
                    <a16:creationId xmlns="" xmlns:a16="http://schemas.microsoft.com/office/drawing/2014/main" id="{00000000-0008-0000-0100-000020040000}"/>
                  </a:ext>
                </a:extLst>
              </xdr:cNvPr>
              <xdr:cNvSpPr/>
            </xdr:nvSpPr>
            <xdr:spPr bwMode="auto">
              <a:xfrm>
                <a:off x="15357021" y="3064328"/>
                <a:ext cx="3165022" cy="288471"/>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Update Named Ranges</a:t>
                </a:r>
              </a:p>
            </xdr:txBody>
          </xdr:sp>
        </mc:Choice>
        <mc:Fallback/>
      </mc:AlternateContent>
      <mc:AlternateContent xmlns:mc="http://schemas.openxmlformats.org/markup-compatibility/2006">
        <mc:Choice xmlns:a14="http://schemas.microsoft.com/office/drawing/2010/main" Requires="a14">
          <xdr:sp macro="" textlink="">
            <xdr:nvSpPr>
              <xdr:cNvPr id="1061" name="Button 37" hidden="1">
                <a:extLst>
                  <a:ext uri="{63B3BB69-23CF-44E3-9099-C40C66FF867C}">
                    <a14:compatExt spid="_x0000_s1061"/>
                  </a:ext>
                  <a:ext uri="{FF2B5EF4-FFF2-40B4-BE49-F238E27FC236}">
                    <a16:creationId xmlns="" xmlns:a16="http://schemas.microsoft.com/office/drawing/2014/main" id="{00000000-0008-0000-0100-000025040000}"/>
                  </a:ext>
                </a:extLst>
              </xdr:cNvPr>
              <xdr:cNvSpPr/>
            </xdr:nvSpPr>
            <xdr:spPr bwMode="auto">
              <a:xfrm>
                <a:off x="15357021" y="3958318"/>
                <a:ext cx="3165022" cy="288471"/>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Send Data: *.data.xml </a:t>
                </a:r>
                <a:r>
                  <a:rPr lang="en-US" sz="1200" b="1" i="0" u="none" strike="noStrike" baseline="0">
                    <a:solidFill>
                      <a:srgbClr val="000000"/>
                    </a:solidFill>
                    <a:latin typeface="Arial"/>
                    <a:cs typeface="Arial"/>
                  </a:rPr>
                  <a:t>(ctrl + q)</a:t>
                </a:r>
              </a:p>
            </xdr:txBody>
          </xdr:sp>
        </mc:Choice>
        <mc:Fallback/>
      </mc:AlternateContent>
      <mc:AlternateContent xmlns:mc="http://schemas.openxmlformats.org/markup-compatibility/2006">
        <mc:Choice xmlns:a14="http://schemas.microsoft.com/office/drawing/2010/main" Requires="a14">
          <xdr:sp macro="" textlink="">
            <xdr:nvSpPr>
              <xdr:cNvPr id="1062" name="Button 38" hidden="1">
                <a:extLst>
                  <a:ext uri="{63B3BB69-23CF-44E3-9099-C40C66FF867C}">
                    <a14:compatExt spid="_x0000_s1062"/>
                  </a:ext>
                  <a:ext uri="{FF2B5EF4-FFF2-40B4-BE49-F238E27FC236}">
                    <a16:creationId xmlns="" xmlns:a16="http://schemas.microsoft.com/office/drawing/2014/main" id="{00000000-0008-0000-0100-000026040000}"/>
                  </a:ext>
                </a:extLst>
              </xdr:cNvPr>
              <xdr:cNvSpPr/>
            </xdr:nvSpPr>
            <xdr:spPr bwMode="auto">
              <a:xfrm>
                <a:off x="15357021" y="3371850"/>
                <a:ext cx="3165022" cy="288471"/>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Remap Data: *.dataout.xml</a:t>
                </a:r>
              </a:p>
            </xdr:txBody>
          </xdr:sp>
        </mc:Choice>
        <mc:Fallback/>
      </mc:AlternateContent>
      <mc:AlternateContent xmlns:mc="http://schemas.openxmlformats.org/markup-compatibility/2006">
        <mc:Choice xmlns:a14="http://schemas.microsoft.com/office/drawing/2010/main" Requires="a14">
          <xdr:sp macro="" textlink="">
            <xdr:nvSpPr>
              <xdr:cNvPr id="1063" name="Button 39" hidden="1">
                <a:extLst>
                  <a:ext uri="{63B3BB69-23CF-44E3-9099-C40C66FF867C}">
                    <a14:compatExt spid="_x0000_s1063"/>
                  </a:ext>
                  <a:ext uri="{FF2B5EF4-FFF2-40B4-BE49-F238E27FC236}">
                    <a16:creationId xmlns="" xmlns:a16="http://schemas.microsoft.com/office/drawing/2014/main" id="{00000000-0008-0000-0100-000027040000}"/>
                  </a:ext>
                </a:extLst>
              </xdr:cNvPr>
              <xdr:cNvSpPr/>
            </xdr:nvSpPr>
            <xdr:spPr bwMode="auto">
              <a:xfrm>
                <a:off x="15357021" y="4531175"/>
                <a:ext cx="3165022" cy="288472"/>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Update Data: *.dataout.xml </a:t>
                </a:r>
                <a:r>
                  <a:rPr lang="en-US" sz="1200" b="1" i="0" u="none" strike="noStrike" baseline="0">
                    <a:solidFill>
                      <a:srgbClr val="000000"/>
                    </a:solidFill>
                    <a:latin typeface="Arial"/>
                    <a:cs typeface="Arial"/>
                  </a:rPr>
                  <a:t>(ctrl + e)</a:t>
                </a:r>
              </a:p>
            </xdr:txBody>
          </xdr:sp>
        </mc:Choice>
        <mc:Fallback/>
      </mc:AlternateContent>
      <xdr:grpSp>
        <xdr:nvGrpSpPr>
          <xdr:cNvPr id="5" name="Group 4">
            <a:extLst>
              <a:ext uri="{FF2B5EF4-FFF2-40B4-BE49-F238E27FC236}">
                <a16:creationId xmlns="" xmlns:a16="http://schemas.microsoft.com/office/drawing/2014/main" id="{00000000-0008-0000-0100-000005000000}"/>
              </a:ext>
            </a:extLst>
          </xdr:cNvPr>
          <xdr:cNvGrpSpPr/>
        </xdr:nvGrpSpPr>
        <xdr:grpSpPr>
          <a:xfrm>
            <a:off x="15359101" y="5105162"/>
            <a:ext cx="3181270" cy="936407"/>
            <a:chOff x="15467959" y="7078200"/>
            <a:chExt cx="3181270" cy="936407"/>
          </a:xfrm>
        </xdr:grpSpPr>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5467959" y="7078200"/>
              <a:ext cx="3181270" cy="9364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dk1"/>
                  </a:solidFill>
                  <a:effectLst/>
                  <a:latin typeface="Arial" pitchFamily="34" charset="0"/>
                  <a:ea typeface="+mn-ea"/>
                  <a:cs typeface="Arial" pitchFamily="34" charset="0"/>
                </a:rPr>
                <a:t>Convert measured</a:t>
              </a:r>
              <a:r>
                <a:rPr lang="en-US" sz="1200" b="1" baseline="0">
                  <a:solidFill>
                    <a:schemeClr val="dk1"/>
                  </a:solidFill>
                  <a:effectLst/>
                  <a:latin typeface="Arial" pitchFamily="34" charset="0"/>
                  <a:ea typeface="+mn-ea"/>
                  <a:cs typeface="Arial" pitchFamily="34" charset="0"/>
                </a:rPr>
                <a:t>  &gt; </a:t>
              </a:r>
              <a:r>
                <a:rPr lang="en-US" sz="1200" b="1">
                  <a:solidFill>
                    <a:schemeClr val="dk1"/>
                  </a:solidFill>
                  <a:effectLst/>
                  <a:latin typeface="Arial" pitchFamily="34" charset="0"/>
                  <a:ea typeface="+mn-ea"/>
                  <a:cs typeface="Arial" pitchFamily="34" charset="0"/>
                </a:rPr>
                <a:t>error units</a:t>
              </a:r>
              <a:endParaRPr lang="en-US" sz="1200" b="1">
                <a:effectLst/>
                <a:latin typeface="Arial" pitchFamily="34" charset="0"/>
                <a:cs typeface="Arial" pitchFamily="34" charset="0"/>
              </a:endParaRPr>
            </a:p>
            <a:p>
              <a:endParaRPr lang="en-US" sz="800">
                <a:latin typeface="Arial" pitchFamily="34" charset="0"/>
                <a:cs typeface="Arial" pitchFamily="34" charset="0"/>
              </a:endParaRPr>
            </a:p>
            <a:p>
              <a:r>
                <a:rPr lang="en-US" sz="1200">
                  <a:latin typeface="Arial" pitchFamily="34" charset="0"/>
                  <a:cs typeface="Arial" pitchFamily="34" charset="0"/>
                </a:rPr>
                <a:t>      no conversion</a:t>
              </a:r>
            </a:p>
            <a:p>
              <a:endParaRPr lang="en-US" sz="600">
                <a:latin typeface="Arial" pitchFamily="34" charset="0"/>
                <a:cs typeface="Arial" pitchFamily="34" charset="0"/>
              </a:endParaRPr>
            </a:p>
            <a:p>
              <a:r>
                <a:rPr lang="en-US" sz="1200">
                  <a:latin typeface="Arial" pitchFamily="34" charset="0"/>
                  <a:cs typeface="Arial" pitchFamily="34" charset="0"/>
                </a:rPr>
                <a:t>      mm &gt; in ( / 25.4)</a:t>
              </a:r>
            </a:p>
          </xdr:txBody>
        </xdr:sp>
        <mc:AlternateContent xmlns:mc="http://schemas.openxmlformats.org/markup-compatibility/2006">
          <mc:Choice xmlns:a14="http://schemas.microsoft.com/office/drawing/2010/main" Requires="a14">
            <xdr:sp macro="" textlink="">
              <xdr:nvSpPr>
                <xdr:cNvPr id="1065" name="Option Button 41" descr="in -&gt; mm" hidden="1">
                  <a:extLst>
                    <a:ext uri="{63B3BB69-23CF-44E3-9099-C40C66FF867C}">
                      <a14:compatExt spid="_x0000_s1065"/>
                    </a:ext>
                    <a:ext uri="{FF2B5EF4-FFF2-40B4-BE49-F238E27FC236}">
                      <a16:creationId xmlns="" xmlns:a16="http://schemas.microsoft.com/office/drawing/2014/main" id="{00000000-0008-0000-0100-000029040000}"/>
                    </a:ext>
                  </a:extLst>
                </xdr:cNvPr>
                <xdr:cNvSpPr/>
              </xdr:nvSpPr>
              <xdr:spPr bwMode="auto">
                <a:xfrm>
                  <a:off x="15590679" y="7337554"/>
                  <a:ext cx="283199" cy="35541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66" name="Option Button 42" hidden="1">
                  <a:extLst>
                    <a:ext uri="{63B3BB69-23CF-44E3-9099-C40C66FF867C}">
                      <a14:compatExt spid="_x0000_s1066"/>
                    </a:ext>
                    <a:ext uri="{FF2B5EF4-FFF2-40B4-BE49-F238E27FC236}">
                      <a16:creationId xmlns="" xmlns:a16="http://schemas.microsoft.com/office/drawing/2014/main" id="{00000000-0008-0000-0100-00002A040000}"/>
                    </a:ext>
                  </a:extLst>
                </xdr:cNvPr>
                <xdr:cNvSpPr/>
              </xdr:nvSpPr>
              <xdr:spPr bwMode="auto">
                <a:xfrm>
                  <a:off x="15590679" y="7616120"/>
                  <a:ext cx="254879" cy="32659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mc:AlternateContent xmlns:mc="http://schemas.openxmlformats.org/markup-compatibility/2006">
        <mc:Choice xmlns:a14="http://schemas.microsoft.com/office/drawing/2010/main" Requires="a14">
          <xdr:sp macro="" textlink="">
            <xdr:nvSpPr>
              <xdr:cNvPr id="1069" name="Button 45" hidden="1">
                <a:extLst>
                  <a:ext uri="{63B3BB69-23CF-44E3-9099-C40C66FF867C}">
                    <a14:compatExt spid="_x0000_s1069"/>
                  </a:ext>
                  <a:ext uri="{FF2B5EF4-FFF2-40B4-BE49-F238E27FC236}">
                    <a16:creationId xmlns="" xmlns:a16="http://schemas.microsoft.com/office/drawing/2014/main" id="{00000000-0008-0000-0100-00002D040000}"/>
                  </a:ext>
                </a:extLst>
              </xdr:cNvPr>
              <xdr:cNvSpPr/>
            </xdr:nvSpPr>
            <xdr:spPr bwMode="auto">
              <a:xfrm>
                <a:off x="15357021" y="2748644"/>
                <a:ext cx="3165022" cy="287111"/>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Clear Machine and Tracker Data</a:t>
                </a:r>
              </a:p>
            </xdr:txBody>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476250</xdr:colOff>
      <xdr:row>11</xdr:row>
      <xdr:rowOff>147637</xdr:rowOff>
    </xdr:from>
    <xdr:to>
      <xdr:col>18</xdr:col>
      <xdr:colOff>171450</xdr:colOff>
      <xdr:row>26</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57149</xdr:colOff>
      <xdr:row>13</xdr:row>
      <xdr:rowOff>64433</xdr:rowOff>
    </xdr:from>
    <xdr:to>
      <xdr:col>24</xdr:col>
      <xdr:colOff>519393</xdr:colOff>
      <xdr:row>58</xdr:row>
      <xdr:rowOff>154641</xdr:rowOff>
    </xdr:to>
    <xdr:graphicFrame macro="">
      <xdr:nvGraphicFramePr>
        <xdr:cNvPr id="7" name="Chart 6">
          <a:extLst>
            <a:ext uri="{FF2B5EF4-FFF2-40B4-BE49-F238E27FC236}">
              <a16:creationId xmlns=""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20</xdr:col>
      <xdr:colOff>129902</xdr:colOff>
      <xdr:row>0</xdr:row>
      <xdr:rowOff>33277</xdr:rowOff>
    </xdr:from>
    <xdr:to>
      <xdr:col>26</xdr:col>
      <xdr:colOff>570774</xdr:colOff>
      <xdr:row>16</xdr:row>
      <xdr:rowOff>156484</xdr:rowOff>
    </xdr:to>
    <xdr:graphicFrame macro="">
      <xdr:nvGraphicFramePr>
        <xdr:cNvPr id="32" name="Chart 41">
          <a:extLst>
            <a:ext uri="{FF2B5EF4-FFF2-40B4-BE49-F238E27FC236}">
              <a16:creationId xmlns="" xmlns:a16="http://schemas.microsoft.com/office/drawing/2014/main" id="{00000000-0008-0000-03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129902</xdr:colOff>
      <xdr:row>17</xdr:row>
      <xdr:rowOff>24496</xdr:rowOff>
    </xdr:from>
    <xdr:to>
      <xdr:col>26</xdr:col>
      <xdr:colOff>570774</xdr:colOff>
      <xdr:row>33</xdr:row>
      <xdr:rowOff>155124</xdr:rowOff>
    </xdr:to>
    <xdr:graphicFrame macro="">
      <xdr:nvGraphicFramePr>
        <xdr:cNvPr id="33" name="Chart 42">
          <a:extLst>
            <a:ext uri="{FF2B5EF4-FFF2-40B4-BE49-F238E27FC236}">
              <a16:creationId xmlns="" xmlns:a16="http://schemas.microsoft.com/office/drawing/2014/main" id="{00000000-0008-0000-03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211565</xdr:colOff>
      <xdr:row>17</xdr:row>
      <xdr:rowOff>24495</xdr:rowOff>
    </xdr:from>
    <xdr:to>
      <xdr:col>47</xdr:col>
      <xdr:colOff>40115</xdr:colOff>
      <xdr:row>33</xdr:row>
      <xdr:rowOff>162545</xdr:rowOff>
    </xdr:to>
    <xdr:graphicFrame macro="">
      <xdr:nvGraphicFramePr>
        <xdr:cNvPr id="22" name="Chart 72">
          <a:extLst>
            <a:ext uri="{FF2B5EF4-FFF2-40B4-BE49-F238E27FC236}">
              <a16:creationId xmlns="" xmlns:a16="http://schemas.microsoft.com/office/drawing/2014/main" id="{00000000-0008-0000-0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40</xdr:col>
      <xdr:colOff>211565</xdr:colOff>
      <xdr:row>34</xdr:row>
      <xdr:rowOff>20414</xdr:rowOff>
    </xdr:from>
    <xdr:to>
      <xdr:col>47</xdr:col>
      <xdr:colOff>40115</xdr:colOff>
      <xdr:row>50</xdr:row>
      <xdr:rowOff>151042</xdr:rowOff>
    </xdr:to>
    <xdr:graphicFrame macro="">
      <xdr:nvGraphicFramePr>
        <xdr:cNvPr id="23" name="Chart 73">
          <a:extLst>
            <a:ext uri="{FF2B5EF4-FFF2-40B4-BE49-F238E27FC236}">
              <a16:creationId xmlns="" xmlns:a16="http://schemas.microsoft.com/office/drawing/2014/main" id="{00000000-0008-0000-0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161925</xdr:colOff>
          <xdr:row>57</xdr:row>
          <xdr:rowOff>9525</xdr:rowOff>
        </xdr:from>
        <xdr:to>
          <xdr:col>4</xdr:col>
          <xdr:colOff>457200</xdr:colOff>
          <xdr:row>59</xdr:row>
          <xdr:rowOff>28575</xdr:rowOff>
        </xdr:to>
        <xdr:sp macro="" textlink="">
          <xdr:nvSpPr>
            <xdr:cNvPr id="2049" name="Button 1" hidden="1">
              <a:extLst>
                <a:ext uri="{63B3BB69-23CF-44E3-9099-C40C66FF867C}">
                  <a14:compatExt spid="_x0000_s2049"/>
                </a:ext>
                <a:ext uri="{FF2B5EF4-FFF2-40B4-BE49-F238E27FC236}">
                  <a16:creationId xmlns=""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Scale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54</xdr:row>
          <xdr:rowOff>9525</xdr:rowOff>
        </xdr:from>
        <xdr:to>
          <xdr:col>4</xdr:col>
          <xdr:colOff>457200</xdr:colOff>
          <xdr:row>56</xdr:row>
          <xdr:rowOff>28575</xdr:rowOff>
        </xdr:to>
        <xdr:sp macro="" textlink="">
          <xdr:nvSpPr>
            <xdr:cNvPr id="2050" name="Button 2" hidden="1">
              <a:extLst>
                <a:ext uri="{63B3BB69-23CF-44E3-9099-C40C66FF867C}">
                  <a14:compatExt spid="_x0000_s2050"/>
                </a:ext>
                <a:ext uri="{FF2B5EF4-FFF2-40B4-BE49-F238E27FC236}">
                  <a16:creationId xmlns=""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Update Table: *.dataout.xml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60</xdr:row>
          <xdr:rowOff>9525</xdr:rowOff>
        </xdr:from>
        <xdr:to>
          <xdr:col>4</xdr:col>
          <xdr:colOff>457200</xdr:colOff>
          <xdr:row>62</xdr:row>
          <xdr:rowOff>28575</xdr:rowOff>
        </xdr:to>
        <xdr:sp macro="" textlink="">
          <xdr:nvSpPr>
            <xdr:cNvPr id="2052" name="Button 4" hidden="1">
              <a:extLst>
                <a:ext uri="{63B3BB69-23CF-44E3-9099-C40C66FF867C}">
                  <a14:compatExt spid="_x0000_s2052"/>
                </a:ext>
                <a:ext uri="{FF2B5EF4-FFF2-40B4-BE49-F238E27FC236}">
                  <a16:creationId xmlns=""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Update Chart Ranges</a:t>
              </a:r>
            </a:p>
          </xdr:txBody>
        </xdr:sp>
        <xdr:clientData fPrintsWithSheet="0"/>
      </xdr:twoCellAnchor>
    </mc:Choice>
    <mc:Fallback/>
  </mc:AlternateContent>
  <xdr:twoCellAnchor>
    <xdr:from>
      <xdr:col>47</xdr:col>
      <xdr:colOff>40825</xdr:colOff>
      <xdr:row>17</xdr:row>
      <xdr:rowOff>24495</xdr:rowOff>
    </xdr:from>
    <xdr:to>
      <xdr:col>53</xdr:col>
      <xdr:colOff>481696</xdr:colOff>
      <xdr:row>33</xdr:row>
      <xdr:rowOff>147701</xdr:rowOff>
    </xdr:to>
    <xdr:graphicFrame macro="">
      <xdr:nvGraphicFramePr>
        <xdr:cNvPr id="42" name="Chart 82">
          <a:extLst>
            <a:ext uri="{FF2B5EF4-FFF2-40B4-BE49-F238E27FC236}">
              <a16:creationId xmlns="" xmlns:a16="http://schemas.microsoft.com/office/drawing/2014/main" id="{00000000-0008-0000-03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47</xdr:col>
      <xdr:colOff>40825</xdr:colOff>
      <xdr:row>34</xdr:row>
      <xdr:rowOff>20414</xdr:rowOff>
    </xdr:from>
    <xdr:to>
      <xdr:col>53</xdr:col>
      <xdr:colOff>481696</xdr:colOff>
      <xdr:row>50</xdr:row>
      <xdr:rowOff>143621</xdr:rowOff>
    </xdr:to>
    <xdr:graphicFrame macro="">
      <xdr:nvGraphicFramePr>
        <xdr:cNvPr id="43" name="Chart 83">
          <a:extLst>
            <a:ext uri="{FF2B5EF4-FFF2-40B4-BE49-F238E27FC236}">
              <a16:creationId xmlns=""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0</xdr:col>
          <xdr:colOff>161925</xdr:colOff>
          <xdr:row>63</xdr:row>
          <xdr:rowOff>9525</xdr:rowOff>
        </xdr:from>
        <xdr:to>
          <xdr:col>4</xdr:col>
          <xdr:colOff>457200</xdr:colOff>
          <xdr:row>65</xdr:row>
          <xdr:rowOff>28575</xdr:rowOff>
        </xdr:to>
        <xdr:sp macro="" textlink="">
          <xdr:nvSpPr>
            <xdr:cNvPr id="2056" name="Button 8" hidden="1">
              <a:extLst>
                <a:ext uri="{63B3BB69-23CF-44E3-9099-C40C66FF867C}">
                  <a14:compatExt spid="_x0000_s2056"/>
                </a:ext>
                <a:ext uri="{FF2B5EF4-FFF2-40B4-BE49-F238E27FC236}">
                  <a16:creationId xmlns=""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Update Chart Filter</a:t>
              </a:r>
            </a:p>
          </xdr:txBody>
        </xdr:sp>
        <xdr:clientData fPrintsWithSheet="0"/>
      </xdr:twoCellAnchor>
    </mc:Choice>
    <mc:Fallback/>
  </mc:AlternateContent>
  <xdr:twoCellAnchor>
    <xdr:from>
      <xdr:col>0</xdr:col>
      <xdr:colOff>54429</xdr:colOff>
      <xdr:row>0</xdr:row>
      <xdr:rowOff>40823</xdr:rowOff>
    </xdr:from>
    <xdr:to>
      <xdr:col>6</xdr:col>
      <xdr:colOff>495300</xdr:colOff>
      <xdr:row>17</xdr:row>
      <xdr:rowOff>744</xdr:rowOff>
    </xdr:to>
    <xdr:graphicFrame macro="">
      <xdr:nvGraphicFramePr>
        <xdr:cNvPr id="44" name="Chart 11">
          <a:extLst>
            <a:ext uri="{FF2B5EF4-FFF2-40B4-BE49-F238E27FC236}">
              <a16:creationId xmlns="" xmlns:a16="http://schemas.microsoft.com/office/drawing/2014/main" id="{00000000-0008-0000-03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54428</xdr:colOff>
      <xdr:row>17</xdr:row>
      <xdr:rowOff>32041</xdr:rowOff>
    </xdr:from>
    <xdr:to>
      <xdr:col>6</xdr:col>
      <xdr:colOff>495299</xdr:colOff>
      <xdr:row>33</xdr:row>
      <xdr:rowOff>162669</xdr:rowOff>
    </xdr:to>
    <xdr:graphicFrame macro="">
      <xdr:nvGraphicFramePr>
        <xdr:cNvPr id="45" name="Chart 12">
          <a:extLst>
            <a:ext uri="{FF2B5EF4-FFF2-40B4-BE49-F238E27FC236}">
              <a16:creationId xmlns="" xmlns:a16="http://schemas.microsoft.com/office/drawing/2014/main" id="{00000000-0008-0000-03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54428</xdr:colOff>
      <xdr:row>34</xdr:row>
      <xdr:rowOff>27960</xdr:rowOff>
    </xdr:from>
    <xdr:to>
      <xdr:col>6</xdr:col>
      <xdr:colOff>495299</xdr:colOff>
      <xdr:row>51</xdr:row>
      <xdr:rowOff>2725</xdr:rowOff>
    </xdr:to>
    <xdr:graphicFrame macro="">
      <xdr:nvGraphicFramePr>
        <xdr:cNvPr id="46" name="Chart 13">
          <a:extLst>
            <a:ext uri="{FF2B5EF4-FFF2-40B4-BE49-F238E27FC236}">
              <a16:creationId xmlns="" xmlns:a16="http://schemas.microsoft.com/office/drawing/2014/main" id="{00000000-0008-0000-03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489856</xdr:colOff>
      <xdr:row>0</xdr:row>
      <xdr:rowOff>40822</xdr:rowOff>
    </xdr:from>
    <xdr:to>
      <xdr:col>13</xdr:col>
      <xdr:colOff>318406</xdr:colOff>
      <xdr:row>17</xdr:row>
      <xdr:rowOff>743</xdr:rowOff>
    </xdr:to>
    <xdr:graphicFrame macro="">
      <xdr:nvGraphicFramePr>
        <xdr:cNvPr id="47" name="Chart 21">
          <a:extLst>
            <a:ext uri="{FF2B5EF4-FFF2-40B4-BE49-F238E27FC236}">
              <a16:creationId xmlns="" xmlns:a16="http://schemas.microsoft.com/office/drawing/2014/main" id="{00000000-0008-0000-03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489856</xdr:colOff>
      <xdr:row>17</xdr:row>
      <xdr:rowOff>32041</xdr:rowOff>
    </xdr:from>
    <xdr:to>
      <xdr:col>13</xdr:col>
      <xdr:colOff>318406</xdr:colOff>
      <xdr:row>33</xdr:row>
      <xdr:rowOff>162669</xdr:rowOff>
    </xdr:to>
    <xdr:graphicFrame macro="">
      <xdr:nvGraphicFramePr>
        <xdr:cNvPr id="48" name="Chart 22">
          <a:extLst>
            <a:ext uri="{FF2B5EF4-FFF2-40B4-BE49-F238E27FC236}">
              <a16:creationId xmlns="" xmlns:a16="http://schemas.microsoft.com/office/drawing/2014/main" id="{00000000-0008-0000-03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489856</xdr:colOff>
      <xdr:row>34</xdr:row>
      <xdr:rowOff>27960</xdr:rowOff>
    </xdr:from>
    <xdr:to>
      <xdr:col>13</xdr:col>
      <xdr:colOff>318406</xdr:colOff>
      <xdr:row>51</xdr:row>
      <xdr:rowOff>2725</xdr:rowOff>
    </xdr:to>
    <xdr:graphicFrame macro="">
      <xdr:nvGraphicFramePr>
        <xdr:cNvPr id="49" name="Chart 23">
          <a:extLst>
            <a:ext uri="{FF2B5EF4-FFF2-40B4-BE49-F238E27FC236}">
              <a16:creationId xmlns="" xmlns:a16="http://schemas.microsoft.com/office/drawing/2014/main" id="{00000000-0008-0000-03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312964</xdr:colOff>
      <xdr:row>0</xdr:row>
      <xdr:rowOff>40822</xdr:rowOff>
    </xdr:from>
    <xdr:to>
      <xdr:col>20</xdr:col>
      <xdr:colOff>141514</xdr:colOff>
      <xdr:row>17</xdr:row>
      <xdr:rowOff>743</xdr:rowOff>
    </xdr:to>
    <xdr:graphicFrame macro="">
      <xdr:nvGraphicFramePr>
        <xdr:cNvPr id="50" name="Chart 31">
          <a:extLst>
            <a:ext uri="{FF2B5EF4-FFF2-40B4-BE49-F238E27FC236}">
              <a16:creationId xmlns="" xmlns:a16="http://schemas.microsoft.com/office/drawing/2014/main" id="{00000000-0008-0000-03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312964</xdr:colOff>
      <xdr:row>17</xdr:row>
      <xdr:rowOff>32041</xdr:rowOff>
    </xdr:from>
    <xdr:to>
      <xdr:col>20</xdr:col>
      <xdr:colOff>141514</xdr:colOff>
      <xdr:row>33</xdr:row>
      <xdr:rowOff>162669</xdr:rowOff>
    </xdr:to>
    <xdr:graphicFrame macro="">
      <xdr:nvGraphicFramePr>
        <xdr:cNvPr id="51" name="Chart 32">
          <a:extLst>
            <a:ext uri="{FF2B5EF4-FFF2-40B4-BE49-F238E27FC236}">
              <a16:creationId xmlns="" xmlns:a16="http://schemas.microsoft.com/office/drawing/2014/main" id="{00000000-0008-0000-03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26</xdr:col>
      <xdr:colOff>571500</xdr:colOff>
      <xdr:row>0</xdr:row>
      <xdr:rowOff>27214</xdr:rowOff>
    </xdr:from>
    <xdr:to>
      <xdr:col>33</xdr:col>
      <xdr:colOff>400050</xdr:colOff>
      <xdr:row>16</xdr:row>
      <xdr:rowOff>150421</xdr:rowOff>
    </xdr:to>
    <xdr:graphicFrame macro="">
      <xdr:nvGraphicFramePr>
        <xdr:cNvPr id="53" name="Chart 51">
          <a:extLst>
            <a:ext uri="{FF2B5EF4-FFF2-40B4-BE49-F238E27FC236}">
              <a16:creationId xmlns="" xmlns:a16="http://schemas.microsoft.com/office/drawing/2014/main" id="{00000000-0008-0000-03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26</xdr:col>
      <xdr:colOff>571500</xdr:colOff>
      <xdr:row>17</xdr:row>
      <xdr:rowOff>32040</xdr:rowOff>
    </xdr:from>
    <xdr:to>
      <xdr:col>33</xdr:col>
      <xdr:colOff>400050</xdr:colOff>
      <xdr:row>33</xdr:row>
      <xdr:rowOff>162668</xdr:rowOff>
    </xdr:to>
    <xdr:graphicFrame macro="">
      <xdr:nvGraphicFramePr>
        <xdr:cNvPr id="54" name="Chart 52">
          <a:extLst>
            <a:ext uri="{FF2B5EF4-FFF2-40B4-BE49-F238E27FC236}">
              <a16:creationId xmlns="" xmlns:a16="http://schemas.microsoft.com/office/drawing/2014/main" id="{00000000-0008-0000-03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33</xdr:col>
      <xdr:colOff>394607</xdr:colOff>
      <xdr:row>0</xdr:row>
      <xdr:rowOff>27214</xdr:rowOff>
    </xdr:from>
    <xdr:to>
      <xdr:col>40</xdr:col>
      <xdr:colOff>223157</xdr:colOff>
      <xdr:row>16</xdr:row>
      <xdr:rowOff>150421</xdr:rowOff>
    </xdr:to>
    <xdr:graphicFrame macro="">
      <xdr:nvGraphicFramePr>
        <xdr:cNvPr id="56" name="Chart 61">
          <a:extLst>
            <a:ext uri="{FF2B5EF4-FFF2-40B4-BE49-F238E27FC236}">
              <a16:creationId xmlns="" xmlns:a16="http://schemas.microsoft.com/office/drawing/2014/main" id="{00000000-0008-0000-03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33</xdr:col>
      <xdr:colOff>394607</xdr:colOff>
      <xdr:row>17</xdr:row>
      <xdr:rowOff>32040</xdr:rowOff>
    </xdr:from>
    <xdr:to>
      <xdr:col>40</xdr:col>
      <xdr:colOff>223157</xdr:colOff>
      <xdr:row>33</xdr:row>
      <xdr:rowOff>162668</xdr:rowOff>
    </xdr:to>
    <xdr:graphicFrame macro="">
      <xdr:nvGraphicFramePr>
        <xdr:cNvPr id="57" name="Chart 62">
          <a:extLst>
            <a:ext uri="{FF2B5EF4-FFF2-40B4-BE49-F238E27FC236}">
              <a16:creationId xmlns="" xmlns:a16="http://schemas.microsoft.com/office/drawing/2014/main" id="{00000000-0008-0000-03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33</xdr:col>
      <xdr:colOff>394607</xdr:colOff>
      <xdr:row>34</xdr:row>
      <xdr:rowOff>27959</xdr:rowOff>
    </xdr:from>
    <xdr:to>
      <xdr:col>40</xdr:col>
      <xdr:colOff>223157</xdr:colOff>
      <xdr:row>51</xdr:row>
      <xdr:rowOff>2724</xdr:rowOff>
    </xdr:to>
    <xdr:graphicFrame macro="">
      <xdr:nvGraphicFramePr>
        <xdr:cNvPr id="58" name="Chart 63">
          <a:extLst>
            <a:ext uri="{FF2B5EF4-FFF2-40B4-BE49-F238E27FC236}">
              <a16:creationId xmlns="" xmlns:a16="http://schemas.microsoft.com/office/drawing/2014/main" id="{00000000-0008-0000-03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40</xdr:col>
      <xdr:colOff>217715</xdr:colOff>
      <xdr:row>0</xdr:row>
      <xdr:rowOff>27215</xdr:rowOff>
    </xdr:from>
    <xdr:to>
      <xdr:col>47</xdr:col>
      <xdr:colOff>46265</xdr:colOff>
      <xdr:row>16</xdr:row>
      <xdr:rowOff>150422</xdr:rowOff>
    </xdr:to>
    <xdr:graphicFrame macro="">
      <xdr:nvGraphicFramePr>
        <xdr:cNvPr id="59" name="Chart 71">
          <a:extLst>
            <a:ext uri="{FF2B5EF4-FFF2-40B4-BE49-F238E27FC236}">
              <a16:creationId xmlns="" xmlns:a16="http://schemas.microsoft.com/office/drawing/2014/main" id="{00000000-0008-0000-03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47</xdr:col>
      <xdr:colOff>40821</xdr:colOff>
      <xdr:row>0</xdr:row>
      <xdr:rowOff>27214</xdr:rowOff>
    </xdr:from>
    <xdr:to>
      <xdr:col>53</xdr:col>
      <xdr:colOff>481692</xdr:colOff>
      <xdr:row>16</xdr:row>
      <xdr:rowOff>150421</xdr:rowOff>
    </xdr:to>
    <xdr:graphicFrame macro="">
      <xdr:nvGraphicFramePr>
        <xdr:cNvPr id="60" name="Chart 81">
          <a:extLst>
            <a:ext uri="{FF2B5EF4-FFF2-40B4-BE49-F238E27FC236}">
              <a16:creationId xmlns="" xmlns:a16="http://schemas.microsoft.com/office/drawing/2014/main" id="{00000000-0008-0000-03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22</xdr:col>
      <xdr:colOff>13609</xdr:colOff>
      <xdr:row>62</xdr:row>
      <xdr:rowOff>13608</xdr:rowOff>
    </xdr:from>
    <xdr:to>
      <xdr:col>23</xdr:col>
      <xdr:colOff>1</xdr:colOff>
      <xdr:row>81</xdr:row>
      <xdr:rowOff>157299</xdr:rowOff>
    </xdr:to>
    <xdr:grpSp>
      <xdr:nvGrpSpPr>
        <xdr:cNvPr id="3" name="Group 2">
          <a:extLst>
            <a:ext uri="{FF2B5EF4-FFF2-40B4-BE49-F238E27FC236}">
              <a16:creationId xmlns="" xmlns:a16="http://schemas.microsoft.com/office/drawing/2014/main" id="{00000000-0008-0000-0300-000003000000}"/>
            </a:ext>
          </a:extLst>
        </xdr:cNvPr>
        <xdr:cNvGrpSpPr/>
      </xdr:nvGrpSpPr>
      <xdr:grpSpPr>
        <a:xfrm>
          <a:off x="13484680" y="10137322"/>
          <a:ext cx="598714" cy="3246120"/>
          <a:chOff x="13484680" y="10137322"/>
          <a:chExt cx="598714" cy="3246120"/>
        </a:xfrm>
      </xdr:grpSpPr>
      <xdr:graphicFrame macro="">
        <xdr:nvGraphicFramePr>
          <xdr:cNvPr id="35" name="Chart 1">
            <a:extLst>
              <a:ext uri="{FF2B5EF4-FFF2-40B4-BE49-F238E27FC236}">
                <a16:creationId xmlns="" xmlns:a16="http://schemas.microsoft.com/office/drawing/2014/main" id="{00000000-0008-0000-0300-000023000000}"/>
              </a:ext>
            </a:extLst>
          </xdr:cNvPr>
          <xdr:cNvGraphicFramePr>
            <a:graphicFrameLocks/>
          </xdr:cNvGraphicFramePr>
        </xdr:nvGraphicFramePr>
        <xdr:xfrm>
          <a:off x="13484680" y="10137322"/>
          <a:ext cx="598714" cy="3246120"/>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2" name="Rectangle 1">
            <a:extLst>
              <a:ext uri="{FF2B5EF4-FFF2-40B4-BE49-F238E27FC236}">
                <a16:creationId xmlns="" xmlns:a16="http://schemas.microsoft.com/office/drawing/2014/main" id="{00000000-0008-0000-0300-000002000000}"/>
              </a:ext>
            </a:extLst>
          </xdr:cNvPr>
          <xdr:cNvSpPr/>
        </xdr:nvSpPr>
        <xdr:spPr>
          <a:xfrm>
            <a:off x="13784035" y="10504715"/>
            <a:ext cx="231321" cy="269421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312964</xdr:colOff>
      <xdr:row>34</xdr:row>
      <xdr:rowOff>27215</xdr:rowOff>
    </xdr:from>
    <xdr:to>
      <xdr:col>20</xdr:col>
      <xdr:colOff>141514</xdr:colOff>
      <xdr:row>51</xdr:row>
      <xdr:rowOff>1980</xdr:rowOff>
    </xdr:to>
    <xdr:graphicFrame macro="">
      <xdr:nvGraphicFramePr>
        <xdr:cNvPr id="36" name="Chart 33">
          <a:extLst>
            <a:ext uri="{FF2B5EF4-FFF2-40B4-BE49-F238E27FC236}">
              <a16:creationId xmlns="" xmlns:a16="http://schemas.microsoft.com/office/drawing/2014/main" id="{00000000-0008-0000-0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20</xdr:col>
      <xdr:colOff>136071</xdr:colOff>
      <xdr:row>34</xdr:row>
      <xdr:rowOff>27215</xdr:rowOff>
    </xdr:from>
    <xdr:to>
      <xdr:col>26</xdr:col>
      <xdr:colOff>576943</xdr:colOff>
      <xdr:row>51</xdr:row>
      <xdr:rowOff>1980</xdr:rowOff>
    </xdr:to>
    <xdr:graphicFrame macro="">
      <xdr:nvGraphicFramePr>
        <xdr:cNvPr id="37" name="Chart 43">
          <a:extLst>
            <a:ext uri="{FF2B5EF4-FFF2-40B4-BE49-F238E27FC236}">
              <a16:creationId xmlns="" xmlns:a16="http://schemas.microsoft.com/office/drawing/2014/main" id="{00000000-0008-0000-0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26</xdr:col>
      <xdr:colOff>571500</xdr:colOff>
      <xdr:row>34</xdr:row>
      <xdr:rowOff>27214</xdr:rowOff>
    </xdr:from>
    <xdr:to>
      <xdr:col>33</xdr:col>
      <xdr:colOff>400050</xdr:colOff>
      <xdr:row>51</xdr:row>
      <xdr:rowOff>1979</xdr:rowOff>
    </xdr:to>
    <xdr:graphicFrame macro="">
      <xdr:nvGraphicFramePr>
        <xdr:cNvPr id="38" name="Chart 53">
          <a:extLst>
            <a:ext uri="{FF2B5EF4-FFF2-40B4-BE49-F238E27FC236}">
              <a16:creationId xmlns=""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40821</xdr:colOff>
      <xdr:row>0</xdr:row>
      <xdr:rowOff>119187</xdr:rowOff>
    </xdr:from>
    <xdr:to>
      <xdr:col>7</xdr:col>
      <xdr:colOff>376997</xdr:colOff>
      <xdr:row>18</xdr:row>
      <xdr:rowOff>38504</xdr:rowOff>
    </xdr:to>
    <xdr:graphicFrame macro="">
      <xdr:nvGraphicFramePr>
        <xdr:cNvPr id="3" name="Chart 1">
          <a:extLst>
            <a:ext uri="{FF2B5EF4-FFF2-40B4-BE49-F238E27FC236}">
              <a16:creationId xmlns=""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40821</xdr:colOff>
      <xdr:row>18</xdr:row>
      <xdr:rowOff>66195</xdr:rowOff>
    </xdr:from>
    <xdr:to>
      <xdr:col>7</xdr:col>
      <xdr:colOff>384201</xdr:colOff>
      <xdr:row>35</xdr:row>
      <xdr:rowOff>148798</xdr:rowOff>
    </xdr:to>
    <xdr:graphicFrame macro="">
      <xdr:nvGraphicFramePr>
        <xdr:cNvPr id="4" name="Chart 2">
          <a:extLst>
            <a:ext uri="{FF2B5EF4-FFF2-40B4-BE49-F238E27FC236}">
              <a16:creationId xmlns=""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40821</xdr:colOff>
      <xdr:row>36</xdr:row>
      <xdr:rowOff>33231</xdr:rowOff>
    </xdr:from>
    <xdr:to>
      <xdr:col>7</xdr:col>
      <xdr:colOff>384202</xdr:colOff>
      <xdr:row>53</xdr:row>
      <xdr:rowOff>123255</xdr:rowOff>
    </xdr:to>
    <xdr:graphicFrame macro="">
      <xdr:nvGraphicFramePr>
        <xdr:cNvPr id="5" name="Chart 3">
          <a:extLst>
            <a:ext uri="{FF2B5EF4-FFF2-40B4-BE49-F238E27FC236}">
              <a16:creationId xmlns=""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427812</xdr:colOff>
      <xdr:row>0</xdr:row>
      <xdr:rowOff>121226</xdr:rowOff>
    </xdr:from>
    <xdr:to>
      <xdr:col>15</xdr:col>
      <xdr:colOff>151667</xdr:colOff>
      <xdr:row>18</xdr:row>
      <xdr:rowOff>34140</xdr:rowOff>
    </xdr:to>
    <xdr:graphicFrame macro="">
      <xdr:nvGraphicFramePr>
        <xdr:cNvPr id="6" name="Chart 4">
          <a:extLst>
            <a:ext uri="{FF2B5EF4-FFF2-40B4-BE49-F238E27FC236}">
              <a16:creationId xmlns=""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427812</xdr:colOff>
      <xdr:row>18</xdr:row>
      <xdr:rowOff>66195</xdr:rowOff>
    </xdr:from>
    <xdr:to>
      <xdr:col>15</xdr:col>
      <xdr:colOff>158871</xdr:colOff>
      <xdr:row>35</xdr:row>
      <xdr:rowOff>142395</xdr:rowOff>
    </xdr:to>
    <xdr:graphicFrame macro="">
      <xdr:nvGraphicFramePr>
        <xdr:cNvPr id="7" name="Chart 5">
          <a:extLst>
            <a:ext uri="{FF2B5EF4-FFF2-40B4-BE49-F238E27FC236}">
              <a16:creationId xmlns=""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427812</xdr:colOff>
      <xdr:row>36</xdr:row>
      <xdr:rowOff>33231</xdr:rowOff>
    </xdr:from>
    <xdr:to>
      <xdr:col>15</xdr:col>
      <xdr:colOff>158872</xdr:colOff>
      <xdr:row>53</xdr:row>
      <xdr:rowOff>102009</xdr:rowOff>
    </xdr:to>
    <xdr:graphicFrame macro="">
      <xdr:nvGraphicFramePr>
        <xdr:cNvPr id="8" name="Chart 6">
          <a:extLst>
            <a:ext uri="{FF2B5EF4-FFF2-40B4-BE49-F238E27FC236}">
              <a16:creationId xmlns=""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0</xdr:col>
          <xdr:colOff>171450</xdr:colOff>
          <xdr:row>59</xdr:row>
          <xdr:rowOff>161925</xdr:rowOff>
        </xdr:from>
        <xdr:to>
          <xdr:col>4</xdr:col>
          <xdr:colOff>466725</xdr:colOff>
          <xdr:row>62</xdr:row>
          <xdr:rowOff>19050</xdr:rowOff>
        </xdr:to>
        <xdr:sp macro="" textlink="">
          <xdr:nvSpPr>
            <xdr:cNvPr id="6147" name="Button 3" hidden="1">
              <a:extLst>
                <a:ext uri="{63B3BB69-23CF-44E3-9099-C40C66FF867C}">
                  <a14:compatExt spid="_x0000_s6147"/>
                </a:ext>
                <a:ext uri="{FF2B5EF4-FFF2-40B4-BE49-F238E27FC236}">
                  <a16:creationId xmlns="" xmlns:a16="http://schemas.microsoft.com/office/drawing/2014/main" id="{00000000-0008-0000-0400-00000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Scale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62</xdr:row>
          <xdr:rowOff>161925</xdr:rowOff>
        </xdr:from>
        <xdr:to>
          <xdr:col>4</xdr:col>
          <xdr:colOff>466725</xdr:colOff>
          <xdr:row>65</xdr:row>
          <xdr:rowOff>19050</xdr:rowOff>
        </xdr:to>
        <xdr:sp macro="" textlink="">
          <xdr:nvSpPr>
            <xdr:cNvPr id="6149" name="Button 5" hidden="1">
              <a:extLst>
                <a:ext uri="{63B3BB69-23CF-44E3-9099-C40C66FF867C}">
                  <a14:compatExt spid="_x0000_s6149"/>
                </a:ext>
                <a:ext uri="{FF2B5EF4-FFF2-40B4-BE49-F238E27FC236}">
                  <a16:creationId xmlns="" xmlns:a16="http://schemas.microsoft.com/office/drawing/2014/main" id="{00000000-0008-0000-0400-000005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Update Chart Ranges</a:t>
              </a:r>
            </a:p>
          </xdr:txBody>
        </xdr:sp>
        <xdr:clientData fPrintsWithSheet="0"/>
      </xdr:twoCellAnchor>
    </mc:Choice>
    <mc:Fallback/>
  </mc:AlternateContent>
  <xdr:twoCellAnchor>
    <xdr:from>
      <xdr:col>15</xdr:col>
      <xdr:colOff>204140</xdr:colOff>
      <xdr:row>18</xdr:row>
      <xdr:rowOff>66195</xdr:rowOff>
    </xdr:from>
    <xdr:to>
      <xdr:col>22</xdr:col>
      <xdr:colOff>541334</xdr:colOff>
      <xdr:row>35</xdr:row>
      <xdr:rowOff>142394</xdr:rowOff>
    </xdr:to>
    <xdr:graphicFrame macro="">
      <xdr:nvGraphicFramePr>
        <xdr:cNvPr id="31" name="Chart 8">
          <a:extLst>
            <a:ext uri="{FF2B5EF4-FFF2-40B4-BE49-F238E27FC236}">
              <a16:creationId xmlns=""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204140</xdr:colOff>
      <xdr:row>36</xdr:row>
      <xdr:rowOff>33231</xdr:rowOff>
    </xdr:from>
    <xdr:to>
      <xdr:col>22</xdr:col>
      <xdr:colOff>541335</xdr:colOff>
      <xdr:row>53</xdr:row>
      <xdr:rowOff>109430</xdr:rowOff>
    </xdr:to>
    <xdr:graphicFrame macro="">
      <xdr:nvGraphicFramePr>
        <xdr:cNvPr id="32" name="Chart 9">
          <a:extLst>
            <a:ext uri="{FF2B5EF4-FFF2-40B4-BE49-F238E27FC236}">
              <a16:creationId xmlns=""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597188</xdr:colOff>
      <xdr:row>0</xdr:row>
      <xdr:rowOff>119187</xdr:rowOff>
    </xdr:from>
    <xdr:to>
      <xdr:col>30</xdr:col>
      <xdr:colOff>321043</xdr:colOff>
      <xdr:row>18</xdr:row>
      <xdr:rowOff>39524</xdr:rowOff>
    </xdr:to>
    <xdr:graphicFrame macro="">
      <xdr:nvGraphicFramePr>
        <xdr:cNvPr id="13" name="Chart 10">
          <a:extLst>
            <a:ext uri="{FF2B5EF4-FFF2-40B4-BE49-F238E27FC236}">
              <a16:creationId xmlns=""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597188</xdr:colOff>
      <xdr:row>18</xdr:row>
      <xdr:rowOff>66195</xdr:rowOff>
    </xdr:from>
    <xdr:to>
      <xdr:col>30</xdr:col>
      <xdr:colOff>334432</xdr:colOff>
      <xdr:row>35</xdr:row>
      <xdr:rowOff>134973</xdr:rowOff>
    </xdr:to>
    <xdr:graphicFrame macro="">
      <xdr:nvGraphicFramePr>
        <xdr:cNvPr id="14" name="Chart 11">
          <a:extLst>
            <a:ext uri="{FF2B5EF4-FFF2-40B4-BE49-F238E27FC236}">
              <a16:creationId xmlns=""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22</xdr:col>
      <xdr:colOff>597188</xdr:colOff>
      <xdr:row>36</xdr:row>
      <xdr:rowOff>33231</xdr:rowOff>
    </xdr:from>
    <xdr:to>
      <xdr:col>30</xdr:col>
      <xdr:colOff>328248</xdr:colOff>
      <xdr:row>53</xdr:row>
      <xdr:rowOff>102010</xdr:rowOff>
    </xdr:to>
    <xdr:graphicFrame macro="">
      <xdr:nvGraphicFramePr>
        <xdr:cNvPr id="15" name="Chart 12">
          <a:extLst>
            <a:ext uri="{FF2B5EF4-FFF2-40B4-BE49-F238E27FC236}">
              <a16:creationId xmlns=""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383037</xdr:colOff>
      <xdr:row>0</xdr:row>
      <xdr:rowOff>119187</xdr:rowOff>
    </xdr:from>
    <xdr:to>
      <xdr:col>38</xdr:col>
      <xdr:colOff>113077</xdr:colOff>
      <xdr:row>18</xdr:row>
      <xdr:rowOff>38554</xdr:rowOff>
    </xdr:to>
    <xdr:graphicFrame macro="">
      <xdr:nvGraphicFramePr>
        <xdr:cNvPr id="16" name="Chart 13">
          <a:extLst>
            <a:ext uri="{FF2B5EF4-FFF2-40B4-BE49-F238E27FC236}">
              <a16:creationId xmlns=""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30</xdr:col>
      <xdr:colOff>383037</xdr:colOff>
      <xdr:row>18</xdr:row>
      <xdr:rowOff>66195</xdr:rowOff>
    </xdr:from>
    <xdr:to>
      <xdr:col>38</xdr:col>
      <xdr:colOff>114095</xdr:colOff>
      <xdr:row>35</xdr:row>
      <xdr:rowOff>141374</xdr:rowOff>
    </xdr:to>
    <xdr:graphicFrame macro="">
      <xdr:nvGraphicFramePr>
        <xdr:cNvPr id="17" name="Chart 14">
          <a:extLst>
            <a:ext uri="{FF2B5EF4-FFF2-40B4-BE49-F238E27FC236}">
              <a16:creationId xmlns=""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383037</xdr:colOff>
      <xdr:row>36</xdr:row>
      <xdr:rowOff>33231</xdr:rowOff>
    </xdr:from>
    <xdr:to>
      <xdr:col>38</xdr:col>
      <xdr:colOff>114096</xdr:colOff>
      <xdr:row>53</xdr:row>
      <xdr:rowOff>108411</xdr:rowOff>
    </xdr:to>
    <xdr:graphicFrame macro="">
      <xdr:nvGraphicFramePr>
        <xdr:cNvPr id="18" name="Chart 15">
          <a:extLst>
            <a:ext uri="{FF2B5EF4-FFF2-40B4-BE49-F238E27FC236}">
              <a16:creationId xmlns=""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38</xdr:col>
      <xdr:colOff>175227</xdr:colOff>
      <xdr:row>0</xdr:row>
      <xdr:rowOff>119187</xdr:rowOff>
    </xdr:from>
    <xdr:to>
      <xdr:col>45</xdr:col>
      <xdr:colOff>511404</xdr:colOff>
      <xdr:row>18</xdr:row>
      <xdr:rowOff>39523</xdr:rowOff>
    </xdr:to>
    <xdr:graphicFrame macro="">
      <xdr:nvGraphicFramePr>
        <xdr:cNvPr id="19" name="Chart 16">
          <a:extLst>
            <a:ext uri="{FF2B5EF4-FFF2-40B4-BE49-F238E27FC236}">
              <a16:creationId xmlns=""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38</xdr:col>
      <xdr:colOff>175227</xdr:colOff>
      <xdr:row>18</xdr:row>
      <xdr:rowOff>66195</xdr:rowOff>
    </xdr:from>
    <xdr:to>
      <xdr:col>45</xdr:col>
      <xdr:colOff>512422</xdr:colOff>
      <xdr:row>35</xdr:row>
      <xdr:rowOff>142394</xdr:rowOff>
    </xdr:to>
    <xdr:graphicFrame macro="">
      <xdr:nvGraphicFramePr>
        <xdr:cNvPr id="20" name="Chart 17">
          <a:extLst>
            <a:ext uri="{FF2B5EF4-FFF2-40B4-BE49-F238E27FC236}">
              <a16:creationId xmlns=""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38</xdr:col>
      <xdr:colOff>175227</xdr:colOff>
      <xdr:row>36</xdr:row>
      <xdr:rowOff>33231</xdr:rowOff>
    </xdr:from>
    <xdr:to>
      <xdr:col>45</xdr:col>
      <xdr:colOff>512423</xdr:colOff>
      <xdr:row>53</xdr:row>
      <xdr:rowOff>109431</xdr:rowOff>
    </xdr:to>
    <xdr:graphicFrame macro="">
      <xdr:nvGraphicFramePr>
        <xdr:cNvPr id="21" name="Chart 18">
          <a:extLst>
            <a:ext uri="{FF2B5EF4-FFF2-40B4-BE49-F238E27FC236}">
              <a16:creationId xmlns="" xmlns:a16="http://schemas.microsoft.com/office/drawing/2014/main" id="{00000000-0008-0000-0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171450</xdr:colOff>
          <xdr:row>57</xdr:row>
          <xdr:rowOff>9525</xdr:rowOff>
        </xdr:from>
        <xdr:to>
          <xdr:col>4</xdr:col>
          <xdr:colOff>466725</xdr:colOff>
          <xdr:row>59</xdr:row>
          <xdr:rowOff>28575</xdr:rowOff>
        </xdr:to>
        <xdr:sp macro="" textlink="">
          <xdr:nvSpPr>
            <xdr:cNvPr id="6150" name="Button 6" hidden="1">
              <a:extLst>
                <a:ext uri="{63B3BB69-23CF-44E3-9099-C40C66FF867C}">
                  <a14:compatExt spid="_x0000_s6150"/>
                </a:ext>
                <a:ext uri="{FF2B5EF4-FFF2-40B4-BE49-F238E27FC236}">
                  <a16:creationId xmlns="" xmlns:a16="http://schemas.microsoft.com/office/drawing/2014/main" id="{00000000-0008-0000-0400-000006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Update Table: *.dataout.xml</a:t>
              </a:r>
            </a:p>
          </xdr:txBody>
        </xdr:sp>
        <xdr:clientData fPrintsWithSheet="0"/>
      </xdr:twoCellAnchor>
    </mc:Choice>
    <mc:Fallback/>
  </mc:AlternateContent>
  <xdr:twoCellAnchor>
    <xdr:from>
      <xdr:col>15</xdr:col>
      <xdr:colOff>204140</xdr:colOff>
      <xdr:row>0</xdr:row>
      <xdr:rowOff>121226</xdr:rowOff>
    </xdr:from>
    <xdr:to>
      <xdr:col>22</xdr:col>
      <xdr:colOff>541334</xdr:colOff>
      <xdr:row>18</xdr:row>
      <xdr:rowOff>41562</xdr:rowOff>
    </xdr:to>
    <xdr:graphicFrame macro="">
      <xdr:nvGraphicFramePr>
        <xdr:cNvPr id="23" name="Chart 7">
          <a:extLst>
            <a:ext uri="{FF2B5EF4-FFF2-40B4-BE49-F238E27FC236}">
              <a16:creationId xmlns="" xmlns:a16="http://schemas.microsoft.com/office/drawing/2014/main" id="{00000000-0008-0000-04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absoluteAnchor>
    <xdr:pos x="0" y="0"/>
    <xdr:ext cx="8668550" cy="6291303"/>
    <xdr:graphicFrame macro="">
      <xdr:nvGraphicFramePr>
        <xdr:cNvPr id="2" name="Chart 1">
          <a:extLst>
            <a:ext uri="{FF2B5EF4-FFF2-40B4-BE49-F238E27FC236}">
              <a16:creationId xmlns=""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2</xdr:row>
          <xdr:rowOff>0</xdr:rowOff>
        </xdr:from>
        <xdr:to>
          <xdr:col>6</xdr:col>
          <xdr:colOff>0</xdr:colOff>
          <xdr:row>3</xdr:row>
          <xdr:rowOff>19050</xdr:rowOff>
        </xdr:to>
        <xdr:sp macro="" textlink="">
          <xdr:nvSpPr>
            <xdr:cNvPr id="10242" name="Drop Down 2" hidden="1">
              <a:extLst>
                <a:ext uri="{63B3BB69-23CF-44E3-9099-C40C66FF867C}">
                  <a14:compatExt spid="_x0000_s10242"/>
                </a:ext>
                <a:ext uri="{FF2B5EF4-FFF2-40B4-BE49-F238E27FC236}">
                  <a16:creationId xmlns="" xmlns:a16="http://schemas.microsoft.com/office/drawing/2014/main" id="{00000000-0008-0000-06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3257550</xdr:colOff>
          <xdr:row>2</xdr:row>
          <xdr:rowOff>38100</xdr:rowOff>
        </xdr:from>
        <xdr:to>
          <xdr:col>6</xdr:col>
          <xdr:colOff>5067300</xdr:colOff>
          <xdr:row>4</xdr:row>
          <xdr:rowOff>19050</xdr:rowOff>
        </xdr:to>
        <xdr:sp macro="" textlink="">
          <xdr:nvSpPr>
            <xdr:cNvPr id="10244" name="Button 4" hidden="1">
              <a:extLst>
                <a:ext uri="{63B3BB69-23CF-44E3-9099-C40C66FF867C}">
                  <a14:compatExt spid="_x0000_s10244"/>
                </a:ext>
                <a:ext uri="{FF2B5EF4-FFF2-40B4-BE49-F238E27FC236}">
                  <a16:creationId xmlns="" xmlns:a16="http://schemas.microsoft.com/office/drawing/2014/main" id="{00000000-0008-0000-0600-000004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Comp Table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3257550</xdr:colOff>
          <xdr:row>2</xdr:row>
          <xdr:rowOff>38100</xdr:rowOff>
        </xdr:from>
        <xdr:to>
          <xdr:col>2</xdr:col>
          <xdr:colOff>5067300</xdr:colOff>
          <xdr:row>4</xdr:row>
          <xdr:rowOff>19050</xdr:rowOff>
        </xdr:to>
        <xdr:sp macro="" textlink="">
          <xdr:nvSpPr>
            <xdr:cNvPr id="10246" name="Button 6" hidden="1">
              <a:extLst>
                <a:ext uri="{63B3BB69-23CF-44E3-9099-C40C66FF867C}">
                  <a14:compatExt spid="_x0000_s10246"/>
                </a:ext>
                <a:ext uri="{FF2B5EF4-FFF2-40B4-BE49-F238E27FC236}">
                  <a16:creationId xmlns="" xmlns:a16="http://schemas.microsoft.com/office/drawing/2014/main" id="{00000000-0008-0000-0600-00000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Comp Table Values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38100</xdr:rowOff>
    </xdr:from>
    <xdr:to>
      <xdr:col>13</xdr:col>
      <xdr:colOff>45720</xdr:colOff>
      <xdr:row>23</xdr:row>
      <xdr:rowOff>57150</xdr:rowOff>
    </xdr:to>
    <xdr:graphicFrame macro="">
      <xdr:nvGraphicFramePr>
        <xdr:cNvPr id="2" name="Chart 1">
          <a:extLst>
            <a:ext uri="{FF2B5EF4-FFF2-40B4-BE49-F238E27FC236}">
              <a16:creationId xmlns=""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91440</xdr:colOff>
      <xdr:row>0</xdr:row>
      <xdr:rowOff>38100</xdr:rowOff>
    </xdr:from>
    <xdr:to>
      <xdr:col>25</xdr:col>
      <xdr:colOff>552450</xdr:colOff>
      <xdr:row>23</xdr:row>
      <xdr:rowOff>57150</xdr:rowOff>
    </xdr:to>
    <xdr:graphicFrame macro="">
      <xdr:nvGraphicFramePr>
        <xdr:cNvPr id="6" name="Chart 5">
          <a:extLst>
            <a:ext uri="{FF2B5EF4-FFF2-40B4-BE49-F238E27FC236}">
              <a16:creationId xmlns=""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19050</xdr:colOff>
          <xdr:row>26</xdr:row>
          <xdr:rowOff>28575</xdr:rowOff>
        </xdr:from>
        <xdr:to>
          <xdr:col>3</xdr:col>
          <xdr:colOff>476250</xdr:colOff>
          <xdr:row>27</xdr:row>
          <xdr:rowOff>142875</xdr:rowOff>
        </xdr:to>
        <xdr:sp macro="" textlink="">
          <xdr:nvSpPr>
            <xdr:cNvPr id="4097" name="Button 1" hidden="1">
              <a:extLst>
                <a:ext uri="{63B3BB69-23CF-44E3-9099-C40C66FF867C}">
                  <a14:compatExt spid="_x0000_s4097"/>
                </a:ext>
                <a:ext uri="{FF2B5EF4-FFF2-40B4-BE49-F238E27FC236}">
                  <a16:creationId xmlns=""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Table: *.config.xml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28</xdr:row>
          <xdr:rowOff>38100</xdr:rowOff>
        </xdr:from>
        <xdr:to>
          <xdr:col>3</xdr:col>
          <xdr:colOff>476250</xdr:colOff>
          <xdr:row>29</xdr:row>
          <xdr:rowOff>152400</xdr:rowOff>
        </xdr:to>
        <xdr:sp macro="" textlink="">
          <xdr:nvSpPr>
            <xdr:cNvPr id="4100" name="Button 4" hidden="1">
              <a:extLst>
                <a:ext uri="{63B3BB69-23CF-44E3-9099-C40C66FF867C}">
                  <a14:compatExt spid="_x0000_s4100"/>
                </a:ext>
                <a:ext uri="{FF2B5EF4-FFF2-40B4-BE49-F238E27FC236}">
                  <a16:creationId xmlns="" xmlns:a16="http://schemas.microsoft.com/office/drawing/2014/main" id="{00000000-0008-0000-08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Scale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24</xdr:row>
          <xdr:rowOff>19050</xdr:rowOff>
        </xdr:from>
        <xdr:to>
          <xdr:col>3</xdr:col>
          <xdr:colOff>476250</xdr:colOff>
          <xdr:row>25</xdr:row>
          <xdr:rowOff>133350</xdr:rowOff>
        </xdr:to>
        <xdr:sp macro="" textlink="">
          <xdr:nvSpPr>
            <xdr:cNvPr id="4105" name="Button 9" hidden="1">
              <a:extLst>
                <a:ext uri="{63B3BB69-23CF-44E3-9099-C40C66FF867C}">
                  <a14:compatExt spid="_x0000_s4105"/>
                </a:ext>
                <a:ext uri="{FF2B5EF4-FFF2-40B4-BE49-F238E27FC236}">
                  <a16:creationId xmlns="" xmlns:a16="http://schemas.microsoft.com/office/drawing/2014/main" id="{00000000-0008-0000-0800-00000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File</a:t>
              </a:r>
            </a:p>
          </xdr:txBody>
        </xdr:sp>
        <xdr:clientData fPrintsWithSheet="0"/>
      </xdr:twoCellAnchor>
    </mc:Choice>
    <mc:Fallback/>
  </mc:AlternateContent>
  <xdr:twoCellAnchor editAs="absolute">
    <xdr:from>
      <xdr:col>8</xdr:col>
      <xdr:colOff>371475</xdr:colOff>
      <xdr:row>31</xdr:row>
      <xdr:rowOff>38101</xdr:rowOff>
    </xdr:from>
    <xdr:to>
      <xdr:col>13</xdr:col>
      <xdr:colOff>57150</xdr:colOff>
      <xdr:row>218</xdr:row>
      <xdr:rowOff>57151</xdr:rowOff>
    </xdr:to>
    <xdr:grpSp>
      <xdr:nvGrpSpPr>
        <xdr:cNvPr id="7" name="Group 6">
          <a:extLst>
            <a:ext uri="{FF2B5EF4-FFF2-40B4-BE49-F238E27FC236}">
              <a16:creationId xmlns="" xmlns:a16="http://schemas.microsoft.com/office/drawing/2014/main" id="{00000000-0008-0000-0800-000007000000}"/>
            </a:ext>
          </a:extLst>
        </xdr:cNvPr>
        <xdr:cNvGrpSpPr/>
      </xdr:nvGrpSpPr>
      <xdr:grpSpPr>
        <a:xfrm>
          <a:off x="5381625" y="5057776"/>
          <a:ext cx="2733675" cy="6819900"/>
          <a:chOff x="5857875" y="4533901"/>
          <a:chExt cx="2733675" cy="6819900"/>
        </a:xfrm>
      </xdr:grpSpPr>
      <xdr:sp macro="" textlink="">
        <xdr:nvSpPr>
          <xdr:cNvPr id="4" name="Rectangle 3">
            <a:extLst>
              <a:ext uri="{FF2B5EF4-FFF2-40B4-BE49-F238E27FC236}">
                <a16:creationId xmlns="" xmlns:a16="http://schemas.microsoft.com/office/drawing/2014/main" id="{00000000-0008-0000-0800-000004000000}"/>
              </a:ext>
            </a:extLst>
          </xdr:cNvPr>
          <xdr:cNvSpPr/>
        </xdr:nvSpPr>
        <xdr:spPr>
          <a:xfrm>
            <a:off x="5857875" y="4533901"/>
            <a:ext cx="2733675" cy="6819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4099" name="Button 3" hidden="1">
                <a:extLst>
                  <a:ext uri="{63B3BB69-23CF-44E3-9099-C40C66FF867C}">
                    <a14:compatExt spid="_x0000_s4099"/>
                  </a:ext>
                  <a:ext uri="{FF2B5EF4-FFF2-40B4-BE49-F238E27FC236}">
                    <a16:creationId xmlns="" xmlns:a16="http://schemas.microsoft.com/office/drawing/2014/main" id="{00000000-0008-0000-0800-000003100000}"/>
                  </a:ext>
                </a:extLst>
              </xdr:cNvPr>
              <xdr:cNvSpPr/>
            </xdr:nvSpPr>
            <xdr:spPr bwMode="auto">
              <a:xfrm>
                <a:off x="6296025" y="4648200"/>
                <a:ext cx="1828800" cy="32004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Remap Table: *.config.xml</a:t>
                </a:r>
              </a:p>
            </xdr:txBody>
          </xdr:sp>
        </mc:Choice>
        <mc:Fallback/>
      </mc:AlternateContent>
      <xdr:grpSp>
        <xdr:nvGrpSpPr>
          <xdr:cNvPr id="3" name="Group 2">
            <a:extLst>
              <a:ext uri="{FF2B5EF4-FFF2-40B4-BE49-F238E27FC236}">
                <a16:creationId xmlns="" xmlns:a16="http://schemas.microsoft.com/office/drawing/2014/main" id="{00000000-0008-0000-0800-000003000000}"/>
              </a:ext>
            </a:extLst>
          </xdr:cNvPr>
          <xdr:cNvGrpSpPr/>
        </xdr:nvGrpSpPr>
        <xdr:grpSpPr>
          <a:xfrm>
            <a:off x="5962650" y="6096000"/>
            <a:ext cx="2495238" cy="5142857"/>
            <a:chOff x="5438775" y="4467225"/>
            <a:chExt cx="2495238" cy="5142857"/>
          </a:xfrm>
        </xdr:grpSpPr>
        <xdr:pic>
          <xdr:nvPicPr>
            <xdr:cNvPr id="8" name="Picture 7">
              <a:extLst>
                <a:ext uri="{FF2B5EF4-FFF2-40B4-BE49-F238E27FC236}">
                  <a16:creationId xmlns="" xmlns:a16="http://schemas.microsoft.com/office/drawing/2014/main" id="{00000000-0008-0000-0800-000008000000}"/>
                </a:ext>
              </a:extLst>
            </xdr:cNvPr>
            <xdr:cNvPicPr>
              <a:picLocks noChangeAspect="1"/>
            </xdr:cNvPicPr>
          </xdr:nvPicPr>
          <xdr:blipFill>
            <a:blip xmlns:r="http://schemas.openxmlformats.org/officeDocument/2006/relationships" r:embed="rId3"/>
            <a:stretch>
              <a:fillRect/>
            </a:stretch>
          </xdr:blipFill>
          <xdr:spPr>
            <a:xfrm>
              <a:off x="5438775" y="4467225"/>
              <a:ext cx="2495238" cy="5142857"/>
            </a:xfrm>
            <a:prstGeom prst="rect">
              <a:avLst/>
            </a:prstGeom>
            <a:ln w="6350">
              <a:solidFill>
                <a:sysClr val="windowText" lastClr="000000"/>
              </a:solidFill>
            </a:ln>
          </xdr:spPr>
        </xdr:pic>
        <xdr:sp macro="" textlink="">
          <xdr:nvSpPr>
            <xdr:cNvPr id="11" name="Rectangle 10">
              <a:extLst>
                <a:ext uri="{FF2B5EF4-FFF2-40B4-BE49-F238E27FC236}">
                  <a16:creationId xmlns="" xmlns:a16="http://schemas.microsoft.com/office/drawing/2014/main" id="{00000000-0008-0000-0800-00000B000000}"/>
                </a:ext>
              </a:extLst>
            </xdr:cNvPr>
            <xdr:cNvSpPr/>
          </xdr:nvSpPr>
          <xdr:spPr>
            <a:xfrm>
              <a:off x="6219825" y="5543550"/>
              <a:ext cx="1123951" cy="1695450"/>
            </a:xfrm>
            <a:prstGeom prst="rect">
              <a:avLst/>
            </a:prstGeom>
            <a:noFill/>
            <a:ln w="7620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 name="TextBox 4">
            <a:extLst>
              <a:ext uri="{FF2B5EF4-FFF2-40B4-BE49-F238E27FC236}">
                <a16:creationId xmlns="" xmlns:a16="http://schemas.microsoft.com/office/drawing/2014/main" id="{00000000-0008-0000-0800-000005000000}"/>
              </a:ext>
            </a:extLst>
          </xdr:cNvPr>
          <xdr:cNvSpPr txBox="1"/>
        </xdr:nvSpPr>
        <xdr:spPr>
          <a:xfrm>
            <a:off x="5943600" y="5114926"/>
            <a:ext cx="2524125" cy="8953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Usually not required.</a:t>
            </a:r>
            <a:r>
              <a:rPr lang="en-US" sz="1100" b="1" baseline="0"/>
              <a:t>  </a:t>
            </a:r>
          </a:p>
          <a:p>
            <a:r>
              <a:rPr lang="en-US" sz="900"/>
              <a:t>Only Remap if necessary,</a:t>
            </a:r>
            <a:r>
              <a:rPr lang="en-US" sz="900" baseline="0"/>
              <a:t> remap according to diagram below.  CNTRL select items in blue below and drag and drop onto table headers (i.e. "axis" cell)</a:t>
            </a:r>
            <a:endParaRPr lang="en-US" sz="900"/>
          </a:p>
        </xdr:txBody>
      </xdr:sp>
    </xdr:grpSp>
    <xdr:clientData/>
  </xdr:twoCellAnchor>
</xdr:wsDr>
</file>

<file path=xl/tables/table1.xml><?xml version="1.0" encoding="utf-8"?>
<table xmlns="http://schemas.openxmlformats.org/spreadsheetml/2006/main" id="2" name="Dataout" displayName="Dataout" ref="U1:Z115" tableType="xml" totalsRowShown="0" headerRowDxfId="7" dataDxfId="6" connectionId="21">
  <tableColumns count="6">
    <tableColumn id="1" uniqueName="Xtp" name="Xtp" dataDxfId="5">
      <xmlColumnPr mapId="110" xpath="/Electroimpact_SolverResultToolPoints/Data/@Xtp" xmlDataType="double"/>
    </tableColumn>
    <tableColumn id="2" uniqueName="Ytp" name="Ytp" dataDxfId="4">
      <xmlColumnPr mapId="110" xpath="/Electroimpact_SolverResultToolPoints/Data/@Ytp" xmlDataType="double"/>
    </tableColumn>
    <tableColumn id="3" uniqueName="Ztp" name="Ztp" dataDxfId="3">
      <xmlColumnPr mapId="110" xpath="/Electroimpact_SolverResultToolPoints/Data/@Ztp" xmlDataType="double"/>
    </tableColumn>
    <tableColumn id="4" uniqueName="Atp" name="Atp" dataDxfId="2">
      <xmlColumnPr mapId="110" xpath="/Electroimpact_SolverResultToolPoints/Data/@Atp" xmlDataType="double"/>
    </tableColumn>
    <tableColumn id="5" uniqueName="Btp" name="Btp" dataDxfId="1">
      <xmlColumnPr mapId="110" xpath="/Electroimpact_SolverResultToolPoints/Data/@Btp" xmlDataType="double"/>
    </tableColumn>
    <tableColumn id="6" uniqueName="Ctp" name="Ctp" dataDxfId="0">
      <xmlColumnPr mapId="110" xpath="/Electroimpact_SolverResultToolPoints/Data/@Ctp" xmlDataType="double"/>
    </tableColumn>
  </tableColumns>
  <tableStyleInfo showFirstColumn="0" showLastColumn="0" showRowStripes="1" showColumnStripes="0"/>
</table>
</file>

<file path=xl/tables/table2.xml><?xml version="1.0" encoding="utf-8"?>
<table xmlns="http://schemas.openxmlformats.org/spreadsheetml/2006/main" id="1" name="CompTable" displayName="CompTable" ref="A32:H196" tableType="xml" totalsRowShown="0" connectionId="32">
  <autoFilter ref="A32:H196">
    <filterColumn colId="0">
      <filters>
        <filter val="Ym"/>
      </filters>
    </filterColumn>
  </autoFilter>
  <tableColumns count="8">
    <tableColumn id="1" uniqueName="axis" name="axis">
      <xmlColumnPr mapId="106" xpath="/EITransform/variables/comptables/table/@axis" xmlDataType="string"/>
    </tableColumn>
    <tableColumn id="2" uniqueName="loc" name="loc">
      <xmlColumnPr mapId="106" xpath="/EITransform/variables/comptables/table/station/@loc" xmlDataType="double"/>
    </tableColumn>
    <tableColumn id="3" uniqueName="X" name="X">
      <xmlColumnPr mapId="106" xpath="/EITransform/variables/comptables/table/station/@X" xmlDataType="double"/>
    </tableColumn>
    <tableColumn id="4" uniqueName="Y" name="Y">
      <xmlColumnPr mapId="106" xpath="/EITransform/variables/comptables/table/station/@Y" xmlDataType="double"/>
    </tableColumn>
    <tableColumn id="5" uniqueName="Z" name="Z">
      <xmlColumnPr mapId="106" xpath="/EITransform/variables/comptables/table/station/@Z" xmlDataType="double"/>
    </tableColumn>
    <tableColumn id="6" uniqueName="rX" name="rX">
      <xmlColumnPr mapId="106" xpath="/EITransform/variables/comptables/table/station/@rX" xmlDataType="double"/>
    </tableColumn>
    <tableColumn id="7" uniqueName="rY" name="rY">
      <xmlColumnPr mapId="106" xpath="/EITransform/variables/comptables/table/station/@rY" xmlDataType="double"/>
    </tableColumn>
    <tableColumn id="8" uniqueName="rZ" name="rZ">
      <xmlColumnPr mapId="106" xpath="/EITransform/variables/comptables/table/station/@rZ" xmlDataType="double"/>
    </tableColumn>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ATT_KUKA.dataout.xml" TargetMode="External"/><Relationship Id="rId1" Type="http://schemas.openxmlformats.org/officeDocument/2006/relationships/hyperlink" Target="ATT_KUKA.data.xm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7"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omments" Target="../comments3.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omments" Target="../comments4.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8.xml"/><Relationship Id="rId7"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2:D34"/>
  <sheetViews>
    <sheetView workbookViewId="0">
      <selection activeCell="D38" sqref="D38"/>
    </sheetView>
  </sheetViews>
  <sheetFormatPr defaultRowHeight="12.75" x14ac:dyDescent="0.2"/>
  <cols>
    <col min="1" max="1" width="2.85546875" customWidth="1"/>
    <col min="2" max="2" width="20.7109375" customWidth="1"/>
    <col min="3" max="3" width="5.7109375" customWidth="1"/>
    <col min="4" max="4" width="120" style="39" customWidth="1"/>
  </cols>
  <sheetData>
    <row r="2" spans="2:4" ht="40.5" x14ac:dyDescent="0.3">
      <c r="B2" s="46" t="s">
        <v>71</v>
      </c>
      <c r="C2" s="45"/>
      <c r="D2" s="47" t="s">
        <v>72</v>
      </c>
    </row>
    <row r="4" spans="2:4" x14ac:dyDescent="0.2">
      <c r="B4" s="15" t="s">
        <v>64</v>
      </c>
      <c r="C4" s="15" t="s">
        <v>55</v>
      </c>
      <c r="D4" s="34" t="s">
        <v>56</v>
      </c>
    </row>
    <row r="5" spans="2:4" x14ac:dyDescent="0.2">
      <c r="B5" s="40" t="s">
        <v>67</v>
      </c>
      <c r="C5" s="41"/>
      <c r="D5" s="35"/>
    </row>
    <row r="6" spans="2:4" x14ac:dyDescent="0.2">
      <c r="B6" s="16"/>
      <c r="C6" s="42">
        <v>1</v>
      </c>
      <c r="D6" s="36" t="s">
        <v>76</v>
      </c>
    </row>
    <row r="7" spans="2:4" ht="25.5" x14ac:dyDescent="0.2">
      <c r="B7" s="16"/>
      <c r="C7" s="42">
        <v>2</v>
      </c>
      <c r="D7" s="36" t="s">
        <v>69</v>
      </c>
    </row>
    <row r="8" spans="2:4" x14ac:dyDescent="0.2">
      <c r="B8" s="16"/>
      <c r="C8" s="42">
        <v>3</v>
      </c>
      <c r="D8" s="37" t="s">
        <v>59</v>
      </c>
    </row>
    <row r="9" spans="2:4" ht="25.5" x14ac:dyDescent="0.2">
      <c r="B9" s="16"/>
      <c r="C9" s="42">
        <v>4</v>
      </c>
      <c r="D9" s="37" t="s">
        <v>70</v>
      </c>
    </row>
    <row r="10" spans="2:4" x14ac:dyDescent="0.2">
      <c r="B10" s="16"/>
      <c r="C10" s="42">
        <v>5</v>
      </c>
      <c r="D10" s="37" t="s">
        <v>58</v>
      </c>
    </row>
    <row r="11" spans="2:4" x14ac:dyDescent="0.2">
      <c r="B11" s="16"/>
      <c r="C11" s="42">
        <v>6</v>
      </c>
      <c r="D11" s="37" t="s">
        <v>94</v>
      </c>
    </row>
    <row r="12" spans="2:4" x14ac:dyDescent="0.2">
      <c r="B12" s="16"/>
      <c r="C12" s="42">
        <v>7</v>
      </c>
      <c r="D12" s="37" t="s">
        <v>77</v>
      </c>
    </row>
    <row r="13" spans="2:4" x14ac:dyDescent="0.2">
      <c r="B13" s="17"/>
      <c r="C13" s="43">
        <v>8</v>
      </c>
      <c r="D13" s="37" t="s">
        <v>62</v>
      </c>
    </row>
    <row r="14" spans="2:4" x14ac:dyDescent="0.2">
      <c r="B14" s="40" t="s">
        <v>65</v>
      </c>
      <c r="C14" s="44"/>
      <c r="D14" s="37"/>
    </row>
    <row r="15" spans="2:4" x14ac:dyDescent="0.2">
      <c r="B15" s="16"/>
      <c r="C15" s="42">
        <v>1</v>
      </c>
      <c r="D15" s="37" t="s">
        <v>60</v>
      </c>
    </row>
    <row r="16" spans="2:4" x14ac:dyDescent="0.2">
      <c r="B16" s="16"/>
      <c r="C16" s="42">
        <v>2</v>
      </c>
      <c r="D16" s="37" t="s">
        <v>68</v>
      </c>
    </row>
    <row r="17" spans="2:4" x14ac:dyDescent="0.2">
      <c r="B17" s="16"/>
      <c r="C17" s="42">
        <v>3</v>
      </c>
      <c r="D17" s="37" t="s">
        <v>61</v>
      </c>
    </row>
    <row r="18" spans="2:4" x14ac:dyDescent="0.2">
      <c r="B18" s="40" t="s">
        <v>66</v>
      </c>
      <c r="C18" s="44"/>
      <c r="D18" s="37"/>
    </row>
    <row r="19" spans="2:4" x14ac:dyDescent="0.2">
      <c r="B19" s="16"/>
      <c r="C19" s="42">
        <v>1</v>
      </c>
      <c r="D19" s="37" t="s">
        <v>80</v>
      </c>
    </row>
    <row r="20" spans="2:4" x14ac:dyDescent="0.2">
      <c r="B20" s="16"/>
      <c r="C20" s="42" t="s">
        <v>78</v>
      </c>
      <c r="D20" s="37" t="s">
        <v>81</v>
      </c>
    </row>
    <row r="21" spans="2:4" x14ac:dyDescent="0.2">
      <c r="B21" s="16"/>
      <c r="C21" s="42" t="s">
        <v>79</v>
      </c>
      <c r="D21" s="37" t="s">
        <v>82</v>
      </c>
    </row>
    <row r="22" spans="2:4" x14ac:dyDescent="0.2">
      <c r="B22" s="17"/>
      <c r="C22" s="43">
        <v>2</v>
      </c>
      <c r="D22" s="38" t="s">
        <v>63</v>
      </c>
    </row>
    <row r="23" spans="2:4" x14ac:dyDescent="0.2">
      <c r="B23" s="33"/>
    </row>
    <row r="25" spans="2:4" x14ac:dyDescent="0.2">
      <c r="B25" s="48" t="s">
        <v>73</v>
      </c>
      <c r="C25" s="49"/>
      <c r="D25" s="50"/>
    </row>
    <row r="26" spans="2:4" x14ac:dyDescent="0.2">
      <c r="B26" s="51" t="s">
        <v>91</v>
      </c>
      <c r="C26" s="52"/>
      <c r="D26" s="53" t="s">
        <v>83</v>
      </c>
    </row>
    <row r="27" spans="2:4" x14ac:dyDescent="0.2">
      <c r="B27" s="54" t="s">
        <v>92</v>
      </c>
      <c r="C27" s="55"/>
      <c r="D27" s="56" t="s">
        <v>74</v>
      </c>
    </row>
    <row r="28" spans="2:4" x14ac:dyDescent="0.2">
      <c r="B28" s="54" t="s">
        <v>92</v>
      </c>
      <c r="C28" s="55"/>
      <c r="D28" s="56" t="s">
        <v>75</v>
      </c>
    </row>
    <row r="29" spans="2:4" x14ac:dyDescent="0.2">
      <c r="B29" s="54" t="s">
        <v>93</v>
      </c>
      <c r="C29" s="55"/>
      <c r="D29" s="56" t="s">
        <v>86</v>
      </c>
    </row>
    <row r="30" spans="2:4" x14ac:dyDescent="0.2">
      <c r="B30" s="54" t="s">
        <v>95</v>
      </c>
      <c r="C30" s="55"/>
      <c r="D30" s="56" t="s">
        <v>96</v>
      </c>
    </row>
    <row r="31" spans="2:4" x14ac:dyDescent="0.2">
      <c r="B31" s="54" t="s">
        <v>100</v>
      </c>
      <c r="C31" s="55" t="s">
        <v>102</v>
      </c>
      <c r="D31" s="56" t="s">
        <v>101</v>
      </c>
    </row>
    <row r="32" spans="2:4" x14ac:dyDescent="0.2">
      <c r="B32" s="54" t="s">
        <v>104</v>
      </c>
      <c r="C32" s="55" t="s">
        <v>105</v>
      </c>
      <c r="D32" s="56" t="s">
        <v>107</v>
      </c>
    </row>
    <row r="33" spans="2:4" x14ac:dyDescent="0.2">
      <c r="B33" s="54"/>
      <c r="C33" s="55"/>
      <c r="D33" s="56"/>
    </row>
    <row r="34" spans="2:4" x14ac:dyDescent="0.2">
      <c r="B34" s="23"/>
      <c r="C34" s="24"/>
      <c r="D34" s="5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34"/>
  <sheetViews>
    <sheetView workbookViewId="0">
      <selection activeCell="P37" sqref="P37"/>
    </sheetView>
  </sheetViews>
  <sheetFormatPr defaultRowHeight="12.75" x14ac:dyDescent="0.2"/>
  <sheetData>
    <row r="1" spans="1:17" x14ac:dyDescent="0.2">
      <c r="A1" s="2" t="s">
        <v>7</v>
      </c>
      <c r="B1" s="2" t="s">
        <v>8</v>
      </c>
      <c r="C1" s="2" t="s">
        <v>9</v>
      </c>
      <c r="D1" s="2" t="s">
        <v>1212</v>
      </c>
      <c r="E1" s="2" t="s">
        <v>1213</v>
      </c>
      <c r="F1" s="2" t="s">
        <v>1214</v>
      </c>
      <c r="G1" s="2" t="s">
        <v>1215</v>
      </c>
      <c r="H1" s="2" t="s">
        <v>1216</v>
      </c>
      <c r="I1" s="2" t="s">
        <v>1217</v>
      </c>
      <c r="J1" s="153" t="s">
        <v>1219</v>
      </c>
      <c r="K1" s="153"/>
      <c r="L1" s="153"/>
      <c r="M1" s="153"/>
      <c r="N1" s="153" t="s">
        <v>1218</v>
      </c>
      <c r="O1" s="153"/>
      <c r="P1" s="153"/>
      <c r="Q1" s="153"/>
    </row>
    <row r="2" spans="1:17" x14ac:dyDescent="0.2">
      <c r="A2" s="142">
        <v>1255.89321757726</v>
      </c>
      <c r="B2" s="142">
        <v>-856.35826130883299</v>
      </c>
      <c r="C2" s="142">
        <v>1566.30233227912</v>
      </c>
      <c r="D2" s="77">
        <v>1254.1488999999999</v>
      </c>
      <c r="E2" s="77">
        <v>-856.48540000000003</v>
      </c>
      <c r="F2" s="77">
        <v>1568.1736000000001</v>
      </c>
      <c r="G2" s="142">
        <v>1254.4336000000001</v>
      </c>
      <c r="H2" s="142">
        <v>-856.67740000000003</v>
      </c>
      <c r="I2" s="142">
        <v>1567.4512999999999</v>
      </c>
      <c r="J2" s="142">
        <f>(D2-A2)/25.4</f>
        <v>-6.8673920364569402E-2</v>
      </c>
      <c r="K2" s="142">
        <f t="shared" ref="K2:L2" si="0">(E2-B2)/25.4</f>
        <v>-5.0054602821666683E-3</v>
      </c>
      <c r="L2" s="142">
        <f t="shared" si="0"/>
        <v>7.3671957514962264E-2</v>
      </c>
      <c r="M2" s="142">
        <f>SQRT(SUMSQ(J2:L2))</f>
        <v>0.10084006790438993</v>
      </c>
      <c r="N2" s="142">
        <f>(D2-G2)/25.4</f>
        <v>-1.1208661417329022E-2</v>
      </c>
      <c r="O2" s="142">
        <f t="shared" ref="O2:P2" si="1">(E2-H2)/25.4</f>
        <v>7.5590551181105234E-3</v>
      </c>
      <c r="P2" s="142">
        <f t="shared" si="1"/>
        <v>2.843700787402095E-2</v>
      </c>
      <c r="Q2" s="142">
        <f>SQRT(SUMSQ(N2:P2))</f>
        <v>3.1487089765078045E-2</v>
      </c>
    </row>
    <row r="3" spans="1:17" x14ac:dyDescent="0.2">
      <c r="A3" s="142">
        <v>1398.28618450614</v>
      </c>
      <c r="B3" s="142">
        <v>146.86367682790799</v>
      </c>
      <c r="C3" s="142">
        <v>1838.45181903913</v>
      </c>
      <c r="D3" s="77">
        <v>1396.7025000000001</v>
      </c>
      <c r="E3" s="77">
        <v>146.33590000000001</v>
      </c>
      <c r="F3" s="77">
        <v>1839.7094</v>
      </c>
      <c r="G3" s="142">
        <v>1396.5282</v>
      </c>
      <c r="H3" s="142">
        <v>146.4939</v>
      </c>
      <c r="I3" s="142">
        <v>1839.9435000000001</v>
      </c>
      <c r="J3" s="142">
        <f t="shared" ref="J3:J33" si="2">(D3-A3)/25.4</f>
        <v>-6.2349783706294848E-2</v>
      </c>
      <c r="K3" s="142">
        <f t="shared" ref="K3:K33" si="3">(E3-B3)/25.4</f>
        <v>-2.0778615271967917E-2</v>
      </c>
      <c r="L3" s="142">
        <f t="shared" ref="L3:L33" si="4">(F3-C3)/25.4</f>
        <v>4.9511061451573739E-2</v>
      </c>
      <c r="M3" s="142">
        <f t="shared" ref="M3:M33" si="5">SQRT(SUMSQ(J3:L3))</f>
        <v>8.2283604605679003E-2</v>
      </c>
      <c r="N3" s="142">
        <f t="shared" ref="N3:N33" si="6">(D3-G3)/25.4</f>
        <v>6.8622047244145772E-3</v>
      </c>
      <c r="O3" s="142">
        <f t="shared" ref="O3:O33" si="7">(E3-H3)/25.4</f>
        <v>-6.2204724409443716E-3</v>
      </c>
      <c r="P3" s="142">
        <f t="shared" ref="P3:P33" si="8">(F3-I3)/25.4</f>
        <v>-9.2165354330758231E-3</v>
      </c>
      <c r="Q3" s="142">
        <f t="shared" ref="Q3:Q33" si="9">SQRT(SUMSQ(N3:P3))</f>
        <v>1.3066317631891103E-2</v>
      </c>
    </row>
    <row r="4" spans="1:17" x14ac:dyDescent="0.2">
      <c r="A4" s="142">
        <v>1619.3740263542099</v>
      </c>
      <c r="B4" s="142">
        <v>386.72231108928997</v>
      </c>
      <c r="C4" s="142">
        <v>1859.84454731608</v>
      </c>
      <c r="D4" s="77">
        <v>1617.8013000000001</v>
      </c>
      <c r="E4" s="77">
        <v>386.25810000000001</v>
      </c>
      <c r="F4" s="77">
        <v>1861.3612000000001</v>
      </c>
      <c r="G4" s="142">
        <v>1617.5839000000001</v>
      </c>
      <c r="H4" s="142">
        <v>386.3596</v>
      </c>
      <c r="I4" s="142">
        <v>1861.5867000000001</v>
      </c>
      <c r="J4" s="142">
        <f t="shared" si="2"/>
        <v>-6.19183604019631E-2</v>
      </c>
      <c r="K4" s="142">
        <f t="shared" si="3"/>
        <v>-1.8276027137400036E-2</v>
      </c>
      <c r="L4" s="142">
        <f t="shared" si="4"/>
        <v>5.9710735587402711E-2</v>
      </c>
      <c r="M4" s="142">
        <f t="shared" si="5"/>
        <v>8.7939004242617483E-2</v>
      </c>
      <c r="N4" s="142">
        <f t="shared" si="6"/>
        <v>8.5590551181101513E-3</v>
      </c>
      <c r="O4" s="142">
        <f t="shared" si="7"/>
        <v>-3.9960629921254832E-3</v>
      </c>
      <c r="P4" s="142">
        <f t="shared" si="8"/>
        <v>-8.8779527559059417E-3</v>
      </c>
      <c r="Q4" s="142">
        <f t="shared" si="9"/>
        <v>1.2963178201659513E-2</v>
      </c>
    </row>
    <row r="5" spans="1:17" x14ac:dyDescent="0.2">
      <c r="A5" s="142">
        <v>2145.5278692096499</v>
      </c>
      <c r="B5" s="142">
        <v>502.83389252687198</v>
      </c>
      <c r="C5" s="142">
        <v>1825.1361081662601</v>
      </c>
      <c r="D5" s="77">
        <v>2143.8175999999999</v>
      </c>
      <c r="E5" s="77">
        <v>502.5951</v>
      </c>
      <c r="F5" s="77">
        <v>1827.3620000000001</v>
      </c>
      <c r="G5" s="142">
        <v>2143.7627000000002</v>
      </c>
      <c r="H5" s="142">
        <v>502.50630000000001</v>
      </c>
      <c r="I5" s="142">
        <v>1827.3773000000001</v>
      </c>
      <c r="J5" s="142">
        <f t="shared" si="2"/>
        <v>-6.733343345078939E-2</v>
      </c>
      <c r="K5" s="142">
        <f t="shared" si="3"/>
        <v>-9.4012805855108461E-3</v>
      </c>
      <c r="L5" s="142">
        <f t="shared" si="4"/>
        <v>8.7633536761416511E-2</v>
      </c>
      <c r="M5" s="142">
        <f t="shared" si="5"/>
        <v>0.11091353435101563</v>
      </c>
      <c r="N5" s="142">
        <f t="shared" si="6"/>
        <v>2.1614173228202372E-3</v>
      </c>
      <c r="O5" s="142">
        <f t="shared" si="7"/>
        <v>3.4960629921256692E-3</v>
      </c>
      <c r="P5" s="142">
        <f t="shared" si="8"/>
        <v>-6.0236220472538341E-4</v>
      </c>
      <c r="Q5" s="142">
        <f t="shared" si="9"/>
        <v>4.1541571364092271E-3</v>
      </c>
    </row>
    <row r="6" spans="1:17" x14ac:dyDescent="0.2">
      <c r="A6" s="142">
        <v>1857.3717262489599</v>
      </c>
      <c r="B6" s="142">
        <v>437.55118840628302</v>
      </c>
      <c r="C6" s="142">
        <v>1423.9552587185201</v>
      </c>
      <c r="D6" s="77">
        <v>1856.0305000000001</v>
      </c>
      <c r="E6" s="77">
        <v>437.37360000000001</v>
      </c>
      <c r="F6" s="77">
        <v>1425.6123</v>
      </c>
      <c r="G6" s="142">
        <v>1855.9717000000001</v>
      </c>
      <c r="H6" s="142">
        <v>437.29419999999999</v>
      </c>
      <c r="I6" s="142">
        <v>1425.923</v>
      </c>
      <c r="J6" s="142">
        <f t="shared" si="2"/>
        <v>-5.2804183029915595E-2</v>
      </c>
      <c r="K6" s="142">
        <f t="shared" si="3"/>
        <v>-6.9916695387010758E-3</v>
      </c>
      <c r="L6" s="142">
        <f t="shared" si="4"/>
        <v>6.5237845727555338E-2</v>
      </c>
      <c r="M6" s="142">
        <f t="shared" si="5"/>
        <v>8.4220791397181347E-2</v>
      </c>
      <c r="N6" s="142">
        <f t="shared" si="6"/>
        <v>2.3149606299220191E-3</v>
      </c>
      <c r="O6" s="142">
        <f t="shared" si="7"/>
        <v>3.1259842519693313E-3</v>
      </c>
      <c r="P6" s="142">
        <f t="shared" si="8"/>
        <v>-1.2232283464566816E-2</v>
      </c>
      <c r="Q6" s="142">
        <f t="shared" si="9"/>
        <v>1.2835870793178153E-2</v>
      </c>
    </row>
    <row r="7" spans="1:17" x14ac:dyDescent="0.2">
      <c r="A7" s="142">
        <v>2776.3532089026698</v>
      </c>
      <c r="B7" s="142">
        <v>277.09056263087899</v>
      </c>
      <c r="C7" s="142">
        <v>1051.4329902719701</v>
      </c>
      <c r="D7" s="77">
        <v>2775.3881000000001</v>
      </c>
      <c r="E7" s="77">
        <v>277.0462</v>
      </c>
      <c r="F7" s="77">
        <v>1054.6676</v>
      </c>
      <c r="G7" s="142">
        <v>2775.297</v>
      </c>
      <c r="H7" s="142">
        <v>276.96170000000001</v>
      </c>
      <c r="I7" s="142">
        <v>1054.1948</v>
      </c>
      <c r="J7" s="142">
        <f t="shared" si="2"/>
        <v>-3.7996413490934113E-2</v>
      </c>
      <c r="K7" s="142">
        <f t="shared" si="3"/>
        <v>-1.7465602708264985E-3</v>
      </c>
      <c r="L7" s="142">
        <f t="shared" si="4"/>
        <v>0.12734683968621691</v>
      </c>
      <c r="M7" s="142">
        <f t="shared" si="5"/>
        <v>0.13290596483612277</v>
      </c>
      <c r="N7" s="142">
        <f t="shared" si="6"/>
        <v>3.5866141732321566E-3</v>
      </c>
      <c r="O7" s="142">
        <f t="shared" si="7"/>
        <v>3.3267716535429672E-3</v>
      </c>
      <c r="P7" s="142">
        <f t="shared" si="8"/>
        <v>1.8614173228346714E-2</v>
      </c>
      <c r="Q7" s="142">
        <f t="shared" si="9"/>
        <v>1.9246263425333924E-2</v>
      </c>
    </row>
    <row r="8" spans="1:17" x14ac:dyDescent="0.2">
      <c r="A8" s="142">
        <v>2667.71364489296</v>
      </c>
      <c r="B8" s="142">
        <v>689.49083945349503</v>
      </c>
      <c r="C8" s="142">
        <v>1116.3943068424701</v>
      </c>
      <c r="D8" s="77">
        <v>2666.6437999999998</v>
      </c>
      <c r="E8" s="77">
        <v>689.44370000000004</v>
      </c>
      <c r="F8" s="77">
        <v>1119.6151</v>
      </c>
      <c r="G8" s="142">
        <v>2666.5772000000002</v>
      </c>
      <c r="H8" s="142">
        <v>689.34230000000002</v>
      </c>
      <c r="I8" s="142">
        <v>1119.1464000000001</v>
      </c>
      <c r="J8" s="142">
        <f t="shared" si="2"/>
        <v>-4.2119877675598071E-2</v>
      </c>
      <c r="K8" s="142">
        <f t="shared" si="3"/>
        <v>-1.8558839958658373E-3</v>
      </c>
      <c r="L8" s="142">
        <f t="shared" si="4"/>
        <v>0.12680288021771249</v>
      </c>
      <c r="M8" s="142">
        <f t="shared" si="5"/>
        <v>0.13362821121425295</v>
      </c>
      <c r="N8" s="142">
        <f t="shared" si="6"/>
        <v>2.6220472440808243E-3</v>
      </c>
      <c r="O8" s="142">
        <f t="shared" si="7"/>
        <v>3.9921259842524556E-3</v>
      </c>
      <c r="P8" s="142">
        <f t="shared" si="8"/>
        <v>1.845275590550783E-2</v>
      </c>
      <c r="Q8" s="142">
        <f t="shared" si="9"/>
        <v>1.906086047723422E-2</v>
      </c>
    </row>
    <row r="9" spans="1:17" x14ac:dyDescent="0.2">
      <c r="A9" s="142">
        <v>1515.2585464664201</v>
      </c>
      <c r="B9" s="142">
        <v>898.52391551971095</v>
      </c>
      <c r="C9" s="142">
        <v>2076.0025800980502</v>
      </c>
      <c r="D9" s="77">
        <v>1513.4045000000001</v>
      </c>
      <c r="E9" s="77">
        <v>898.13800000000003</v>
      </c>
      <c r="F9" s="77">
        <v>2077.5268999999998</v>
      </c>
      <c r="G9" s="142">
        <v>1513.2465999999999</v>
      </c>
      <c r="H9" s="142">
        <v>898.10950000000003</v>
      </c>
      <c r="I9" s="142">
        <v>2077.7602000000002</v>
      </c>
      <c r="J9" s="142">
        <f t="shared" si="2"/>
        <v>-7.2993955370864533E-2</v>
      </c>
      <c r="K9" s="142">
        <f t="shared" si="3"/>
        <v>-1.519352439806773E-2</v>
      </c>
      <c r="L9" s="142">
        <f t="shared" si="4"/>
        <v>6.0012594564946412E-2</v>
      </c>
      <c r="M9" s="142">
        <f t="shared" si="5"/>
        <v>9.5710355817618178E-2</v>
      </c>
      <c r="N9" s="142">
        <f t="shared" si="6"/>
        <v>6.2165354330769394E-3</v>
      </c>
      <c r="O9" s="142">
        <f t="shared" si="7"/>
        <v>1.1220472440948105E-3</v>
      </c>
      <c r="P9" s="142">
        <f t="shared" si="8"/>
        <v>-9.1850393700916022E-3</v>
      </c>
      <c r="Q9" s="142">
        <f t="shared" si="9"/>
        <v>1.1147611898465724E-2</v>
      </c>
    </row>
    <row r="10" spans="1:17" x14ac:dyDescent="0.2">
      <c r="A10" s="142">
        <v>1735.90914567098</v>
      </c>
      <c r="B10" s="142">
        <v>1230.5548497838499</v>
      </c>
      <c r="C10" s="142">
        <v>2123.2911737873701</v>
      </c>
      <c r="D10" s="77">
        <v>1734.1297999999999</v>
      </c>
      <c r="E10" s="77">
        <v>1230.3494000000001</v>
      </c>
      <c r="F10" s="77">
        <v>2124.9466000000002</v>
      </c>
      <c r="G10" s="142">
        <v>1733.8369</v>
      </c>
      <c r="H10" s="142">
        <v>1230.1419000000001</v>
      </c>
      <c r="I10" s="142">
        <v>2125.3186000000001</v>
      </c>
      <c r="J10" s="142">
        <f t="shared" si="2"/>
        <v>-7.0052979172444574E-2</v>
      </c>
      <c r="K10" s="142">
        <f t="shared" si="3"/>
        <v>-8.088574167317791E-3</v>
      </c>
      <c r="L10" s="142">
        <f t="shared" si="4"/>
        <v>6.5174260339768433E-2</v>
      </c>
      <c r="M10" s="142">
        <f t="shared" si="5"/>
        <v>9.6023586341226944E-2</v>
      </c>
      <c r="N10" s="142">
        <f t="shared" si="6"/>
        <v>1.1531496062988889E-2</v>
      </c>
      <c r="O10" s="142">
        <f t="shared" si="7"/>
        <v>8.1692913385819615E-3</v>
      </c>
      <c r="P10" s="142">
        <f t="shared" si="8"/>
        <v>-1.4645669291332425E-2</v>
      </c>
      <c r="Q10" s="142">
        <f t="shared" si="9"/>
        <v>2.0352109262099495E-2</v>
      </c>
    </row>
    <row r="11" spans="1:17" x14ac:dyDescent="0.2">
      <c r="A11" s="142">
        <v>1108.66533995041</v>
      </c>
      <c r="B11" s="142">
        <v>993.98870036808</v>
      </c>
      <c r="C11" s="142">
        <v>2444.69170601222</v>
      </c>
      <c r="D11" s="77">
        <v>1106.9023999999999</v>
      </c>
      <c r="E11" s="77">
        <v>993.2097</v>
      </c>
      <c r="F11" s="77">
        <v>2445.7559000000001</v>
      </c>
      <c r="G11" s="142">
        <v>1106.3162</v>
      </c>
      <c r="H11" s="142">
        <v>993.47400000000005</v>
      </c>
      <c r="I11" s="142">
        <v>2446.1030999999998</v>
      </c>
      <c r="J11" s="142">
        <f t="shared" si="2"/>
        <v>-6.9407084661814972E-2</v>
      </c>
      <c r="K11" s="142">
        <f t="shared" si="3"/>
        <v>-3.066930582992148E-2</v>
      </c>
      <c r="L11" s="142">
        <f t="shared" si="4"/>
        <v>4.1897401093703636E-2</v>
      </c>
      <c r="M11" s="142">
        <f t="shared" si="5"/>
        <v>8.6679535876400982E-2</v>
      </c>
      <c r="N11" s="142">
        <f t="shared" si="6"/>
        <v>2.3078740157478839E-2</v>
      </c>
      <c r="O11" s="142">
        <f t="shared" si="7"/>
        <v>-1.0405511811025527E-2</v>
      </c>
      <c r="P11" s="142">
        <f t="shared" si="8"/>
        <v>-1.3669291338570961E-2</v>
      </c>
      <c r="Q11" s="142">
        <f t="shared" si="9"/>
        <v>2.8770687322421568E-2</v>
      </c>
    </row>
    <row r="12" spans="1:17" x14ac:dyDescent="0.2">
      <c r="A12" s="142">
        <v>2591.5562740328101</v>
      </c>
      <c r="B12" s="142">
        <v>1315.1981684770301</v>
      </c>
      <c r="C12" s="142">
        <v>1803.18163063721</v>
      </c>
      <c r="D12" s="77">
        <v>2589.3678</v>
      </c>
      <c r="E12" s="77">
        <v>1314.8501000000001</v>
      </c>
      <c r="F12" s="77">
        <v>1806.2823000000001</v>
      </c>
      <c r="G12" s="142">
        <v>2589.7676999999999</v>
      </c>
      <c r="H12" s="142">
        <v>1314.8987999999999</v>
      </c>
      <c r="I12" s="142">
        <v>1805.9984999999999</v>
      </c>
      <c r="J12" s="142">
        <f t="shared" si="2"/>
        <v>-8.6160394992522191E-2</v>
      </c>
      <c r="K12" s="142">
        <f t="shared" si="3"/>
        <v>-1.3703483347637132E-2</v>
      </c>
      <c r="L12" s="142">
        <f t="shared" si="4"/>
        <v>0.1220735969602396</v>
      </c>
      <c r="M12" s="142">
        <f t="shared" si="5"/>
        <v>0.15004453404218837</v>
      </c>
      <c r="N12" s="142">
        <f t="shared" si="6"/>
        <v>-1.5744094488184594E-2</v>
      </c>
      <c r="O12" s="142">
        <f t="shared" si="7"/>
        <v>-1.9173228346388231E-3</v>
      </c>
      <c r="P12" s="142">
        <f t="shared" si="8"/>
        <v>1.1173228346462824E-2</v>
      </c>
      <c r="Q12" s="142">
        <f t="shared" si="9"/>
        <v>1.9400867758616169E-2</v>
      </c>
    </row>
    <row r="13" spans="1:17" x14ac:dyDescent="0.2">
      <c r="A13" s="142">
        <v>2088.9129307028102</v>
      </c>
      <c r="B13" s="142">
        <v>-2.2294872782217601</v>
      </c>
      <c r="C13" s="142">
        <v>1882.20975044993</v>
      </c>
      <c r="D13" s="77">
        <v>2086.8912</v>
      </c>
      <c r="E13" s="77">
        <v>-2.3209</v>
      </c>
      <c r="F13" s="77">
        <v>1884.4555</v>
      </c>
      <c r="G13" s="142">
        <v>2087.1230999999998</v>
      </c>
      <c r="H13" s="142">
        <v>-2.5722</v>
      </c>
      <c r="I13" s="142">
        <v>1884.2919999999999</v>
      </c>
      <c r="J13" s="142">
        <f t="shared" si="2"/>
        <v>-7.9595696961029375E-2</v>
      </c>
      <c r="K13" s="142">
        <f t="shared" si="3"/>
        <v>-3.5989260542614132E-3</v>
      </c>
      <c r="L13" s="142">
        <f t="shared" si="4"/>
        <v>8.8415336616931461E-2</v>
      </c>
      <c r="M13" s="142">
        <f t="shared" si="5"/>
        <v>0.11901974202854484</v>
      </c>
      <c r="N13" s="142">
        <f t="shared" si="6"/>
        <v>-9.1299212598334109E-3</v>
      </c>
      <c r="O13" s="142">
        <f t="shared" si="7"/>
        <v>9.893700787401578E-3</v>
      </c>
      <c r="P13" s="142">
        <f t="shared" si="8"/>
        <v>6.4370078740201885E-3</v>
      </c>
      <c r="Q13" s="142">
        <f t="shared" si="9"/>
        <v>1.4922327159380558E-2</v>
      </c>
    </row>
    <row r="14" spans="1:17" x14ac:dyDescent="0.2">
      <c r="A14" s="142">
        <v>1950.20856261676</v>
      </c>
      <c r="B14" s="142">
        <v>-386.38279727009501</v>
      </c>
      <c r="C14" s="142">
        <v>610.26541602449504</v>
      </c>
      <c r="D14" s="77">
        <v>1949.617</v>
      </c>
      <c r="E14" s="77">
        <v>-386.43239999999997</v>
      </c>
      <c r="F14" s="77">
        <v>611.88480000000004</v>
      </c>
      <c r="G14" s="142">
        <v>1949.5854999999999</v>
      </c>
      <c r="H14" s="142">
        <v>-386.46089999999998</v>
      </c>
      <c r="I14" s="142">
        <v>612.14110000000005</v>
      </c>
      <c r="J14" s="142">
        <f t="shared" si="2"/>
        <v>-2.3289866801575961E-2</v>
      </c>
      <c r="K14" s="142">
        <f t="shared" si="3"/>
        <v>-1.9528633820850988E-3</v>
      </c>
      <c r="L14" s="142">
        <f t="shared" si="4"/>
        <v>6.3755274626181191E-2</v>
      </c>
      <c r="M14" s="142">
        <f t="shared" si="5"/>
        <v>6.7904098651583783E-2</v>
      </c>
      <c r="N14" s="142">
        <f t="shared" si="6"/>
        <v>1.2401574803169659E-3</v>
      </c>
      <c r="O14" s="142">
        <f t="shared" si="7"/>
        <v>1.1220472440948105E-3</v>
      </c>
      <c r="P14" s="142">
        <f t="shared" si="8"/>
        <v>-1.0090551181102764E-2</v>
      </c>
      <c r="Q14" s="142">
        <f t="shared" si="9"/>
        <v>1.0228206281280275E-2</v>
      </c>
    </row>
    <row r="15" spans="1:17" x14ac:dyDescent="0.2">
      <c r="A15" s="142">
        <v>2108.2723840287099</v>
      </c>
      <c r="B15" s="142">
        <v>357.14091954440198</v>
      </c>
      <c r="C15" s="142">
        <v>742.85814943055198</v>
      </c>
      <c r="D15" s="77">
        <v>2107.4852999999998</v>
      </c>
      <c r="E15" s="77">
        <v>357.21899999999999</v>
      </c>
      <c r="F15" s="77">
        <v>744.83860000000004</v>
      </c>
      <c r="G15" s="142">
        <v>2107.4904000000001</v>
      </c>
      <c r="H15" s="142">
        <v>357.0428</v>
      </c>
      <c r="I15" s="142">
        <v>745.03510000000006</v>
      </c>
      <c r="J15" s="142">
        <f t="shared" si="2"/>
        <v>-3.0987560185435793E-2</v>
      </c>
      <c r="K15" s="142">
        <f t="shared" si="3"/>
        <v>3.074033684961125E-3</v>
      </c>
      <c r="L15" s="142">
        <f t="shared" si="4"/>
        <v>7.7970494860160111E-2</v>
      </c>
      <c r="M15" s="142">
        <f t="shared" si="5"/>
        <v>8.3958779398467534E-2</v>
      </c>
      <c r="N15" s="142">
        <f t="shared" si="6"/>
        <v>-2.0078740158706345E-4</v>
      </c>
      <c r="O15" s="142">
        <f t="shared" si="7"/>
        <v>6.937007874015526E-3</v>
      </c>
      <c r="P15" s="142">
        <f t="shared" si="8"/>
        <v>-7.7362204724415184E-3</v>
      </c>
      <c r="Q15" s="142">
        <f t="shared" si="9"/>
        <v>1.0392858173910235E-2</v>
      </c>
    </row>
    <row r="16" spans="1:17" x14ac:dyDescent="0.2">
      <c r="A16" s="142">
        <v>2747.3391128763401</v>
      </c>
      <c r="B16" s="142">
        <v>234.095899448772</v>
      </c>
      <c r="C16" s="142">
        <v>672.24691076130796</v>
      </c>
      <c r="D16" s="77">
        <v>2746.6489999999999</v>
      </c>
      <c r="E16" s="77">
        <v>233.97880000000001</v>
      </c>
      <c r="F16" s="77">
        <v>675.17139999999995</v>
      </c>
      <c r="G16" s="142">
        <v>2746.627</v>
      </c>
      <c r="H16" s="142">
        <v>234.04650000000001</v>
      </c>
      <c r="I16" s="142">
        <v>674.97360000000003</v>
      </c>
      <c r="J16" s="142">
        <f t="shared" si="2"/>
        <v>-2.7169798281110571E-2</v>
      </c>
      <c r="K16" s="142">
        <f t="shared" si="3"/>
        <v>-4.6102145185824882E-3</v>
      </c>
      <c r="L16" s="142">
        <f t="shared" si="4"/>
        <v>0.11513737160204686</v>
      </c>
      <c r="M16" s="142">
        <f t="shared" si="5"/>
        <v>0.11838946894032178</v>
      </c>
      <c r="N16" s="142">
        <f t="shared" si="6"/>
        <v>8.661417322808865E-4</v>
      </c>
      <c r="O16" s="142">
        <f t="shared" si="7"/>
        <v>-2.6653543307087438E-3</v>
      </c>
      <c r="P16" s="142">
        <f t="shared" si="8"/>
        <v>7.7874015747998269E-3</v>
      </c>
      <c r="Q16" s="142">
        <f t="shared" si="9"/>
        <v>8.2763481376644139E-3</v>
      </c>
    </row>
    <row r="17" spans="1:17" x14ac:dyDescent="0.2">
      <c r="A17" s="142">
        <v>763.00071101365199</v>
      </c>
      <c r="B17" s="142">
        <v>-53.018564545280697</v>
      </c>
      <c r="C17" s="142">
        <v>1108.0858267334199</v>
      </c>
      <c r="D17" s="77">
        <v>762.0018</v>
      </c>
      <c r="E17" s="77">
        <v>-53.267899999999997</v>
      </c>
      <c r="F17" s="77">
        <v>1108.5264999999999</v>
      </c>
      <c r="G17" s="142">
        <v>761.91179999999997</v>
      </c>
      <c r="H17" s="142">
        <v>-53.265700000000002</v>
      </c>
      <c r="I17" s="142">
        <v>1108.9625000000001</v>
      </c>
      <c r="J17" s="142">
        <f t="shared" si="2"/>
        <v>-3.9327205261889417E-2</v>
      </c>
      <c r="K17" s="142">
        <f t="shared" si="3"/>
        <v>-9.8163564850118415E-3</v>
      </c>
      <c r="L17" s="142">
        <f t="shared" si="4"/>
        <v>1.734934120393726E-2</v>
      </c>
      <c r="M17" s="142">
        <f t="shared" si="5"/>
        <v>4.4090697075032187E-2</v>
      </c>
      <c r="N17" s="142">
        <f t="shared" si="6"/>
        <v>3.5433070866154265E-3</v>
      </c>
      <c r="O17" s="142">
        <f t="shared" si="7"/>
        <v>-8.6614173228144605E-5</v>
      </c>
      <c r="P17" s="142">
        <f t="shared" si="8"/>
        <v>-1.7165354330714536E-2</v>
      </c>
      <c r="Q17" s="142">
        <f t="shared" si="9"/>
        <v>1.7527461779277779E-2</v>
      </c>
    </row>
    <row r="18" spans="1:17" x14ac:dyDescent="0.2">
      <c r="A18" s="142">
        <v>930.931829402586</v>
      </c>
      <c r="B18" s="142">
        <v>-917.39168257378503</v>
      </c>
      <c r="C18" s="142">
        <v>929.27515738219904</v>
      </c>
      <c r="D18" s="77">
        <v>930.01580000000001</v>
      </c>
      <c r="E18" s="77">
        <v>-917.68409999999994</v>
      </c>
      <c r="F18" s="77">
        <v>929.89499999999998</v>
      </c>
      <c r="G18" s="142">
        <v>930.04970000000003</v>
      </c>
      <c r="H18" s="142">
        <v>-917.59169999999995</v>
      </c>
      <c r="I18" s="142">
        <v>930.11850000000004</v>
      </c>
      <c r="J18" s="142">
        <f t="shared" si="2"/>
        <v>-3.6064149708109894E-2</v>
      </c>
      <c r="K18" s="142">
        <f t="shared" si="3"/>
        <v>-1.1512497095075231E-2</v>
      </c>
      <c r="L18" s="142">
        <f t="shared" si="4"/>
        <v>2.4403252669328399E-2</v>
      </c>
      <c r="M18" s="142">
        <f t="shared" si="5"/>
        <v>4.5040861718845505E-2</v>
      </c>
      <c r="N18" s="142">
        <f t="shared" si="6"/>
        <v>-1.3346456692920046E-3</v>
      </c>
      <c r="O18" s="142">
        <f t="shared" si="7"/>
        <v>-3.6377952755904655E-3</v>
      </c>
      <c r="P18" s="142">
        <f t="shared" si="8"/>
        <v>-8.7992125984274888E-3</v>
      </c>
      <c r="Q18" s="142">
        <f t="shared" si="9"/>
        <v>9.614623023394794E-3</v>
      </c>
    </row>
    <row r="19" spans="1:17" x14ac:dyDescent="0.2">
      <c r="A19" s="142">
        <v>922.13568521704701</v>
      </c>
      <c r="B19" s="142">
        <v>-903.26813189079996</v>
      </c>
      <c r="C19" s="142">
        <v>875.71247265708098</v>
      </c>
      <c r="D19" s="77">
        <v>921.39729999999997</v>
      </c>
      <c r="E19" s="77">
        <v>-903.54610000000002</v>
      </c>
      <c r="F19" s="77">
        <v>876.40359999999998</v>
      </c>
      <c r="G19" s="142">
        <v>921.30110000000002</v>
      </c>
      <c r="H19" s="142">
        <v>-903.45719999999994</v>
      </c>
      <c r="I19" s="142">
        <v>876.55089999999996</v>
      </c>
      <c r="J19" s="142">
        <f t="shared" si="2"/>
        <v>-2.9070284135710202E-2</v>
      </c>
      <c r="K19" s="142">
        <f t="shared" si="3"/>
        <v>-1.0943626346459059E-2</v>
      </c>
      <c r="L19" s="142">
        <f t="shared" si="4"/>
        <v>2.7209737910196978E-2</v>
      </c>
      <c r="M19" s="142">
        <f t="shared" si="5"/>
        <v>4.1294239483049541E-2</v>
      </c>
      <c r="N19" s="142">
        <f t="shared" si="6"/>
        <v>3.7874015748013165E-3</v>
      </c>
      <c r="O19" s="142">
        <f t="shared" si="7"/>
        <v>-3.5000000000031729E-3</v>
      </c>
      <c r="P19" s="142">
        <f t="shared" si="8"/>
        <v>-5.7992125984241303E-3</v>
      </c>
      <c r="Q19" s="142">
        <f t="shared" si="9"/>
        <v>7.7604946653258419E-3</v>
      </c>
    </row>
    <row r="20" spans="1:17" x14ac:dyDescent="0.2">
      <c r="A20" s="142">
        <v>83.734028581038203</v>
      </c>
      <c r="B20" s="142">
        <v>-622.78084861792695</v>
      </c>
      <c r="C20" s="142">
        <v>814.42809186905504</v>
      </c>
      <c r="D20" s="77">
        <v>83.002399999999994</v>
      </c>
      <c r="E20" s="77">
        <v>-623.09230000000002</v>
      </c>
      <c r="F20" s="77">
        <v>814.48329999999999</v>
      </c>
      <c r="G20" s="142">
        <v>82.940200000000004</v>
      </c>
      <c r="H20" s="142">
        <v>-623.00099999999998</v>
      </c>
      <c r="I20" s="142">
        <v>814.57090000000005</v>
      </c>
      <c r="J20" s="142">
        <f t="shared" si="2"/>
        <v>-2.8804274844023953E-2</v>
      </c>
      <c r="K20" s="142">
        <f t="shared" si="3"/>
        <v>-1.2261865435947778E-2</v>
      </c>
      <c r="L20" s="142">
        <f t="shared" si="4"/>
        <v>2.1735484623995158E-3</v>
      </c>
      <c r="M20" s="142">
        <f t="shared" si="5"/>
        <v>3.1380948140197443E-2</v>
      </c>
      <c r="N20" s="142">
        <f t="shared" si="6"/>
        <v>2.4488188976374034E-3</v>
      </c>
      <c r="O20" s="142">
        <f t="shared" si="7"/>
        <v>-3.5944881889782114E-3</v>
      </c>
      <c r="P20" s="142">
        <f t="shared" si="8"/>
        <v>-3.448818897640388E-3</v>
      </c>
      <c r="Q20" s="142">
        <f t="shared" si="9"/>
        <v>5.5508027458063573E-3</v>
      </c>
    </row>
    <row r="21" spans="1:17" x14ac:dyDescent="0.2">
      <c r="A21" s="142">
        <v>510.78407347348201</v>
      </c>
      <c r="B21" s="142">
        <v>-130.85029533728701</v>
      </c>
      <c r="C21" s="142">
        <v>2070.1609630992298</v>
      </c>
      <c r="D21" s="77">
        <v>508.86579999999998</v>
      </c>
      <c r="E21" s="77">
        <v>-131.14930000000001</v>
      </c>
      <c r="F21" s="77">
        <v>2071.0214000000001</v>
      </c>
      <c r="G21" s="142">
        <v>508.83229999999998</v>
      </c>
      <c r="H21" s="142">
        <v>-131.31639999999999</v>
      </c>
      <c r="I21" s="142">
        <v>2070.7932999999998</v>
      </c>
      <c r="J21" s="142">
        <f t="shared" si="2"/>
        <v>-7.552257769614297E-2</v>
      </c>
      <c r="K21" s="142">
        <f t="shared" si="3"/>
        <v>-1.1771837114685149E-2</v>
      </c>
      <c r="L21" s="142">
        <f t="shared" si="4"/>
        <v>3.3875468534264173E-2</v>
      </c>
      <c r="M21" s="142">
        <f t="shared" si="5"/>
        <v>8.3604923654893387E-2</v>
      </c>
      <c r="N21" s="142">
        <f t="shared" si="6"/>
        <v>1.318897637795419E-3</v>
      </c>
      <c r="O21" s="142">
        <f t="shared" si="7"/>
        <v>6.5787401574793894E-3</v>
      </c>
      <c r="P21" s="142">
        <f t="shared" si="8"/>
        <v>8.9803149606404627E-3</v>
      </c>
      <c r="Q21" s="142">
        <f t="shared" si="9"/>
        <v>1.121005663816723E-2</v>
      </c>
    </row>
    <row r="22" spans="1:17" x14ac:dyDescent="0.2">
      <c r="A22" s="142">
        <v>1214.4420794253799</v>
      </c>
      <c r="B22" s="142">
        <v>485.42757061647598</v>
      </c>
      <c r="C22" s="142">
        <v>2370.6820481980399</v>
      </c>
      <c r="D22" s="77">
        <v>1211.9612</v>
      </c>
      <c r="E22" s="77">
        <v>484.47340000000003</v>
      </c>
      <c r="F22" s="77">
        <v>2371.9825000000001</v>
      </c>
      <c r="G22" s="142">
        <v>1212.1865</v>
      </c>
      <c r="H22" s="142">
        <v>484.93430000000001</v>
      </c>
      <c r="I22" s="142">
        <v>2372.0801000000001</v>
      </c>
      <c r="J22" s="142">
        <f t="shared" si="2"/>
        <v>-9.7672418322045415E-2</v>
      </c>
      <c r="K22" s="142">
        <f t="shared" si="3"/>
        <v>-3.7565772302202718E-2</v>
      </c>
      <c r="L22" s="142">
        <f t="shared" si="4"/>
        <v>5.1198889840953048E-2</v>
      </c>
      <c r="M22" s="142">
        <f t="shared" si="5"/>
        <v>0.11650070759649324</v>
      </c>
      <c r="N22" s="142">
        <f t="shared" si="6"/>
        <v>-8.8700787401598865E-3</v>
      </c>
      <c r="O22" s="142">
        <f t="shared" si="7"/>
        <v>-1.8145669291337835E-2</v>
      </c>
      <c r="P22" s="142">
        <f t="shared" si="8"/>
        <v>-3.8425196850416046E-3</v>
      </c>
      <c r="Q22" s="142">
        <f t="shared" si="9"/>
        <v>2.055987763624019E-2</v>
      </c>
    </row>
    <row r="23" spans="1:17" x14ac:dyDescent="0.2">
      <c r="A23" s="142">
        <v>631.48981233812503</v>
      </c>
      <c r="B23" s="142">
        <v>733.42517900458802</v>
      </c>
      <c r="C23" s="142">
        <v>2371.9639572580099</v>
      </c>
      <c r="D23" s="77">
        <v>628.83209999999997</v>
      </c>
      <c r="E23" s="77">
        <v>732.73879999999997</v>
      </c>
      <c r="F23" s="77">
        <v>2372.7556</v>
      </c>
      <c r="G23" s="142">
        <v>629.22019999999998</v>
      </c>
      <c r="H23" s="142">
        <v>732.90089999999998</v>
      </c>
      <c r="I23" s="142">
        <v>2372.8897000000002</v>
      </c>
      <c r="J23" s="142">
        <f t="shared" si="2"/>
        <v>-0.10463434402067189</v>
      </c>
      <c r="K23" s="142">
        <f t="shared" si="3"/>
        <v>-2.7022795456222354E-2</v>
      </c>
      <c r="L23" s="142">
        <f t="shared" si="4"/>
        <v>3.116703708622116E-2</v>
      </c>
      <c r="M23" s="142">
        <f t="shared" si="5"/>
        <v>0.11247204818815665</v>
      </c>
      <c r="N23" s="142">
        <f t="shared" si="6"/>
        <v>-1.5279527559055456E-2</v>
      </c>
      <c r="O23" s="142">
        <f t="shared" si="7"/>
        <v>-6.3818897637799004E-3</v>
      </c>
      <c r="P23" s="142">
        <f t="shared" si="8"/>
        <v>-5.2795275590636547E-3</v>
      </c>
      <c r="Q23" s="142">
        <f t="shared" si="9"/>
        <v>1.7380042883488132E-2</v>
      </c>
    </row>
    <row r="24" spans="1:17" x14ac:dyDescent="0.2">
      <c r="A24" s="142">
        <v>126.88719981753199</v>
      </c>
      <c r="B24" s="142">
        <v>518.50181694552202</v>
      </c>
      <c r="C24" s="142">
        <v>2178.75449508062</v>
      </c>
      <c r="D24" s="77">
        <v>124.94289999999999</v>
      </c>
      <c r="E24" s="77">
        <v>518.13570000000004</v>
      </c>
      <c r="F24" s="77">
        <v>2179.4629</v>
      </c>
      <c r="G24" s="142">
        <v>124.80329999999999</v>
      </c>
      <c r="H24" s="142">
        <v>517.99220000000003</v>
      </c>
      <c r="I24" s="142">
        <v>2179.1795999999999</v>
      </c>
      <c r="J24" s="142">
        <f t="shared" si="2"/>
        <v>-7.654723691070861E-2</v>
      </c>
      <c r="K24" s="142">
        <f t="shared" si="3"/>
        <v>-1.4414052973306323E-2</v>
      </c>
      <c r="L24" s="142">
        <f t="shared" si="4"/>
        <v>2.7889957455904446E-2</v>
      </c>
      <c r="M24" s="142">
        <f t="shared" si="5"/>
        <v>8.2735084025300845E-2</v>
      </c>
      <c r="N24" s="142">
        <f t="shared" si="6"/>
        <v>5.496062992126044E-3</v>
      </c>
      <c r="O24" s="142">
        <f t="shared" si="7"/>
        <v>5.6496062992132789E-3</v>
      </c>
      <c r="P24" s="142">
        <f t="shared" si="8"/>
        <v>1.1153543307088735E-2</v>
      </c>
      <c r="Q24" s="142">
        <f t="shared" si="9"/>
        <v>1.3657462723823621E-2</v>
      </c>
    </row>
    <row r="25" spans="1:17" x14ac:dyDescent="0.2">
      <c r="A25" s="142">
        <v>-315.65825186791602</v>
      </c>
      <c r="B25" s="142">
        <v>301.87221148211</v>
      </c>
      <c r="C25" s="142">
        <v>1481.41885293378</v>
      </c>
      <c r="D25" s="77">
        <v>-316.952</v>
      </c>
      <c r="E25" s="77">
        <v>301.51600000000002</v>
      </c>
      <c r="F25" s="77">
        <v>1481.8172</v>
      </c>
      <c r="G25" s="142">
        <v>-317.10199999999998</v>
      </c>
      <c r="H25" s="142">
        <v>301.48829999999998</v>
      </c>
      <c r="I25" s="142">
        <v>1481.3989999999999</v>
      </c>
      <c r="J25" s="142">
        <f t="shared" si="2"/>
        <v>-5.0934965830077818E-2</v>
      </c>
      <c r="K25" s="142">
        <f t="shared" si="3"/>
        <v>-1.4024074098818269E-2</v>
      </c>
      <c r="L25" s="142">
        <f t="shared" si="4"/>
        <v>1.5682955362988679E-2</v>
      </c>
      <c r="M25" s="142">
        <f t="shared" si="5"/>
        <v>5.5108987355583262E-2</v>
      </c>
      <c r="N25" s="142">
        <f t="shared" si="6"/>
        <v>5.9055118110227268E-3</v>
      </c>
      <c r="O25" s="142">
        <f t="shared" si="7"/>
        <v>1.0905511811038768E-3</v>
      </c>
      <c r="P25" s="142">
        <f t="shared" si="8"/>
        <v>1.6464566929136608E-2</v>
      </c>
      <c r="Q25" s="142">
        <f t="shared" si="9"/>
        <v>1.7525590882842005E-2</v>
      </c>
    </row>
    <row r="26" spans="1:17" x14ac:dyDescent="0.2">
      <c r="A26" s="142">
        <v>-514.47936008929605</v>
      </c>
      <c r="B26" s="142">
        <v>356.62135334457201</v>
      </c>
      <c r="C26" s="142">
        <v>1330.73272984286</v>
      </c>
      <c r="D26" s="77">
        <v>-515.89080000000001</v>
      </c>
      <c r="E26" s="77">
        <v>356.37099999999998</v>
      </c>
      <c r="F26" s="77">
        <v>1330.9018000000001</v>
      </c>
      <c r="G26" s="142">
        <v>-515.79010000000005</v>
      </c>
      <c r="H26" s="142">
        <v>356.25920000000002</v>
      </c>
      <c r="I26" s="142">
        <v>1330.5454999999999</v>
      </c>
      <c r="J26" s="142">
        <f t="shared" si="2"/>
        <v>-5.5568500421415819E-2</v>
      </c>
      <c r="K26" s="142">
        <f t="shared" si="3"/>
        <v>-9.8564308886627417E-3</v>
      </c>
      <c r="L26" s="142">
        <f t="shared" si="4"/>
        <v>6.6563053992181303E-3</v>
      </c>
      <c r="M26" s="142">
        <f t="shared" si="5"/>
        <v>5.6827052277199239E-2</v>
      </c>
      <c r="N26" s="142">
        <f t="shared" si="6"/>
        <v>-3.964566929132312E-3</v>
      </c>
      <c r="O26" s="142">
        <f t="shared" si="7"/>
        <v>4.4015748031480204E-3</v>
      </c>
      <c r="P26" s="142">
        <f t="shared" si="8"/>
        <v>1.4027559055123883E-2</v>
      </c>
      <c r="Q26" s="142">
        <f t="shared" si="9"/>
        <v>1.5227083263982803E-2</v>
      </c>
    </row>
    <row r="27" spans="1:17" x14ac:dyDescent="0.2">
      <c r="A27" s="142">
        <v>-318.54652549043698</v>
      </c>
      <c r="B27" s="142">
        <v>426.16263723881599</v>
      </c>
      <c r="C27" s="142">
        <v>820.46871557048803</v>
      </c>
      <c r="D27" s="77">
        <v>-319.58120000000002</v>
      </c>
      <c r="E27" s="77">
        <v>425.94380000000001</v>
      </c>
      <c r="F27" s="77">
        <v>820.40859999999998</v>
      </c>
      <c r="G27" s="142">
        <v>-319.40120000000002</v>
      </c>
      <c r="H27" s="142">
        <v>425.91989999999998</v>
      </c>
      <c r="I27" s="142">
        <v>820.47320000000002</v>
      </c>
      <c r="J27" s="142">
        <f t="shared" si="2"/>
        <v>-4.0735216911930973E-2</v>
      </c>
      <c r="K27" s="142">
        <f t="shared" si="3"/>
        <v>-8.6156393234637467E-3</v>
      </c>
      <c r="L27" s="142">
        <f t="shared" si="4"/>
        <v>-2.3667547436240616E-3</v>
      </c>
      <c r="M27" s="142">
        <f t="shared" si="5"/>
        <v>4.1703580971309273E-2</v>
      </c>
      <c r="N27" s="142">
        <f t="shared" si="6"/>
        <v>-7.0866141732286152E-3</v>
      </c>
      <c r="O27" s="142">
        <f t="shared" si="7"/>
        <v>9.4094488189078792E-4</v>
      </c>
      <c r="P27" s="142">
        <f t="shared" si="8"/>
        <v>-2.543307086615799E-3</v>
      </c>
      <c r="Q27" s="142">
        <f t="shared" si="9"/>
        <v>7.5877459530344915E-3</v>
      </c>
    </row>
    <row r="28" spans="1:17" x14ac:dyDescent="0.2">
      <c r="A28" s="142">
        <v>-356.93402670974803</v>
      </c>
      <c r="B28" s="142">
        <v>422.96356461030803</v>
      </c>
      <c r="C28" s="142">
        <v>825.80870274658503</v>
      </c>
      <c r="D28" s="77">
        <v>-357.96600000000001</v>
      </c>
      <c r="E28" s="77">
        <v>422.78469999999999</v>
      </c>
      <c r="F28" s="77">
        <v>825.70169999999996</v>
      </c>
      <c r="G28" s="142">
        <v>-357.79329999999999</v>
      </c>
      <c r="H28" s="142">
        <v>422.71769999999998</v>
      </c>
      <c r="I28" s="142">
        <v>825.77790000000005</v>
      </c>
      <c r="J28" s="142">
        <f t="shared" si="2"/>
        <v>-4.062886969495997E-2</v>
      </c>
      <c r="K28" s="142">
        <f t="shared" si="3"/>
        <v>-7.0419137916551021E-3</v>
      </c>
      <c r="L28" s="142">
        <f t="shared" si="4"/>
        <v>-4.2127065584672109E-3</v>
      </c>
      <c r="M28" s="142">
        <f t="shared" si="5"/>
        <v>4.1449252093215039E-2</v>
      </c>
      <c r="N28" s="142">
        <f t="shared" si="6"/>
        <v>-6.799212598425996E-3</v>
      </c>
      <c r="O28" s="142">
        <f t="shared" si="7"/>
        <v>2.637795275590838E-3</v>
      </c>
      <c r="P28" s="142">
        <f t="shared" si="8"/>
        <v>-3.0000000000033589E-3</v>
      </c>
      <c r="Q28" s="142">
        <f t="shared" si="9"/>
        <v>7.885889669184085E-3</v>
      </c>
    </row>
    <row r="29" spans="1:17" x14ac:dyDescent="0.2">
      <c r="A29" s="142">
        <v>-84.052630145098107</v>
      </c>
      <c r="B29" s="142">
        <v>-217.13734867782301</v>
      </c>
      <c r="C29" s="142">
        <v>894.75387307380504</v>
      </c>
      <c r="D29" s="77">
        <v>-85.212999999999994</v>
      </c>
      <c r="E29" s="77">
        <v>-217.47970000000001</v>
      </c>
      <c r="F29" s="77">
        <v>894.798</v>
      </c>
      <c r="G29" s="142">
        <v>-84.940299999999993</v>
      </c>
      <c r="H29" s="142">
        <v>-217.3836</v>
      </c>
      <c r="I29" s="142">
        <v>894.83209999999997</v>
      </c>
      <c r="J29" s="142">
        <f t="shared" si="2"/>
        <v>-4.5683852555192417E-2</v>
      </c>
      <c r="K29" s="142">
        <f t="shared" si="3"/>
        <v>-1.3478398510905322E-2</v>
      </c>
      <c r="L29" s="142">
        <f t="shared" si="4"/>
        <v>1.7372805588568047E-3</v>
      </c>
      <c r="M29" s="142">
        <f t="shared" si="5"/>
        <v>4.7662351541269105E-2</v>
      </c>
      <c r="N29" s="142">
        <f t="shared" si="6"/>
        <v>-1.0736220472440961E-2</v>
      </c>
      <c r="O29" s="142">
        <f t="shared" si="7"/>
        <v>-3.7834645669294082E-3</v>
      </c>
      <c r="P29" s="142">
        <f t="shared" si="8"/>
        <v>-1.3425196850380596E-3</v>
      </c>
      <c r="Q29" s="142">
        <f t="shared" si="9"/>
        <v>1.1462259518384036E-2</v>
      </c>
    </row>
    <row r="30" spans="1:17" x14ac:dyDescent="0.2">
      <c r="A30" s="142">
        <v>514.47491992351399</v>
      </c>
      <c r="B30" s="142">
        <v>-761.15709585249999</v>
      </c>
      <c r="C30" s="142">
        <v>1036.6976478731101</v>
      </c>
      <c r="D30" s="77">
        <v>513.44880000000001</v>
      </c>
      <c r="E30" s="77">
        <v>-761.45550000000003</v>
      </c>
      <c r="F30" s="77">
        <v>1037.2344000000001</v>
      </c>
      <c r="G30" s="142">
        <v>513.48789999999997</v>
      </c>
      <c r="H30" s="142">
        <v>-761.40210000000002</v>
      </c>
      <c r="I30" s="142">
        <v>1037.1990000000001</v>
      </c>
      <c r="J30" s="142">
        <f t="shared" si="2"/>
        <v>-4.0398422185590095E-2</v>
      </c>
      <c r="K30" s="142">
        <f t="shared" si="3"/>
        <v>-1.1748194783466014E-2</v>
      </c>
      <c r="L30" s="142">
        <f t="shared" si="4"/>
        <v>2.1131973499604367E-2</v>
      </c>
      <c r="M30" s="142">
        <f t="shared" si="5"/>
        <v>4.7080918637420588E-2</v>
      </c>
      <c r="N30" s="142">
        <f t="shared" si="6"/>
        <v>-1.5393700787386679E-3</v>
      </c>
      <c r="O30" s="142">
        <f t="shared" si="7"/>
        <v>-2.1023622047248247E-3</v>
      </c>
      <c r="P30" s="142">
        <f t="shared" si="8"/>
        <v>1.3937007874008445E-3</v>
      </c>
      <c r="Q30" s="142">
        <f t="shared" si="9"/>
        <v>2.9549939025272204E-3</v>
      </c>
    </row>
    <row r="31" spans="1:17" x14ac:dyDescent="0.2">
      <c r="A31" s="142">
        <v>1132.67899054755</v>
      </c>
      <c r="B31" s="142">
        <v>-560.49461992670399</v>
      </c>
      <c r="C31" s="142">
        <v>601.90374613310905</v>
      </c>
      <c r="D31" s="77">
        <v>1132.2365</v>
      </c>
      <c r="E31" s="77">
        <v>-560.64359999999999</v>
      </c>
      <c r="F31" s="77">
        <v>602.77980000000002</v>
      </c>
      <c r="G31" s="142">
        <v>1132.0730000000001</v>
      </c>
      <c r="H31" s="142">
        <v>-560.61410000000001</v>
      </c>
      <c r="I31" s="142">
        <v>603.00540000000001</v>
      </c>
      <c r="J31" s="142">
        <f t="shared" si="2"/>
        <v>-1.7420887698820903E-2</v>
      </c>
      <c r="K31" s="142">
        <f t="shared" si="3"/>
        <v>-5.8653572163780334E-3</v>
      </c>
      <c r="L31" s="142">
        <f t="shared" si="4"/>
        <v>3.4490309720116942E-2</v>
      </c>
      <c r="M31" s="142">
        <f t="shared" si="5"/>
        <v>3.908287614902773E-2</v>
      </c>
      <c r="N31" s="142">
        <f t="shared" si="6"/>
        <v>6.4370078740112364E-3</v>
      </c>
      <c r="O31" s="142">
        <f t="shared" si="7"/>
        <v>-1.1614173228340369E-3</v>
      </c>
      <c r="P31" s="142">
        <f t="shared" si="8"/>
        <v>-8.8818897637789693E-3</v>
      </c>
      <c r="Q31" s="142">
        <f t="shared" si="9"/>
        <v>1.1030499822935644E-2</v>
      </c>
    </row>
    <row r="32" spans="1:17" x14ac:dyDescent="0.2">
      <c r="A32" s="142">
        <v>1352.4678567570299</v>
      </c>
      <c r="B32" s="142">
        <v>-600.82775503684104</v>
      </c>
      <c r="C32" s="142">
        <v>895.586346781977</v>
      </c>
      <c r="D32" s="77">
        <v>1351.6697999999999</v>
      </c>
      <c r="E32" s="77">
        <v>-601.05960000000005</v>
      </c>
      <c r="F32" s="77">
        <v>896.99710000000005</v>
      </c>
      <c r="G32" s="142">
        <v>1351.5992000000001</v>
      </c>
      <c r="H32" s="142">
        <v>-600.99839999999995</v>
      </c>
      <c r="I32" s="142">
        <v>896.87729999999999</v>
      </c>
      <c r="J32" s="142">
        <f t="shared" si="2"/>
        <v>-3.1419557363387939E-2</v>
      </c>
      <c r="K32" s="142">
        <f t="shared" si="3"/>
        <v>-9.1277544550789607E-3</v>
      </c>
      <c r="L32" s="142">
        <f t="shared" si="4"/>
        <v>5.5541465276497892E-2</v>
      </c>
      <c r="M32" s="142">
        <f t="shared" si="5"/>
        <v>6.4462072968249018E-2</v>
      </c>
      <c r="N32" s="142">
        <f t="shared" si="6"/>
        <v>2.7795275590466822E-3</v>
      </c>
      <c r="O32" s="142">
        <f t="shared" si="7"/>
        <v>-2.4094488189015336E-3</v>
      </c>
      <c r="P32" s="142">
        <f t="shared" si="8"/>
        <v>4.7165354330730219E-3</v>
      </c>
      <c r="Q32" s="142">
        <f t="shared" si="9"/>
        <v>5.981381408490795E-3</v>
      </c>
    </row>
    <row r="33" spans="1:17" x14ac:dyDescent="0.2">
      <c r="A33" s="142">
        <v>955.71539701987899</v>
      </c>
      <c r="B33" s="142">
        <v>-260.61098179182801</v>
      </c>
      <c r="C33" s="142">
        <v>1323.7339592466101</v>
      </c>
      <c r="D33" s="77">
        <v>954.21630000000005</v>
      </c>
      <c r="E33" s="77">
        <v>-260.89620000000002</v>
      </c>
      <c r="F33" s="77">
        <v>1324.7048</v>
      </c>
      <c r="G33" s="142">
        <v>954.44299999999998</v>
      </c>
      <c r="H33" s="142">
        <v>-260.89409999999998</v>
      </c>
      <c r="I33" s="142">
        <v>1324.7399</v>
      </c>
      <c r="J33" s="142">
        <f t="shared" si="2"/>
        <v>-5.9019567711769513E-2</v>
      </c>
      <c r="K33" s="142">
        <f t="shared" si="3"/>
        <v>-1.1229063313858725E-2</v>
      </c>
      <c r="L33" s="142">
        <f t="shared" si="4"/>
        <v>3.8222076905113922E-2</v>
      </c>
      <c r="M33" s="142">
        <f t="shared" si="5"/>
        <v>7.1206238481829928E-2</v>
      </c>
      <c r="N33" s="142">
        <f t="shared" si="6"/>
        <v>-8.9251968503912243E-3</v>
      </c>
      <c r="O33" s="142">
        <f t="shared" si="7"/>
        <v>-8.2677165355956339E-5</v>
      </c>
      <c r="P33" s="142">
        <f t="shared" si="8"/>
        <v>-1.3818897637817621E-3</v>
      </c>
      <c r="Q33" s="142">
        <f t="shared" si="9"/>
        <v>9.0319208173649055E-3</v>
      </c>
    </row>
    <row r="34" spans="1:17" x14ac:dyDescent="0.2">
      <c r="A34" s="142"/>
      <c r="B34" s="142"/>
      <c r="C34" s="142"/>
      <c r="D34" s="142"/>
      <c r="E34" s="142"/>
      <c r="F34" s="142"/>
      <c r="G34" s="142"/>
      <c r="H34" s="142"/>
      <c r="I34" s="142"/>
      <c r="J34" s="142"/>
      <c r="K34" s="142"/>
      <c r="L34" s="142"/>
      <c r="M34" s="142">
        <f>SQRT(SUMSQ(J2:L33))</f>
        <v>0.48941031557131148</v>
      </c>
      <c r="N34" s="142"/>
      <c r="O34" s="142"/>
      <c r="P34" s="142"/>
      <c r="Q34" s="142">
        <f>SQRT(SUMSQ(N2:P33))</f>
        <v>8.401162661743608E-2</v>
      </c>
    </row>
  </sheetData>
  <mergeCells count="2">
    <mergeCell ref="J1:M1"/>
    <mergeCell ref="N1:Q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tint="0.499984740745262"/>
  </sheetPr>
  <dimension ref="A1:BB318"/>
  <sheetViews>
    <sheetView tabSelected="1" topLeftCell="U1" zoomScale="80" zoomScaleNormal="80" workbookViewId="0">
      <pane ySplit="1" topLeftCell="A2" activePane="bottomLeft" state="frozen"/>
      <selection activeCell="D23" sqref="D23"/>
      <selection pane="bottomLeft" activeCell="AU10" sqref="AU10"/>
    </sheetView>
  </sheetViews>
  <sheetFormatPr defaultColWidth="8.7109375" defaultRowHeight="12.75" x14ac:dyDescent="0.2"/>
  <cols>
    <col min="1" max="1" width="4.42578125" style="6" bestFit="1" customWidth="1"/>
    <col min="2" max="2" width="5.85546875" style="6" bestFit="1" customWidth="1"/>
    <col min="3" max="3" width="7.42578125" style="6" bestFit="1" customWidth="1"/>
    <col min="4" max="4" width="7.7109375" style="6" bestFit="1" customWidth="1"/>
    <col min="5" max="5" width="6.28515625" style="6" bestFit="1" customWidth="1"/>
    <col min="6" max="6" width="5.140625" style="32" bestFit="1" customWidth="1"/>
    <col min="7" max="7" width="5" style="21" customWidth="1"/>
    <col min="8" max="10" width="8.85546875" style="77" bestFit="1" customWidth="1"/>
    <col min="11" max="11" width="13.7109375" style="77" bestFit="1" customWidth="1"/>
    <col min="12" max="12" width="7.85546875" style="77" bestFit="1" customWidth="1"/>
    <col min="13" max="13" width="8.85546875" style="77" bestFit="1" customWidth="1"/>
    <col min="14" max="14" width="9.85546875" style="81" bestFit="1" customWidth="1"/>
    <col min="15" max="15" width="9.28515625" style="77" bestFit="1" customWidth="1"/>
    <col min="16" max="16" width="10" style="77" bestFit="1" customWidth="1"/>
    <col min="17" max="17" width="9.28515625" style="77" bestFit="1" customWidth="1"/>
    <col min="18" max="20" width="9.28515625" style="77" customWidth="1"/>
    <col min="21" max="21" width="10.85546875" style="77" customWidth="1"/>
    <col min="22" max="22" width="10.5703125" style="77" customWidth="1"/>
    <col min="23" max="24" width="9.85546875" style="77" customWidth="1"/>
    <col min="25" max="25" width="9.42578125" style="77" customWidth="1"/>
    <col min="26" max="26" width="10.5703125" style="77" customWidth="1"/>
    <col min="27" max="27" width="10.140625" style="77" customWidth="1"/>
    <col min="28" max="32" width="9.42578125" style="77" customWidth="1"/>
    <col min="33" max="33" width="7.140625" style="77" bestFit="1" customWidth="1"/>
    <col min="34" max="34" width="11.42578125" style="6" bestFit="1" customWidth="1"/>
    <col min="35" max="35" width="9.42578125" style="6" customWidth="1"/>
    <col min="36" max="36" width="12.28515625" style="6" bestFit="1" customWidth="1"/>
    <col min="37" max="38" width="10.85546875" style="6" bestFit="1" customWidth="1"/>
    <col min="39" max="40" width="9" style="6" customWidth="1"/>
    <col min="41" max="41" width="9.28515625" style="6" bestFit="1" customWidth="1"/>
    <col min="42" max="44" width="9" style="6" customWidth="1"/>
    <col min="45" max="45" width="9.140625" style="6" customWidth="1"/>
    <col min="46" max="46" width="8.7109375" style="6"/>
    <col min="47" max="47" width="16.28515625" style="6" bestFit="1" customWidth="1"/>
    <col min="48" max="48" width="8.85546875" style="6" bestFit="1" customWidth="1"/>
    <col min="49" max="49" width="18.42578125" style="6" bestFit="1" customWidth="1"/>
    <col min="50" max="50" width="13" style="6" bestFit="1" customWidth="1"/>
    <col min="51" max="53" width="8.85546875" style="6" bestFit="1" customWidth="1"/>
    <col min="54" max="54" width="13" style="6" bestFit="1" customWidth="1"/>
    <col min="55" max="16384" width="8.7109375" style="6"/>
  </cols>
  <sheetData>
    <row r="1" spans="1:54" s="81" customFormat="1" ht="36.75" customHeight="1" x14ac:dyDescent="0.2">
      <c r="F1" s="79" t="s">
        <v>23</v>
      </c>
      <c r="G1" s="79" t="s">
        <v>24</v>
      </c>
      <c r="H1" s="131" t="s">
        <v>1165</v>
      </c>
      <c r="I1" s="131" t="s">
        <v>1166</v>
      </c>
      <c r="J1" s="131" t="s">
        <v>1167</v>
      </c>
      <c r="K1" s="131" t="s">
        <v>1168</v>
      </c>
      <c r="L1" s="131" t="s">
        <v>1169</v>
      </c>
      <c r="M1" s="139" t="s">
        <v>1170</v>
      </c>
      <c r="N1" s="148" t="s">
        <v>27</v>
      </c>
      <c r="O1" s="140" t="s">
        <v>7</v>
      </c>
      <c r="P1" s="140" t="s">
        <v>8</v>
      </c>
      <c r="Q1" s="140" t="s">
        <v>9</v>
      </c>
      <c r="R1" s="131" t="s">
        <v>1207</v>
      </c>
      <c r="S1" s="131" t="s">
        <v>1208</v>
      </c>
      <c r="T1" s="131" t="s">
        <v>1209</v>
      </c>
      <c r="U1" s="140" t="s">
        <v>4</v>
      </c>
      <c r="V1" s="140" t="s">
        <v>5</v>
      </c>
      <c r="W1" s="140" t="s">
        <v>6</v>
      </c>
      <c r="X1" s="140" t="s">
        <v>10</v>
      </c>
      <c r="Y1" s="140" t="s">
        <v>11</v>
      </c>
      <c r="Z1" s="140" t="s">
        <v>33</v>
      </c>
      <c r="AA1" s="132" t="s">
        <v>35</v>
      </c>
      <c r="AB1" s="132" t="s">
        <v>36</v>
      </c>
      <c r="AC1" s="132" t="s">
        <v>37</v>
      </c>
      <c r="AD1" s="147" t="s">
        <v>1204</v>
      </c>
      <c r="AE1" s="147" t="s">
        <v>1205</v>
      </c>
      <c r="AF1" s="147" t="s">
        <v>1206</v>
      </c>
      <c r="AG1" s="132" t="s">
        <v>34</v>
      </c>
      <c r="AH1" s="82" t="s">
        <v>1210</v>
      </c>
      <c r="AI1" s="82"/>
      <c r="AK1" s="131" t="str">
        <f t="shared" ref="AK1:AP1" si="0">H1</f>
        <v>J1m</v>
      </c>
      <c r="AL1" s="131" t="str">
        <f t="shared" si="0"/>
        <v>J2m</v>
      </c>
      <c r="AM1" s="131" t="str">
        <f t="shared" si="0"/>
        <v>J3m</v>
      </c>
      <c r="AN1" s="131" t="str">
        <f t="shared" si="0"/>
        <v>J4m</v>
      </c>
      <c r="AO1" s="131" t="str">
        <f t="shared" si="0"/>
        <v>J5m</v>
      </c>
      <c r="AP1" s="131" t="str">
        <f t="shared" si="0"/>
        <v>J6m</v>
      </c>
      <c r="AQ1" s="131" t="s">
        <v>1222</v>
      </c>
      <c r="AR1" s="82" t="s">
        <v>1223</v>
      </c>
      <c r="AS1" s="82"/>
      <c r="AT1" s="82"/>
      <c r="AU1" s="83"/>
      <c r="AV1" s="83"/>
      <c r="AW1" s="133" t="s">
        <v>53</v>
      </c>
    </row>
    <row r="2" spans="1:54" x14ac:dyDescent="0.2">
      <c r="A2" s="2" t="s">
        <v>1222</v>
      </c>
      <c r="B2" s="9"/>
      <c r="C2" s="9"/>
      <c r="D2" s="9"/>
      <c r="E2" s="9"/>
      <c r="F2" s="31" t="str">
        <f>A2</f>
        <v>P1</v>
      </c>
      <c r="G2" s="21">
        <v>0</v>
      </c>
      <c r="H2">
        <v>40.9042034149169</v>
      </c>
      <c r="I2">
        <v>-86.598392486572195</v>
      </c>
      <c r="J2">
        <v>97.453796005249004</v>
      </c>
      <c r="K2">
        <v>77.730917739868104</v>
      </c>
      <c r="L2">
        <v>-42.066586112975997</v>
      </c>
      <c r="M2">
        <v>-73.705323410034097</v>
      </c>
      <c r="N2">
        <v>10</v>
      </c>
      <c r="O2">
        <v>505.24416042183202</v>
      </c>
      <c r="P2">
        <v>-36.704620956260399</v>
      </c>
      <c r="Q2">
        <v>1731.46725994451</v>
      </c>
      <c r="R2">
        <v>90.075128449976603</v>
      </c>
      <c r="S2">
        <v>4.98934519838431</v>
      </c>
      <c r="T2">
        <v>-90.310133146618895</v>
      </c>
      <c r="U2" s="77">
        <v>505.12329999999997</v>
      </c>
      <c r="V2" s="77">
        <v>-36.772199999999998</v>
      </c>
      <c r="W2" s="77">
        <v>1731.2565</v>
      </c>
      <c r="X2" s="6">
        <v>90.081900000000005</v>
      </c>
      <c r="Y2" s="6">
        <v>4.9638</v>
      </c>
      <c r="Z2" s="6">
        <v>-90.084299999999999</v>
      </c>
      <c r="AA2" s="77">
        <f t="shared" ref="AA2" si="1">IF(F2&lt;&gt;"bad",(O2-U2)*UnitsErr,0)</f>
        <v>4.7582843240964101E-3</v>
      </c>
      <c r="AB2" s="77">
        <f t="shared" ref="AB2" si="2">IF(F2&lt;&gt;"bad",(P2-V2)*UnitsErr,0)</f>
        <v>2.6605922732125544E-3</v>
      </c>
      <c r="AC2" s="77">
        <f t="shared" ref="AC2" si="3">IF(F2&lt;&gt;"bad",(Q2-W2)*UnitsErr,0)</f>
        <v>8.2976356106328024E-3</v>
      </c>
      <c r="AD2" s="77">
        <f>R2-Dataout[[#This Row],[Atp]]</f>
        <v>-6.7715500234015735E-3</v>
      </c>
      <c r="AE2" s="77">
        <f>S2-Dataout[[#This Row],[Btp]]</f>
        <v>2.5545198384310019E-2</v>
      </c>
      <c r="AF2" s="77">
        <f>T2-Dataout[[#This Row],[Ctp]]</f>
        <v>-0.22583314661889631</v>
      </c>
      <c r="AG2" s="77">
        <f t="shared" ref="AG2" si="4">IF(F2&lt;&gt;"bad",SQRT(SUMSQ(AA2:AC2)),0)</f>
        <v>9.9282817083351117E-3</v>
      </c>
      <c r="AH2" s="134">
        <f>SQRT(SUMSQ(AD2:AF2))</f>
        <v>0.22737418754556354</v>
      </c>
      <c r="AI2" s="134"/>
      <c r="AJ2" s="9" t="s">
        <v>41</v>
      </c>
      <c r="AK2" s="84">
        <v>10</v>
      </c>
      <c r="AL2" s="84">
        <v>10</v>
      </c>
      <c r="AM2" s="84">
        <v>10</v>
      </c>
      <c r="AN2" s="84">
        <v>10</v>
      </c>
      <c r="AO2" s="84">
        <v>10</v>
      </c>
      <c r="AP2" s="84">
        <v>10</v>
      </c>
      <c r="AQ2" s="84">
        <v>10</v>
      </c>
      <c r="AR2" s="84">
        <v>10</v>
      </c>
      <c r="AS2" s="84"/>
      <c r="AT2" s="84"/>
      <c r="AV2" s="9"/>
      <c r="AW2" s="6">
        <v>2</v>
      </c>
      <c r="AX2" s="6">
        <f>IF(AW2=1,1,IF(AW2=2,1/25.4,1))</f>
        <v>3.937007874015748E-2</v>
      </c>
    </row>
    <row r="3" spans="1:54" x14ac:dyDescent="0.2">
      <c r="A3" s="2" t="s">
        <v>1222</v>
      </c>
      <c r="B3" s="9"/>
      <c r="C3" s="9"/>
      <c r="D3" s="9"/>
      <c r="E3" s="9"/>
      <c r="F3" s="31" t="str">
        <f t="shared" ref="F3:F66" si="5">A3</f>
        <v>P1</v>
      </c>
      <c r="G3" s="21">
        <v>1</v>
      </c>
      <c r="H3">
        <v>36.309498596191403</v>
      </c>
      <c r="I3">
        <v>-64.941879272460895</v>
      </c>
      <c r="J3">
        <v>71.079097366333002</v>
      </c>
      <c r="K3">
        <v>80.935655212402295</v>
      </c>
      <c r="L3">
        <v>-51.751238059997497</v>
      </c>
      <c r="M3">
        <v>-78.734758758544899</v>
      </c>
      <c r="N3">
        <v>10</v>
      </c>
      <c r="O3">
        <v>504.75208280775598</v>
      </c>
      <c r="P3">
        <v>-334.01191392111502</v>
      </c>
      <c r="Q3">
        <v>1738.0042075794499</v>
      </c>
      <c r="R3">
        <v>86.688442660696893</v>
      </c>
      <c r="S3">
        <v>19.629585454075301</v>
      </c>
      <c r="T3">
        <v>-90.013002078625306</v>
      </c>
      <c r="U3" s="77">
        <v>504.7724</v>
      </c>
      <c r="V3" s="77">
        <v>-334.01130000000001</v>
      </c>
      <c r="W3" s="77">
        <v>1738.0425</v>
      </c>
      <c r="X3" s="6">
        <v>86.676400000000001</v>
      </c>
      <c r="Y3" s="6">
        <v>19.598199999999999</v>
      </c>
      <c r="Z3" s="6">
        <v>-89.777600000000007</v>
      </c>
      <c r="AA3" s="77">
        <f t="shared" ref="AA3:AA5" si="6">IF(F3&lt;&gt;"bad",(O3-U3)*UnitsErr,0)</f>
        <v>-7.9988945842606113E-4</v>
      </c>
      <c r="AB3" s="77">
        <f t="shared" ref="AB3:AB5" si="7">IF(F3&lt;&gt;"bad",(P3-V3)*UnitsErr,0)</f>
        <v>-2.4170122638521907E-5</v>
      </c>
      <c r="AC3" s="77">
        <f t="shared" ref="AC3:AC5" si="8">IF(F3&lt;&gt;"bad",(Q3-W3)*UnitsErr,0)</f>
        <v>-1.5075756122078163E-3</v>
      </c>
      <c r="AD3" s="77">
        <f>R3-Dataout[[#This Row],[Atp]]</f>
        <v>1.2042660696891971E-2</v>
      </c>
      <c r="AE3" s="77">
        <f>S3-Dataout[[#This Row],[Btp]]</f>
        <v>3.1385454075302022E-2</v>
      </c>
      <c r="AF3" s="77">
        <f>T3-Dataout[[#This Row],[Ctp]]</f>
        <v>-0.23540207862529883</v>
      </c>
      <c r="AG3" s="77">
        <f t="shared" ref="AG3:AG5" si="9">IF(F3&lt;&gt;"bad",SQRT(SUMSQ(AA3:AC3)),0)</f>
        <v>1.7068074194393668E-3</v>
      </c>
      <c r="AH3" s="134">
        <f t="shared" ref="AH3:AH48" si="10">SQRT(SUMSQ(AD3:AF3))</f>
        <v>0.23779026688509505</v>
      </c>
      <c r="AI3" s="134"/>
      <c r="AJ3" s="9" t="s">
        <v>25</v>
      </c>
      <c r="AK3" s="135" t="e">
        <f ca="1">A3s(Axis,AK$1,TP,AK$2,Rerr)</f>
        <v>#VALUE!</v>
      </c>
      <c r="AL3" s="135" t="e">
        <f ca="1">A3s(Axis,AL$1,TP,AL$2,Rerr)</f>
        <v>#VALUE!</v>
      </c>
      <c r="AM3" s="135" t="e">
        <f t="shared" ref="AM3:AP3" ca="1" si="11">A3s(Axis,AM$1,TP,AM$2,Rerr)</f>
        <v>#VALUE!</v>
      </c>
      <c r="AN3" s="135" t="e">
        <f t="shared" ca="1" si="11"/>
        <v>#VALUE!</v>
      </c>
      <c r="AO3" s="135" t="e">
        <f t="shared" ca="1" si="11"/>
        <v>#VALUE!</v>
      </c>
      <c r="AP3" s="135" t="e">
        <f t="shared" ca="1" si="11"/>
        <v>#VALUE!</v>
      </c>
      <c r="AQ3" s="135">
        <f ca="1">A3s(Axis,AQ$1,TP,AQ$2,Rerr)</f>
        <v>1.4648217715258267E-2</v>
      </c>
      <c r="AR3" s="135">
        <f ca="1">A3s(Axis,AR$1,TP,AR$2,Rerr)</f>
        <v>1.422988377560468E-2</v>
      </c>
      <c r="AS3" s="135"/>
      <c r="AT3" s="135"/>
      <c r="AU3" s="135"/>
      <c r="AV3" s="9"/>
    </row>
    <row r="4" spans="1:54" x14ac:dyDescent="0.2">
      <c r="A4" s="2" t="s">
        <v>1222</v>
      </c>
      <c r="B4" s="9"/>
      <c r="C4" s="9"/>
      <c r="D4" s="9"/>
      <c r="E4" s="9"/>
      <c r="F4" s="31" t="str">
        <f t="shared" si="5"/>
        <v>P1</v>
      </c>
      <c r="G4" s="21">
        <v>2</v>
      </c>
      <c r="H4">
        <v>31.505301952362</v>
      </c>
      <c r="I4">
        <v>-53.136457443237298</v>
      </c>
      <c r="J4">
        <v>52.868396759033203</v>
      </c>
      <c r="K4">
        <v>90.435579681396405</v>
      </c>
      <c r="L4">
        <v>-31.498272895812899</v>
      </c>
      <c r="M4">
        <v>-90.543476867675693</v>
      </c>
      <c r="N4">
        <v>10</v>
      </c>
      <c r="O4">
        <v>476.54734462188901</v>
      </c>
      <c r="P4">
        <v>-541.14042256451296</v>
      </c>
      <c r="Q4">
        <v>1721.4142763490299</v>
      </c>
      <c r="R4">
        <v>90.194106466133505</v>
      </c>
      <c r="S4">
        <v>5.0160615443644696</v>
      </c>
      <c r="T4">
        <v>-90.312917947824204</v>
      </c>
      <c r="U4" s="77">
        <v>476.51830000000001</v>
      </c>
      <c r="V4" s="77">
        <v>-541.04669999999999</v>
      </c>
      <c r="W4" s="77">
        <v>1721.4222</v>
      </c>
      <c r="X4" s="6">
        <v>90.172899999999998</v>
      </c>
      <c r="Y4" s="6">
        <v>4.9652000000000003</v>
      </c>
      <c r="Z4" s="6">
        <v>-90.105900000000005</v>
      </c>
      <c r="AA4" s="77">
        <f t="shared" si="6"/>
        <v>1.1434890507480196E-3</v>
      </c>
      <c r="AB4" s="77">
        <f t="shared" si="7"/>
        <v>-3.6898647446052318E-3</v>
      </c>
      <c r="AC4" s="77">
        <f t="shared" si="8"/>
        <v>-3.1195476260008727E-4</v>
      </c>
      <c r="AD4" s="77">
        <f>R4-Dataout[[#This Row],[Atp]]</f>
        <v>2.1206466133506297E-2</v>
      </c>
      <c r="AE4" s="77">
        <f>S4-Dataout[[#This Row],[Btp]]</f>
        <v>5.0861544364469324E-2</v>
      </c>
      <c r="AF4" s="77">
        <f>T4-Dataout[[#This Row],[Ctp]]</f>
        <v>-0.20701794782419825</v>
      </c>
      <c r="AG4" s="77">
        <f t="shared" si="9"/>
        <v>3.8755625161478323E-3</v>
      </c>
      <c r="AH4" s="134">
        <f t="shared" si="10"/>
        <v>0.21422661277804142</v>
      </c>
      <c r="AI4" s="134"/>
      <c r="AJ4" s="9" t="s">
        <v>18</v>
      </c>
      <c r="AK4" s="135">
        <f ca="1">AxisMaxError(Axis,AK$1,TP,AK$2,Rerr)</f>
        <v>0</v>
      </c>
      <c r="AL4" s="135">
        <f t="shared" ref="AL4:AP4" ca="1" si="12">AxisMaxError(Axis,AL$1,TP,AL$2,Rerr)</f>
        <v>0</v>
      </c>
      <c r="AM4" s="135">
        <f t="shared" ca="1" si="12"/>
        <v>0</v>
      </c>
      <c r="AN4" s="135">
        <f t="shared" ca="1" si="12"/>
        <v>0</v>
      </c>
      <c r="AO4" s="135">
        <f t="shared" ca="1" si="12"/>
        <v>0</v>
      </c>
      <c r="AP4" s="135">
        <f t="shared" ca="1" si="12"/>
        <v>0</v>
      </c>
      <c r="AQ4" s="135">
        <f ca="1">AxisMaxError(Axis,AQ$1,TP,AQ$2,Rerr)</f>
        <v>1.2801534456934724E-2</v>
      </c>
      <c r="AR4" s="135">
        <f ca="1">AxisMaxError(Axis,AR$1,TP,AR$2,Rerr)</f>
        <v>1.5303559990168998E-2</v>
      </c>
      <c r="AS4" s="135"/>
      <c r="AT4" s="135"/>
      <c r="AV4" s="9"/>
    </row>
    <row r="5" spans="1:54" x14ac:dyDescent="0.2">
      <c r="A5" s="2" t="s">
        <v>1222</v>
      </c>
      <c r="B5" s="9"/>
      <c r="C5" s="9"/>
      <c r="D5" s="9"/>
      <c r="E5" s="9"/>
      <c r="F5" s="31" t="str">
        <f t="shared" si="5"/>
        <v>P1</v>
      </c>
      <c r="G5" s="21">
        <v>3</v>
      </c>
      <c r="H5">
        <v>28.096210289001402</v>
      </c>
      <c r="I5">
        <v>-66.5204166412353</v>
      </c>
      <c r="J5">
        <v>77.066109848022407</v>
      </c>
      <c r="K5">
        <v>80.967397689819293</v>
      </c>
      <c r="L5">
        <v>-49.576006889343198</v>
      </c>
      <c r="M5">
        <v>-76.1998188018798</v>
      </c>
      <c r="N5">
        <v>10</v>
      </c>
      <c r="O5">
        <v>739.40850605321998</v>
      </c>
      <c r="P5">
        <v>-408.05169053346202</v>
      </c>
      <c r="Q5">
        <v>1664.97605593047</v>
      </c>
      <c r="R5">
        <v>90.215026901565693</v>
      </c>
      <c r="S5">
        <v>25.654305188402599</v>
      </c>
      <c r="T5">
        <v>-90.289185533814901</v>
      </c>
      <c r="U5" s="77">
        <v>739.33199999999999</v>
      </c>
      <c r="V5" s="77">
        <v>-408.01519999999999</v>
      </c>
      <c r="W5" s="77">
        <v>1664.9066</v>
      </c>
      <c r="X5" s="6">
        <v>90.209599999999995</v>
      </c>
      <c r="Y5" s="6">
        <v>25.620699999999999</v>
      </c>
      <c r="Z5" s="6">
        <v>-90.087900000000005</v>
      </c>
      <c r="AA5" s="77">
        <f t="shared" si="6"/>
        <v>3.0120493393695599E-3</v>
      </c>
      <c r="AB5" s="77">
        <f t="shared" si="7"/>
        <v>-1.4366351756704293E-3</v>
      </c>
      <c r="AC5" s="77">
        <f t="shared" si="8"/>
        <v>2.7344854515742169E-3</v>
      </c>
      <c r="AD5" s="77">
        <f>R5-Dataout[[#This Row],[Atp]]</f>
        <v>5.426901565698472E-3</v>
      </c>
      <c r="AE5" s="77">
        <f>S5-Dataout[[#This Row],[Btp]]</f>
        <v>3.360518840259985E-2</v>
      </c>
      <c r="AF5" s="77">
        <f>T5-Dataout[[#This Row],[Ctp]]</f>
        <v>-0.20128553381489667</v>
      </c>
      <c r="AG5" s="77">
        <f t="shared" si="9"/>
        <v>4.3143681502209865E-3</v>
      </c>
      <c r="AH5" s="134">
        <f t="shared" si="10"/>
        <v>0.20414364078100969</v>
      </c>
      <c r="AI5" s="134"/>
      <c r="AJ5" s="76" t="s">
        <v>1211</v>
      </c>
      <c r="AK5" s="135">
        <f ca="1">AxisMaxError(Axis,AK$1,TP,AK$2,Roerr)</f>
        <v>0</v>
      </c>
      <c r="AL5" s="135">
        <f t="shared" ref="AL5:AR5" ca="1" si="13">AxisMaxError(Axis,AL$1,TP,AL$2,Roerr)</f>
        <v>0</v>
      </c>
      <c r="AM5" s="135">
        <f t="shared" ca="1" si="13"/>
        <v>0</v>
      </c>
      <c r="AN5" s="135">
        <f t="shared" ca="1" si="13"/>
        <v>0</v>
      </c>
      <c r="AO5" s="135">
        <f t="shared" ca="1" si="13"/>
        <v>0</v>
      </c>
      <c r="AP5" s="135">
        <f t="shared" ca="1" si="13"/>
        <v>0</v>
      </c>
      <c r="AQ5" s="135">
        <f t="shared" ca="1" si="13"/>
        <v>0.28150178721950525</v>
      </c>
      <c r="AR5" s="135">
        <f t="shared" ca="1" si="13"/>
        <v>0.24339208876032081</v>
      </c>
      <c r="AS5" s="135"/>
      <c r="AT5" s="135"/>
    </row>
    <row r="6" spans="1:54" x14ac:dyDescent="0.2">
      <c r="A6" s="2" t="s">
        <v>1222</v>
      </c>
      <c r="B6" s="9"/>
      <c r="C6" s="9"/>
      <c r="D6" s="9"/>
      <c r="E6" s="9"/>
      <c r="F6" s="31" t="str">
        <f t="shared" si="5"/>
        <v>P1</v>
      </c>
      <c r="G6" s="21">
        <v>4</v>
      </c>
      <c r="H6">
        <v>31.923498535156199</v>
      </c>
      <c r="I6">
        <v>-70.589052581787101</v>
      </c>
      <c r="J6">
        <v>94.531587219238205</v>
      </c>
      <c r="K6">
        <v>72.818586730956994</v>
      </c>
      <c r="L6">
        <v>-56.227883529663004</v>
      </c>
      <c r="M6">
        <v>-60.8802328109741</v>
      </c>
      <c r="N6">
        <v>10</v>
      </c>
      <c r="O6">
        <v>683.87910508308698</v>
      </c>
      <c r="P6">
        <v>-292.658188263005</v>
      </c>
      <c r="Q6">
        <v>1495.19995022889</v>
      </c>
      <c r="R6">
        <v>90.120856344161197</v>
      </c>
      <c r="S6">
        <v>25.616692074631398</v>
      </c>
      <c r="T6">
        <v>-90.242501649125899</v>
      </c>
      <c r="U6" s="77">
        <v>683.84580000000005</v>
      </c>
      <c r="V6" s="77">
        <v>-292.62310000000002</v>
      </c>
      <c r="W6" s="77">
        <v>1495.1532999999999</v>
      </c>
      <c r="X6" s="6">
        <v>90.134200000000007</v>
      </c>
      <c r="Y6" s="6">
        <v>25.602399999999999</v>
      </c>
      <c r="Z6" s="6">
        <v>-90.047200000000004</v>
      </c>
      <c r="AA6" s="77">
        <f t="shared" ref="AA6:AA41" si="14">IF(F6&lt;&gt;"bad",(O6-U6)*UnitsErr,0)</f>
        <v>1.3112237435799095E-3</v>
      </c>
      <c r="AB6" s="77">
        <f t="shared" ref="AB6:AB41" si="15">IF(F6&lt;&gt;"bad",(P6-V6)*UnitsErr,0)</f>
        <v>-1.3814276773614009E-3</v>
      </c>
      <c r="AC6" s="77">
        <f t="shared" ref="AC6:AC41" si="16">IF(F6&lt;&gt;"bad",(Q6-W6)*UnitsErr,0)</f>
        <v>1.8366231846468552E-3</v>
      </c>
      <c r="AD6" s="77">
        <f>R6-Dataout[[#This Row],[Atp]]</f>
        <v>-1.3343655838809809E-2</v>
      </c>
      <c r="AE6" s="77">
        <f>S6-Dataout[[#This Row],[Btp]]</f>
        <v>1.4292074631399032E-2</v>
      </c>
      <c r="AF6" s="77">
        <f>T6-Dataout[[#This Row],[Ctp]]</f>
        <v>-0.19530164912589498</v>
      </c>
      <c r="AG6" s="77">
        <f t="shared" ref="AG6:AG41" si="17">IF(F6&lt;&gt;"bad",SQRT(SUMSQ(AA6:AC6)),0)</f>
        <v>2.6459090792939548E-3</v>
      </c>
      <c r="AH6" s="134">
        <f t="shared" si="10"/>
        <v>0.19627799341675645</v>
      </c>
      <c r="AI6" s="151" t="s">
        <v>1227</v>
      </c>
      <c r="AJ6" s="136">
        <v>0.98</v>
      </c>
      <c r="AK6" s="135" t="e">
        <f ca="1">AxisMaxErrorIncludePercent(Axis,AK$1,TP,AK$2,Rerr,$AJ6)</f>
        <v>#VALUE!</v>
      </c>
      <c r="AL6" s="135" t="e">
        <f ca="1">AxisMaxErrorIncludePercent(Axis,AL$1,TP,AL$2,Rerr,$AJ6)</f>
        <v>#VALUE!</v>
      </c>
      <c r="AM6" s="135" t="e">
        <f t="shared" ref="AM6:AR6" ca="1" si="18">AxisMaxErrorIncludePercent(Axis,AM$1,TP,AM$2,Rerr,$AJ6)</f>
        <v>#VALUE!</v>
      </c>
      <c r="AN6" s="135" t="e">
        <f ca="1">AxisMaxErrorIncludePercent(Axis,AN$1,TP,AN$2,Rerr,$AJ6)</f>
        <v>#VALUE!</v>
      </c>
      <c r="AO6" s="135" t="e">
        <f t="shared" ca="1" si="18"/>
        <v>#VALUE!</v>
      </c>
      <c r="AP6" s="135" t="e">
        <f t="shared" ca="1" si="18"/>
        <v>#VALUE!</v>
      </c>
      <c r="AQ6" s="135">
        <f t="shared" ca="1" si="18"/>
        <v>1.1923937450273805E-2</v>
      </c>
      <c r="AR6" s="135">
        <f t="shared" ca="1" si="18"/>
        <v>1.3658565944313875E-2</v>
      </c>
      <c r="AS6" s="135"/>
      <c r="AX6" s="78" t="s">
        <v>1220</v>
      </c>
      <c r="AY6" s="9" t="s">
        <v>1221</v>
      </c>
    </row>
    <row r="7" spans="1:54" x14ac:dyDescent="0.2">
      <c r="A7" s="2" t="s">
        <v>1222</v>
      </c>
      <c r="B7" s="9"/>
      <c r="C7" s="9"/>
      <c r="D7" s="9"/>
      <c r="E7" s="9"/>
      <c r="F7" s="31" t="str">
        <f t="shared" si="5"/>
        <v>P1</v>
      </c>
      <c r="G7" s="21">
        <v>5</v>
      </c>
      <c r="H7">
        <v>24.349998092651301</v>
      </c>
      <c r="I7">
        <v>-72.073856353759695</v>
      </c>
      <c r="J7">
        <v>100.627973175048</v>
      </c>
      <c r="K7">
        <v>56.805695533752399</v>
      </c>
      <c r="L7">
        <v>-45.853066062927198</v>
      </c>
      <c r="M7">
        <v>-44.9175701141357</v>
      </c>
      <c r="N7">
        <v>10</v>
      </c>
      <c r="O7">
        <v>831.47291005380896</v>
      </c>
      <c r="P7">
        <v>-346.32347709702799</v>
      </c>
      <c r="Q7">
        <v>1442.0844614150201</v>
      </c>
      <c r="R7">
        <v>89.252051729181801</v>
      </c>
      <c r="S7">
        <v>17.4854312647965</v>
      </c>
      <c r="T7">
        <v>-92.443239245588501</v>
      </c>
      <c r="U7" s="77">
        <v>831.60310000000004</v>
      </c>
      <c r="V7" s="77">
        <v>-346.28680000000003</v>
      </c>
      <c r="W7" s="77">
        <v>1442.0578</v>
      </c>
      <c r="X7" s="6">
        <v>89.276600000000002</v>
      </c>
      <c r="Y7" s="6">
        <v>17.479800000000001</v>
      </c>
      <c r="Z7" s="6">
        <v>-92.257499999999993</v>
      </c>
      <c r="AA7" s="77">
        <f t="shared" si="14"/>
        <v>-5.1255884327197129E-3</v>
      </c>
      <c r="AB7" s="77">
        <f t="shared" si="15"/>
        <v>-1.4439801979512494E-3</v>
      </c>
      <c r="AC7" s="77">
        <f t="shared" si="16"/>
        <v>1.0496620086631468E-3</v>
      </c>
      <c r="AD7" s="77">
        <f>R7-Dataout[[#This Row],[Atp]]</f>
        <v>-2.454827081820099E-2</v>
      </c>
      <c r="AE7" s="77">
        <f>S7-Dataout[[#This Row],[Btp]]</f>
        <v>5.6312647964986695E-3</v>
      </c>
      <c r="AF7" s="77">
        <f>T7-Dataout[[#This Row],[Ctp]]</f>
        <v>-0.18573924558850763</v>
      </c>
      <c r="AG7" s="77">
        <f t="shared" si="17"/>
        <v>5.4275709047543726E-3</v>
      </c>
      <c r="AH7" s="134">
        <f t="shared" si="10"/>
        <v>0.18743904634616548</v>
      </c>
      <c r="AI7" s="151" t="s">
        <v>1228</v>
      </c>
      <c r="AJ7" s="149">
        <v>0.98</v>
      </c>
      <c r="AK7" s="85"/>
      <c r="AL7" s="85"/>
      <c r="AM7" s="85"/>
      <c r="AN7" s="85"/>
      <c r="AO7" s="85"/>
      <c r="AP7" s="85"/>
      <c r="AQ7" s="135">
        <f ca="1">AxisMaxErrorIncludePercent(Axis,AQ$1,TP,AQ$2,Roerr,$AJ7)</f>
        <v>0.27242213297118406</v>
      </c>
      <c r="AR7" s="135">
        <f ca="1">AxisMaxErrorIncludePercent(Axis,AR$1,TP,AR$2,Roerr,$AJ7)</f>
        <v>0.23817823856047055</v>
      </c>
      <c r="AV7" s="77"/>
      <c r="AW7" s="77"/>
      <c r="AX7" s="77" t="s">
        <v>108</v>
      </c>
      <c r="AY7" s="77" t="s">
        <v>108</v>
      </c>
      <c r="AZ7" s="77"/>
      <c r="BA7" s="77"/>
      <c r="BB7" s="77"/>
    </row>
    <row r="8" spans="1:54" x14ac:dyDescent="0.2">
      <c r="A8" s="2" t="s">
        <v>1222</v>
      </c>
      <c r="B8" s="9"/>
      <c r="C8" s="9"/>
      <c r="D8" s="9"/>
      <c r="E8" s="9"/>
      <c r="F8" s="31" t="str">
        <f t="shared" si="5"/>
        <v>P1</v>
      </c>
      <c r="G8" s="21">
        <v>6</v>
      </c>
      <c r="H8">
        <v>9.1626754283905001</v>
      </c>
      <c r="I8">
        <v>-91.066484451293903</v>
      </c>
      <c r="J8">
        <v>131.61890029907201</v>
      </c>
      <c r="K8">
        <v>12.294060087203899</v>
      </c>
      <c r="L8">
        <v>-41.000092887878402</v>
      </c>
      <c r="M8">
        <v>-9.3098489284515296</v>
      </c>
      <c r="N8">
        <v>10</v>
      </c>
      <c r="O8">
        <v>1144.0990715022599</v>
      </c>
      <c r="P8">
        <v>-89.710217210699199</v>
      </c>
      <c r="Q8">
        <v>1320.98661421616</v>
      </c>
      <c r="R8">
        <v>90.056507914277404</v>
      </c>
      <c r="S8">
        <v>3.65014625081167</v>
      </c>
      <c r="T8">
        <v>-90.3043147436114</v>
      </c>
      <c r="U8" s="77">
        <v>1144.1559999999999</v>
      </c>
      <c r="V8" s="77">
        <v>-89.740399999999994</v>
      </c>
      <c r="W8" s="77">
        <v>1320.8938000000001</v>
      </c>
      <c r="X8" s="6">
        <v>90.106700000000004</v>
      </c>
      <c r="Y8" s="6">
        <v>3.6581000000000001</v>
      </c>
      <c r="Z8" s="6">
        <v>-90.121499999999997</v>
      </c>
      <c r="AA8" s="77">
        <f t="shared" si="14"/>
        <v>-2.241279438584477E-3</v>
      </c>
      <c r="AB8" s="77">
        <f t="shared" si="15"/>
        <v>1.1882987913698945E-3</v>
      </c>
      <c r="AC8" s="77">
        <f t="shared" si="16"/>
        <v>3.6541029984221486E-3</v>
      </c>
      <c r="AD8" s="77">
        <f>R8-Dataout[[#This Row],[Atp]]</f>
        <v>-5.01920857225997E-2</v>
      </c>
      <c r="AE8" s="77">
        <f>S8-Dataout[[#This Row],[Btp]]</f>
        <v>-7.9537491883301392E-3</v>
      </c>
      <c r="AF8" s="77">
        <f>T8-Dataout[[#This Row],[Ctp]]</f>
        <v>-0.18281474361140226</v>
      </c>
      <c r="AG8" s="77">
        <f t="shared" si="17"/>
        <v>4.448354331937872E-3</v>
      </c>
      <c r="AH8" s="134">
        <f t="shared" si="10"/>
        <v>0.18974651005232851</v>
      </c>
      <c r="AI8" s="134"/>
      <c r="AJ8" s="76"/>
      <c r="AK8" s="85"/>
      <c r="AL8" s="85"/>
      <c r="AM8" s="85"/>
      <c r="AN8" s="85"/>
      <c r="AO8" s="85" t="s">
        <v>1230</v>
      </c>
      <c r="AP8" s="85"/>
      <c r="AQ8" s="85"/>
      <c r="AR8" s="85"/>
      <c r="AV8" s="77"/>
      <c r="AX8" s="77">
        <v>10</v>
      </c>
      <c r="AY8" s="77">
        <v>10</v>
      </c>
      <c r="AZ8" s="77"/>
      <c r="BA8" s="77"/>
      <c r="BB8" s="77"/>
    </row>
    <row r="9" spans="1:54" x14ac:dyDescent="0.2">
      <c r="A9" s="2" t="s">
        <v>1222</v>
      </c>
      <c r="B9" s="9"/>
      <c r="C9" s="9"/>
      <c r="D9" s="9"/>
      <c r="E9" s="9"/>
      <c r="F9" s="31" t="str">
        <f t="shared" si="5"/>
        <v>P1</v>
      </c>
      <c r="G9" s="21">
        <v>7</v>
      </c>
      <c r="H9">
        <v>9.1599809646606403</v>
      </c>
      <c r="I9">
        <v>-71.590156173706006</v>
      </c>
      <c r="J9">
        <v>131.60968017578099</v>
      </c>
      <c r="K9">
        <v>12.289980125427199</v>
      </c>
      <c r="L9">
        <v>-41.000038528442303</v>
      </c>
      <c r="M9">
        <v>-9.3100882053375198</v>
      </c>
      <c r="N9">
        <v>10</v>
      </c>
      <c r="O9">
        <v>1135.9619803736</v>
      </c>
      <c r="P9">
        <v>-187.67640284746901</v>
      </c>
      <c r="Q9">
        <v>954.96674861344695</v>
      </c>
      <c r="R9">
        <v>109.386121996394</v>
      </c>
      <c r="S9">
        <v>3.86675144584484</v>
      </c>
      <c r="T9">
        <v>-88.820761823188604</v>
      </c>
      <c r="U9" s="77">
        <v>1136.009</v>
      </c>
      <c r="V9" s="77">
        <v>-187.63130000000001</v>
      </c>
      <c r="W9" s="77">
        <v>954.9615</v>
      </c>
      <c r="X9" s="6">
        <v>109.4241</v>
      </c>
      <c r="Y9" s="6">
        <v>3.8780000000000001</v>
      </c>
      <c r="Z9" s="6">
        <v>-88.639300000000006</v>
      </c>
      <c r="AA9" s="77">
        <f t="shared" si="14"/>
        <v>-1.8511663937013825E-3</v>
      </c>
      <c r="AB9" s="77">
        <f t="shared" si="15"/>
        <v>-1.7757026562596964E-3</v>
      </c>
      <c r="AC9" s="77">
        <f t="shared" si="16"/>
        <v>2.066383246831426E-4</v>
      </c>
      <c r="AD9" s="77">
        <f>R9-Dataout[[#This Row],[Atp]]</f>
        <v>-3.7978003605999788E-2</v>
      </c>
      <c r="AE9" s="77">
        <f>S9-Dataout[[#This Row],[Btp]]</f>
        <v>-1.1248554155160129E-2</v>
      </c>
      <c r="AF9" s="77">
        <f>T9-Dataout[[#This Row],[Ctp]]</f>
        <v>-0.18146182318859871</v>
      </c>
      <c r="AG9" s="77">
        <f t="shared" si="17"/>
        <v>2.5734483359579961E-3</v>
      </c>
      <c r="AH9" s="134">
        <f t="shared" si="10"/>
        <v>0.18573435870460037</v>
      </c>
      <c r="AI9" s="134"/>
      <c r="AJ9" s="9"/>
      <c r="AK9" s="85"/>
      <c r="AL9" s="85"/>
      <c r="AM9" s="85"/>
      <c r="AN9" s="85"/>
      <c r="AO9" s="152">
        <v>8.7500000000000002E-4</v>
      </c>
      <c r="AP9" s="150">
        <v>0.98</v>
      </c>
      <c r="AQ9" s="135">
        <v>1.1923937450273805E-2</v>
      </c>
      <c r="AR9" s="135">
        <v>1.3658565944313875E-2</v>
      </c>
      <c r="AV9" s="77"/>
      <c r="AW9" s="77"/>
      <c r="AX9" s="77">
        <v>2.456705773932823E-2</v>
      </c>
      <c r="AY9" s="77">
        <v>2.4220084208052665E-2</v>
      </c>
      <c r="AZ9" s="77"/>
      <c r="BA9" s="77"/>
      <c r="BB9" s="77"/>
    </row>
    <row r="10" spans="1:54" x14ac:dyDescent="0.2">
      <c r="A10" s="2" t="s">
        <v>1222</v>
      </c>
      <c r="B10" s="9"/>
      <c r="C10" s="9"/>
      <c r="D10" s="9"/>
      <c r="E10" s="9"/>
      <c r="F10" s="31" t="str">
        <f t="shared" si="5"/>
        <v>P1</v>
      </c>
      <c r="G10" s="21">
        <v>8</v>
      </c>
      <c r="H10">
        <v>13.7519597053527</v>
      </c>
      <c r="I10">
        <v>-44.741964340209897</v>
      </c>
      <c r="J10">
        <v>105.92417602539</v>
      </c>
      <c r="K10">
        <v>47.860489845275801</v>
      </c>
      <c r="L10">
        <v>-61.8665668487548</v>
      </c>
      <c r="M10">
        <v>-24.926803874969401</v>
      </c>
      <c r="N10">
        <v>10</v>
      </c>
      <c r="O10">
        <v>1141.76976937992</v>
      </c>
      <c r="P10">
        <v>-453.66111158702103</v>
      </c>
      <c r="Q10">
        <v>801.93152681717595</v>
      </c>
      <c r="R10">
        <v>98.593162112425304</v>
      </c>
      <c r="S10">
        <v>32.036569220033599</v>
      </c>
      <c r="T10">
        <v>-91.008494443243805</v>
      </c>
      <c r="U10" s="77">
        <v>1141.6928</v>
      </c>
      <c r="V10" s="77">
        <v>-453.6028</v>
      </c>
      <c r="W10" s="77">
        <v>802.0181</v>
      </c>
      <c r="X10" s="6">
        <v>98.629900000000006</v>
      </c>
      <c r="Y10" s="6">
        <v>32.035699999999999</v>
      </c>
      <c r="Z10" s="6">
        <v>-90.805599999999998</v>
      </c>
      <c r="AA10" s="77">
        <f t="shared" si="14"/>
        <v>3.0302905480315474E-3</v>
      </c>
      <c r="AB10" s="77">
        <f t="shared" si="15"/>
        <v>-2.2957317724812427E-3</v>
      </c>
      <c r="AC10" s="77">
        <f t="shared" si="16"/>
        <v>-3.4083930245690603E-3</v>
      </c>
      <c r="AD10" s="77">
        <f>R10-Dataout[[#This Row],[Atp]]</f>
        <v>-3.6737887574702199E-2</v>
      </c>
      <c r="AE10" s="77">
        <f>S10-Dataout[[#This Row],[Btp]]</f>
        <v>8.6922003360001554E-4</v>
      </c>
      <c r="AF10" s="77">
        <f>T10-Dataout[[#This Row],[Ctp]]</f>
        <v>-0.20289444324380668</v>
      </c>
      <c r="AG10" s="77">
        <f t="shared" si="17"/>
        <v>5.1058973928781838E-3</v>
      </c>
      <c r="AH10" s="134">
        <f t="shared" si="10"/>
        <v>0.20619549710440468</v>
      </c>
      <c r="AI10" s="134"/>
      <c r="AJ10" s="9"/>
      <c r="AK10" s="85"/>
      <c r="AL10" s="85"/>
      <c r="AM10" s="85"/>
      <c r="AN10" s="85"/>
      <c r="AO10" s="85"/>
      <c r="AP10" s="150">
        <v>0.98</v>
      </c>
      <c r="AQ10" s="135">
        <v>0.27242213297118406</v>
      </c>
      <c r="AR10" s="135">
        <v>0.23817823856047055</v>
      </c>
      <c r="AS10" s="137"/>
      <c r="AV10" s="77"/>
      <c r="AW10" s="77"/>
      <c r="AX10" s="77">
        <v>2.2263346986812781E-2</v>
      </c>
      <c r="AY10" s="77">
        <v>2.1921936826031191E-2</v>
      </c>
      <c r="AZ10" s="77"/>
      <c r="BA10" s="77"/>
      <c r="BB10" s="77"/>
    </row>
    <row r="11" spans="1:54" x14ac:dyDescent="0.2">
      <c r="A11" s="2" t="s">
        <v>1222</v>
      </c>
      <c r="B11" s="9"/>
      <c r="C11" s="9"/>
      <c r="D11" s="9"/>
      <c r="E11" s="9"/>
      <c r="F11" s="31" t="str">
        <f t="shared" si="5"/>
        <v>P1</v>
      </c>
      <c r="G11" s="21">
        <v>9</v>
      </c>
      <c r="H11">
        <v>2.1877003669738699</v>
      </c>
      <c r="I11">
        <v>-50.503377151489197</v>
      </c>
      <c r="J11">
        <v>105.726906967163</v>
      </c>
      <c r="K11">
        <v>22.2916344642639</v>
      </c>
      <c r="L11">
        <v>-36.126733779907198</v>
      </c>
      <c r="M11">
        <v>-8.5732483386993401</v>
      </c>
      <c r="N11">
        <v>10</v>
      </c>
      <c r="O11">
        <v>1361.94461662195</v>
      </c>
      <c r="P11">
        <v>-498.44815469389903</v>
      </c>
      <c r="Q11">
        <v>843.27007639678197</v>
      </c>
      <c r="R11">
        <v>111.325480620082</v>
      </c>
      <c r="S11">
        <v>15.3473401482558</v>
      </c>
      <c r="T11">
        <v>-100.947167315267</v>
      </c>
      <c r="U11">
        <v>1361.9568999999999</v>
      </c>
      <c r="V11">
        <v>-498.36770000000001</v>
      </c>
      <c r="W11">
        <v>843.38520000000005</v>
      </c>
      <c r="X11" s="6">
        <v>111.3623</v>
      </c>
      <c r="Y11" s="6">
        <v>15.356299999999999</v>
      </c>
      <c r="Z11" s="6">
        <v>-100.7786</v>
      </c>
      <c r="AA11" s="77">
        <f t="shared" si="14"/>
        <v>-4.8359756102027451E-4</v>
      </c>
      <c r="AB11" s="77">
        <f t="shared" si="15"/>
        <v>-3.1675076338194596E-3</v>
      </c>
      <c r="AC11" s="77">
        <f t="shared" si="16"/>
        <v>-4.5324253235464749E-3</v>
      </c>
      <c r="AD11" s="77">
        <f>R11-Dataout[[#This Row],[Atp]]</f>
        <v>-3.681937991800055E-2</v>
      </c>
      <c r="AE11" s="77">
        <f>S11-Dataout[[#This Row],[Btp]]</f>
        <v>-8.959851744199554E-3</v>
      </c>
      <c r="AF11" s="77">
        <f>T11-Dataout[[#This Row],[Ctp]]</f>
        <v>-0.16856731526699775</v>
      </c>
      <c r="AG11" s="77">
        <f t="shared" si="17"/>
        <v>5.5506621699446526E-3</v>
      </c>
      <c r="AH11" s="134">
        <f t="shared" si="10"/>
        <v>0.17277408792161952</v>
      </c>
      <c r="AI11" s="134"/>
      <c r="AJ11" s="9"/>
      <c r="AK11" s="86"/>
      <c r="AL11" s="86"/>
      <c r="AM11" s="86"/>
      <c r="AN11" s="86"/>
      <c r="AO11" s="86"/>
      <c r="AP11" s="86"/>
      <c r="AQ11" s="86"/>
      <c r="AR11" s="86"/>
      <c r="AS11" s="137"/>
      <c r="AX11" s="77">
        <v>0.17049200215200833</v>
      </c>
      <c r="AY11" s="77">
        <v>0.1737277271366951</v>
      </c>
    </row>
    <row r="12" spans="1:54" x14ac:dyDescent="0.2">
      <c r="A12" s="2" t="s">
        <v>1222</v>
      </c>
      <c r="B12" s="9"/>
      <c r="C12" s="9"/>
      <c r="D12" s="9"/>
      <c r="E12" s="9"/>
      <c r="F12" s="31" t="str">
        <f t="shared" si="5"/>
        <v>P1</v>
      </c>
      <c r="G12" s="21">
        <v>10</v>
      </c>
      <c r="H12">
        <v>-11.982640361785799</v>
      </c>
      <c r="I12">
        <v>-45.933600807189897</v>
      </c>
      <c r="J12">
        <v>106.508971023559</v>
      </c>
      <c r="K12">
        <v>-17.499389839172299</v>
      </c>
      <c r="L12">
        <v>-56.472934722900298</v>
      </c>
      <c r="M12">
        <v>11.378274965286201</v>
      </c>
      <c r="N12">
        <v>10</v>
      </c>
      <c r="O12">
        <v>1641.2854730172801</v>
      </c>
      <c r="P12">
        <v>-451.789845716385</v>
      </c>
      <c r="Q12">
        <v>831.16643741626694</v>
      </c>
      <c r="R12">
        <v>95.083403250543498</v>
      </c>
      <c r="S12">
        <v>2.0554544471395602</v>
      </c>
      <c r="T12">
        <v>-93.3255182141544</v>
      </c>
      <c r="U12" s="77">
        <v>1641.3556000000001</v>
      </c>
      <c r="V12" s="77">
        <v>-451.745</v>
      </c>
      <c r="W12" s="77">
        <v>831.37779999999998</v>
      </c>
      <c r="X12" s="6">
        <v>95.111400000000003</v>
      </c>
      <c r="Y12" s="6">
        <v>2.0876000000000001</v>
      </c>
      <c r="Z12" s="6">
        <v>-93.149199999999993</v>
      </c>
      <c r="AA12" s="77">
        <f t="shared" si="14"/>
        <v>-2.760904831496542E-3</v>
      </c>
      <c r="AB12" s="77">
        <f t="shared" si="15"/>
        <v>-1.7655793852361422E-3</v>
      </c>
      <c r="AC12" s="77">
        <f t="shared" si="16"/>
        <v>-8.3213615642927022E-3</v>
      </c>
      <c r="AD12" s="77">
        <f>R12-Dataout[[#This Row],[Atp]]</f>
        <v>-2.7996749456505654E-2</v>
      </c>
      <c r="AE12" s="77">
        <f>S12-Dataout[[#This Row],[Btp]]</f>
        <v>-3.2145552860439963E-2</v>
      </c>
      <c r="AF12" s="77">
        <f>T12-Dataout[[#This Row],[Ctp]]</f>
        <v>-0.17631821415440641</v>
      </c>
      <c r="AG12" s="77">
        <f t="shared" si="17"/>
        <v>8.9434291151570984E-3</v>
      </c>
      <c r="AH12" s="134">
        <f t="shared" si="10"/>
        <v>0.18139809037427271</v>
      </c>
      <c r="AI12" s="134"/>
      <c r="AJ12" s="9"/>
      <c r="AK12" s="86"/>
      <c r="AL12" s="86"/>
      <c r="AM12" s="86"/>
      <c r="AN12" s="86"/>
      <c r="AO12" s="86"/>
      <c r="AP12" s="86"/>
      <c r="AQ12" s="86"/>
      <c r="AR12" s="137"/>
      <c r="AS12" s="137"/>
      <c r="AX12" s="77">
        <v>2.2263346986812781E-2</v>
      </c>
      <c r="AY12" s="77">
        <v>2.1921936826031191E-2</v>
      </c>
    </row>
    <row r="13" spans="1:54" x14ac:dyDescent="0.2">
      <c r="A13" s="2" t="s">
        <v>1222</v>
      </c>
      <c r="B13" s="9"/>
      <c r="C13" s="9"/>
      <c r="D13" s="9"/>
      <c r="E13" s="9"/>
      <c r="F13" s="31" t="str">
        <f t="shared" si="5"/>
        <v>P1</v>
      </c>
      <c r="G13" s="21">
        <v>11</v>
      </c>
      <c r="H13">
        <v>-18.6579725265502</v>
      </c>
      <c r="I13">
        <v>-33.410139083862298</v>
      </c>
      <c r="J13">
        <v>111.278935623168</v>
      </c>
      <c r="K13">
        <v>-35.817396736145</v>
      </c>
      <c r="L13">
        <v>-82.027493286132795</v>
      </c>
      <c r="M13">
        <v>21.676207637786799</v>
      </c>
      <c r="N13">
        <v>10</v>
      </c>
      <c r="O13">
        <v>1693.8583215174301</v>
      </c>
      <c r="P13">
        <v>-295.18520864638703</v>
      </c>
      <c r="Q13">
        <v>598.36726532179296</v>
      </c>
      <c r="R13">
        <v>87.901638399350801</v>
      </c>
      <c r="S13">
        <v>-12.113057351603301</v>
      </c>
      <c r="T13">
        <v>-105.353492203195</v>
      </c>
      <c r="U13" s="77">
        <v>1693.8641</v>
      </c>
      <c r="V13" s="77">
        <v>-295.1635</v>
      </c>
      <c r="W13" s="77">
        <v>598.28499999999997</v>
      </c>
      <c r="X13" s="6">
        <v>87.948099999999997</v>
      </c>
      <c r="Y13" s="6">
        <v>-12.0921</v>
      </c>
      <c r="Z13" s="6">
        <v>-105.16540000000001</v>
      </c>
      <c r="AA13" s="77">
        <f t="shared" si="14"/>
        <v>-2.2749931377537597E-4</v>
      </c>
      <c r="AB13" s="77">
        <f t="shared" si="15"/>
        <v>-8.5467111759944742E-4</v>
      </c>
      <c r="AC13" s="77">
        <f t="shared" si="16"/>
        <v>3.2387921965743422E-3</v>
      </c>
      <c r="AD13" s="77">
        <f>R13-Dataout[[#This Row],[Atp]]</f>
        <v>-4.6461600649195134E-2</v>
      </c>
      <c r="AE13" s="77">
        <f>S13-Dataout[[#This Row],[Btp]]</f>
        <v>-2.0957351603300367E-2</v>
      </c>
      <c r="AF13" s="77">
        <f>T13-Dataout[[#This Row],[Ctp]]</f>
        <v>-0.18809220319499786</v>
      </c>
      <c r="AG13" s="77">
        <f t="shared" si="17"/>
        <v>3.3573789702114071E-3</v>
      </c>
      <c r="AH13" s="134">
        <f t="shared" si="10"/>
        <v>0.1948757753643536</v>
      </c>
      <c r="AI13" s="134"/>
      <c r="AJ13" s="78"/>
      <c r="AK13" s="137"/>
      <c r="AL13" s="137"/>
      <c r="AM13" s="137"/>
      <c r="AN13" s="137"/>
      <c r="AO13" s="137"/>
      <c r="AP13" s="137"/>
      <c r="AQ13" s="137"/>
    </row>
    <row r="14" spans="1:54" x14ac:dyDescent="0.2">
      <c r="A14" s="2" t="s">
        <v>1222</v>
      </c>
      <c r="B14" s="9"/>
      <c r="C14" s="9"/>
      <c r="D14" s="9"/>
      <c r="E14" s="9"/>
      <c r="F14" s="31" t="str">
        <f t="shared" si="5"/>
        <v>P1</v>
      </c>
      <c r="G14" s="21">
        <v>12</v>
      </c>
      <c r="H14">
        <v>-9.1645097255706691</v>
      </c>
      <c r="I14">
        <v>-22.5001867294311</v>
      </c>
      <c r="J14">
        <v>111.34199180602999</v>
      </c>
      <c r="K14">
        <v>-14.2610409259796</v>
      </c>
      <c r="L14">
        <v>-88.686804962158206</v>
      </c>
      <c r="M14">
        <v>0.30020396858453702</v>
      </c>
      <c r="N14">
        <v>10</v>
      </c>
      <c r="O14">
        <v>1513.2118638116001</v>
      </c>
      <c r="P14">
        <v>-299.32946647723202</v>
      </c>
      <c r="Q14">
        <v>400.01471580946099</v>
      </c>
      <c r="R14">
        <v>90.067374974965006</v>
      </c>
      <c r="S14">
        <v>-0.40960388527500402</v>
      </c>
      <c r="T14">
        <v>-90.325252288291495</v>
      </c>
      <c r="U14" s="77">
        <v>1513.1623999999999</v>
      </c>
      <c r="V14" s="77">
        <v>-299.3005</v>
      </c>
      <c r="W14" s="77">
        <v>399.7885</v>
      </c>
      <c r="X14" s="6">
        <v>90.112399999999994</v>
      </c>
      <c r="Y14" s="6">
        <v>-0.38640000000000002</v>
      </c>
      <c r="Z14" s="6">
        <v>-90.111699999999999</v>
      </c>
      <c r="AA14" s="77">
        <f t="shared" si="14"/>
        <v>1.9473941574867104E-3</v>
      </c>
      <c r="AB14" s="77">
        <f t="shared" si="15"/>
        <v>-1.1404124894495256E-3</v>
      </c>
      <c r="AC14" s="77">
        <f t="shared" si="16"/>
        <v>8.9061342307478683E-3</v>
      </c>
      <c r="AD14" s="77">
        <f>R14-Dataout[[#This Row],[Atp]]</f>
        <v>-4.5025025034988175E-2</v>
      </c>
      <c r="AE14" s="77">
        <f>S14-Dataout[[#This Row],[Btp]]</f>
        <v>-2.3203885275003999E-2</v>
      </c>
      <c r="AF14" s="77">
        <f>T14-Dataout[[#This Row],[Ctp]]</f>
        <v>-0.21355228829149553</v>
      </c>
      <c r="AG14" s="77">
        <f t="shared" si="17"/>
        <v>9.1876064122710845E-3</v>
      </c>
      <c r="AH14" s="134">
        <f t="shared" si="10"/>
        <v>0.21947722662224178</v>
      </c>
      <c r="AI14" s="134"/>
      <c r="AJ14" s="78"/>
      <c r="AV14" s="77"/>
      <c r="AW14" s="77"/>
      <c r="AX14" s="77"/>
      <c r="AY14" s="77"/>
      <c r="AZ14" s="77"/>
      <c r="BA14" s="77"/>
      <c r="BB14" s="77"/>
    </row>
    <row r="15" spans="1:54" x14ac:dyDescent="0.2">
      <c r="A15" s="2" t="s">
        <v>1222</v>
      </c>
      <c r="B15" s="9"/>
      <c r="C15" s="9"/>
      <c r="D15" s="9"/>
      <c r="E15" s="9"/>
      <c r="F15" s="31" t="str">
        <f t="shared" si="5"/>
        <v>P1</v>
      </c>
      <c r="G15" s="21">
        <v>13</v>
      </c>
      <c r="H15">
        <v>11.418460226058899</v>
      </c>
      <c r="I15">
        <v>-37.754070472717203</v>
      </c>
      <c r="J15">
        <v>112.55697441101</v>
      </c>
      <c r="K15">
        <v>34.979775238037099</v>
      </c>
      <c r="L15">
        <v>-57.3549583435058</v>
      </c>
      <c r="M15">
        <v>7.5759391784667898</v>
      </c>
      <c r="N15">
        <v>10</v>
      </c>
      <c r="O15">
        <v>1183.1051514839401</v>
      </c>
      <c r="P15">
        <v>-370.98879833699402</v>
      </c>
      <c r="Q15">
        <v>548.28256068849396</v>
      </c>
      <c r="R15">
        <v>111.477779004993</v>
      </c>
      <c r="S15">
        <v>22.703109967699099</v>
      </c>
      <c r="T15">
        <v>-115.62850157157899</v>
      </c>
      <c r="U15" s="77">
        <v>1183.1070999999999</v>
      </c>
      <c r="V15" s="77">
        <v>-370.90019999999998</v>
      </c>
      <c r="W15" s="77">
        <v>548.30899999999997</v>
      </c>
      <c r="X15" s="6">
        <v>111.5467</v>
      </c>
      <c r="Y15" s="6">
        <v>22.7272</v>
      </c>
      <c r="Z15" s="6">
        <v>-115.4717</v>
      </c>
      <c r="AA15" s="77">
        <f t="shared" si="14"/>
        <v>-7.6713230704068177E-5</v>
      </c>
      <c r="AB15" s="77">
        <f t="shared" si="15"/>
        <v>-3.4881235037023256E-3</v>
      </c>
      <c r="AC15" s="77">
        <f t="shared" si="16"/>
        <v>-1.0409177758271733E-3</v>
      </c>
      <c r="AD15" s="77">
        <f>R15-Dataout[[#This Row],[Atp]]</f>
        <v>-6.8920995007005104E-2</v>
      </c>
      <c r="AE15" s="77">
        <f>S15-Dataout[[#This Row],[Btp]]</f>
        <v>-2.4090032300900788E-2</v>
      </c>
      <c r="AF15" s="77">
        <f>T15-Dataout[[#This Row],[Ctp]]</f>
        <v>-0.15680157157899544</v>
      </c>
      <c r="AG15" s="77">
        <f t="shared" si="17"/>
        <v>3.6409339890855798E-3</v>
      </c>
      <c r="AH15" s="134">
        <f t="shared" si="10"/>
        <v>0.17296579447583529</v>
      </c>
      <c r="AI15" s="134"/>
      <c r="AV15" s="77"/>
      <c r="AW15" s="77"/>
      <c r="AX15" s="77"/>
      <c r="AY15" s="77"/>
      <c r="AZ15" s="77"/>
      <c r="BA15" s="77"/>
      <c r="BB15" s="77"/>
    </row>
    <row r="16" spans="1:54" x14ac:dyDescent="0.2">
      <c r="A16" s="2" t="s">
        <v>1222</v>
      </c>
      <c r="B16" s="9"/>
      <c r="C16" s="9"/>
      <c r="D16" s="9"/>
      <c r="E16" s="9"/>
      <c r="F16" s="31" t="str">
        <f t="shared" si="5"/>
        <v>P1</v>
      </c>
      <c r="G16" s="21">
        <v>14</v>
      </c>
      <c r="H16">
        <v>24.9292579650878</v>
      </c>
      <c r="I16">
        <v>-27.9010711669921</v>
      </c>
      <c r="J16">
        <v>100.870016860961</v>
      </c>
      <c r="K16">
        <v>44.316859054565398</v>
      </c>
      <c r="L16">
        <v>-91.158523559570298</v>
      </c>
      <c r="M16">
        <v>24.233301544189398</v>
      </c>
      <c r="N16">
        <v>10</v>
      </c>
      <c r="O16">
        <v>845.77058655609903</v>
      </c>
      <c r="P16">
        <v>-372.44894845802099</v>
      </c>
      <c r="Q16">
        <v>613.03687924312396</v>
      </c>
      <c r="R16">
        <v>75.218705802244003</v>
      </c>
      <c r="S16">
        <v>24.91977215543</v>
      </c>
      <c r="T16">
        <v>-120.22830840460099</v>
      </c>
      <c r="U16" s="77">
        <v>845.83109999999999</v>
      </c>
      <c r="V16" s="77">
        <v>-372.53120000000001</v>
      </c>
      <c r="W16" s="77">
        <v>613.08960000000002</v>
      </c>
      <c r="X16" s="6">
        <v>75.316299999999998</v>
      </c>
      <c r="Y16" s="6">
        <v>24.9636</v>
      </c>
      <c r="Z16" s="6">
        <v>-120.06</v>
      </c>
      <c r="AA16" s="77">
        <f t="shared" si="14"/>
        <v>-2.3824190512188549E-3</v>
      </c>
      <c r="AB16" s="77">
        <f t="shared" si="15"/>
        <v>3.2382496842133582E-3</v>
      </c>
      <c r="AC16" s="77">
        <f t="shared" si="16"/>
        <v>-2.0756203494510209E-3</v>
      </c>
      <c r="AD16" s="77">
        <f>R16-Dataout[[#This Row],[Atp]]</f>
        <v>-9.7594197755995538E-2</v>
      </c>
      <c r="AE16" s="77">
        <f>S16-Dataout[[#This Row],[Btp]]</f>
        <v>-4.3827844569999996E-2</v>
      </c>
      <c r="AF16" s="77">
        <f>T16-Dataout[[#This Row],[Ctp]]</f>
        <v>-0.16830840460099239</v>
      </c>
      <c r="AG16" s="77">
        <f t="shared" si="17"/>
        <v>4.5244205582564536E-3</v>
      </c>
      <c r="AH16" s="134">
        <f t="shared" si="10"/>
        <v>0.19943226031567662</v>
      </c>
      <c r="AI16" s="134"/>
      <c r="AV16" s="77"/>
      <c r="AW16" s="77"/>
      <c r="AX16" s="77"/>
      <c r="AY16" s="77"/>
      <c r="AZ16" s="77"/>
      <c r="BA16" s="77"/>
      <c r="BB16" s="77"/>
    </row>
    <row r="17" spans="1:54" x14ac:dyDescent="0.2">
      <c r="A17" s="2" t="s">
        <v>1222</v>
      </c>
      <c r="B17" s="9"/>
      <c r="C17" s="9"/>
      <c r="D17" s="9"/>
      <c r="E17" s="9"/>
      <c r="F17" s="31" t="str">
        <f t="shared" si="5"/>
        <v>P1</v>
      </c>
      <c r="G17" s="21">
        <v>15</v>
      </c>
      <c r="H17">
        <v>40.555005645751898</v>
      </c>
      <c r="I17">
        <v>-15.5433712005615</v>
      </c>
      <c r="J17">
        <v>110.829987716674</v>
      </c>
      <c r="K17">
        <v>40.6676584243774</v>
      </c>
      <c r="L17">
        <v>-94.016090774536096</v>
      </c>
      <c r="M17">
        <v>3.4103580117225598</v>
      </c>
      <c r="N17">
        <v>10</v>
      </c>
      <c r="O17">
        <v>504.67687496822998</v>
      </c>
      <c r="P17">
        <v>-42.6795405249404</v>
      </c>
      <c r="Q17">
        <v>292.79836464557098</v>
      </c>
      <c r="R17">
        <v>89.859969802062395</v>
      </c>
      <c r="S17">
        <v>4.6593236659596799</v>
      </c>
      <c r="T17">
        <v>-90.230225177419399</v>
      </c>
      <c r="U17" s="77">
        <v>504.63729999999998</v>
      </c>
      <c r="V17" s="77">
        <v>-42.677199999999999</v>
      </c>
      <c r="W17" s="77">
        <v>292.55</v>
      </c>
      <c r="X17" s="6">
        <v>89.919700000000006</v>
      </c>
      <c r="Y17" s="6">
        <v>4.7080000000000002</v>
      </c>
      <c r="Z17" s="6">
        <v>-90.002200000000002</v>
      </c>
      <c r="AA17" s="77">
        <f t="shared" si="14"/>
        <v>1.5580696153543025E-3</v>
      </c>
      <c r="AB17" s="77">
        <f t="shared" si="15"/>
        <v>-9.2146651196878439E-5</v>
      </c>
      <c r="AC17" s="77">
        <f t="shared" si="16"/>
        <v>9.7781356524005176E-3</v>
      </c>
      <c r="AD17" s="77">
        <f>R17-Dataout[[#This Row],[Atp]]</f>
        <v>-5.9730197937611251E-2</v>
      </c>
      <c r="AE17" s="77">
        <f>S17-Dataout[[#This Row],[Btp]]</f>
        <v>-4.8676334040320235E-2</v>
      </c>
      <c r="AF17" s="77">
        <f>T17-Dataout[[#This Row],[Ctp]]</f>
        <v>-0.2280251774193971</v>
      </c>
      <c r="AG17" s="77">
        <f t="shared" si="17"/>
        <v>9.901919448690906E-3</v>
      </c>
      <c r="AH17" s="134">
        <f t="shared" si="10"/>
        <v>0.24069184360592402</v>
      </c>
      <c r="AI17" s="134"/>
      <c r="AJ17" s="78"/>
      <c r="AV17" s="77"/>
      <c r="AW17" s="77"/>
      <c r="AX17" s="77"/>
      <c r="AY17" s="77"/>
      <c r="AZ17" s="77"/>
      <c r="BA17" s="77"/>
      <c r="BB17" s="77"/>
    </row>
    <row r="18" spans="1:54" x14ac:dyDescent="0.2">
      <c r="A18" s="2" t="s">
        <v>1222</v>
      </c>
      <c r="B18" s="9"/>
      <c r="C18" s="9"/>
      <c r="D18" s="9"/>
      <c r="E18" s="9"/>
      <c r="F18" s="31" t="str">
        <f t="shared" si="5"/>
        <v>P1</v>
      </c>
      <c r="G18" s="21">
        <v>16</v>
      </c>
      <c r="H18">
        <v>37.633979415893499</v>
      </c>
      <c r="I18">
        <v>-12.2206628322601</v>
      </c>
      <c r="J18">
        <v>86.482295227050699</v>
      </c>
      <c r="K18">
        <v>60.267526817321702</v>
      </c>
      <c r="L18">
        <v>-77.761791229248004</v>
      </c>
      <c r="M18">
        <v>-6.0668326854705796</v>
      </c>
      <c r="N18">
        <v>10</v>
      </c>
      <c r="O18">
        <v>507.838327659654</v>
      </c>
      <c r="P18">
        <v>-304.03751373765698</v>
      </c>
      <c r="Q18">
        <v>300.55786060718498</v>
      </c>
      <c r="R18">
        <v>94.475344262468099</v>
      </c>
      <c r="S18">
        <v>25.368592657625801</v>
      </c>
      <c r="T18">
        <v>-99.737906691806202</v>
      </c>
      <c r="U18" s="77">
        <v>507.75749999999999</v>
      </c>
      <c r="V18" s="77">
        <v>-304.03489999999999</v>
      </c>
      <c r="W18" s="77">
        <v>300.48110000000003</v>
      </c>
      <c r="X18" s="6">
        <v>94.541300000000007</v>
      </c>
      <c r="Y18" s="6">
        <v>25.403099999999998</v>
      </c>
      <c r="Z18" s="6">
        <v>-99.539100000000005</v>
      </c>
      <c r="AA18" s="77">
        <f t="shared" si="14"/>
        <v>3.1821913249608425E-3</v>
      </c>
      <c r="AB18" s="77">
        <f t="shared" si="15"/>
        <v>-1.0290305736166768E-4</v>
      </c>
      <c r="AC18" s="77">
        <f t="shared" si="16"/>
        <v>3.0220711490138333E-3</v>
      </c>
      <c r="AD18" s="77">
        <f>R18-Dataout[[#This Row],[Atp]]</f>
        <v>-6.5955737531908198E-2</v>
      </c>
      <c r="AE18" s="77">
        <f>S18-Dataout[[#This Row],[Btp]]</f>
        <v>-3.4507342374197947E-2</v>
      </c>
      <c r="AF18" s="77">
        <f>T18-Dataout[[#This Row],[Ctp]]</f>
        <v>-0.19880669180619748</v>
      </c>
      <c r="AG18" s="77">
        <f t="shared" si="17"/>
        <v>4.3897431243265488E-3</v>
      </c>
      <c r="AH18" s="134">
        <f t="shared" si="10"/>
        <v>0.21228522486982571</v>
      </c>
      <c r="AI18" s="134"/>
      <c r="AJ18" s="78"/>
      <c r="AM18" s="9"/>
    </row>
    <row r="19" spans="1:54" x14ac:dyDescent="0.2">
      <c r="A19" s="2" t="s">
        <v>1222</v>
      </c>
      <c r="B19" s="9"/>
      <c r="C19" s="9"/>
      <c r="D19" s="9"/>
      <c r="E19" s="9"/>
      <c r="F19" s="31" t="str">
        <f t="shared" si="5"/>
        <v>P1</v>
      </c>
      <c r="G19" s="21">
        <v>17</v>
      </c>
      <c r="H19">
        <v>30.924677181243801</v>
      </c>
      <c r="I19">
        <v>-5.6424503803253101</v>
      </c>
      <c r="J19">
        <v>71.095820999145502</v>
      </c>
      <c r="K19">
        <v>33.360157775878903</v>
      </c>
      <c r="L19">
        <v>-69.121125411987293</v>
      </c>
      <c r="M19">
        <v>-13.2376797199249</v>
      </c>
      <c r="N19">
        <v>10</v>
      </c>
      <c r="O19">
        <v>493.55025977275898</v>
      </c>
      <c r="P19">
        <v>-535.92957547494996</v>
      </c>
      <c r="Q19">
        <v>291.32322619933399</v>
      </c>
      <c r="R19">
        <v>89.900294129805005</v>
      </c>
      <c r="S19">
        <v>4.7705352605507798</v>
      </c>
      <c r="T19">
        <v>-90.241298538968906</v>
      </c>
      <c r="U19" s="77">
        <v>493.50880000000001</v>
      </c>
      <c r="V19" s="77">
        <v>-535.98350000000005</v>
      </c>
      <c r="W19" s="77">
        <v>291.28809999999999</v>
      </c>
      <c r="X19" s="6">
        <v>89.933599999999998</v>
      </c>
      <c r="Y19" s="6">
        <v>4.7903000000000002</v>
      </c>
      <c r="Z19" s="6">
        <v>-90.024000000000001</v>
      </c>
      <c r="AA19" s="77">
        <f t="shared" si="14"/>
        <v>1.6322745180696611E-3</v>
      </c>
      <c r="AB19" s="77">
        <f t="shared" si="15"/>
        <v>2.1230127972477401E-3</v>
      </c>
      <c r="AC19" s="77">
        <f t="shared" si="16"/>
        <v>1.3829212336221156E-3</v>
      </c>
      <c r="AD19" s="77">
        <f>R19-Dataout[[#This Row],[Atp]]</f>
        <v>-3.3305870194993759E-2</v>
      </c>
      <c r="AE19" s="77">
        <f>S19-Dataout[[#This Row],[Btp]]</f>
        <v>-1.9764739449220414E-2</v>
      </c>
      <c r="AF19" s="77">
        <f>T19-Dataout[[#This Row],[Ctp]]</f>
        <v>-0.21729853896890461</v>
      </c>
      <c r="AG19" s="77">
        <f t="shared" si="17"/>
        <v>3.0139632675300031E-3</v>
      </c>
      <c r="AH19" s="134">
        <f t="shared" si="10"/>
        <v>0.22072286005976341</v>
      </c>
      <c r="AI19" s="134"/>
      <c r="AJ19" s="78"/>
      <c r="AM19" s="9"/>
    </row>
    <row r="20" spans="1:54" x14ac:dyDescent="0.2">
      <c r="A20" s="2" t="s">
        <v>1222</v>
      </c>
      <c r="B20" s="9"/>
      <c r="C20" s="9"/>
      <c r="D20" s="9"/>
      <c r="E20" s="9"/>
      <c r="F20" s="31" t="str">
        <f t="shared" si="5"/>
        <v>P1</v>
      </c>
      <c r="G20" s="21">
        <v>18</v>
      </c>
      <c r="H20">
        <v>31.988093852996801</v>
      </c>
      <c r="I20">
        <v>-38.231102180480903</v>
      </c>
      <c r="J20">
        <v>91.739218902587893</v>
      </c>
      <c r="K20">
        <v>67.386015319824196</v>
      </c>
      <c r="L20">
        <v>-73.984976196288997</v>
      </c>
      <c r="M20">
        <v>-33.340680122375403</v>
      </c>
      <c r="N20">
        <v>10</v>
      </c>
      <c r="O20">
        <v>645.17725000813095</v>
      </c>
      <c r="P20">
        <v>-424.26636148982698</v>
      </c>
      <c r="Q20">
        <v>846.038521220809</v>
      </c>
      <c r="R20">
        <v>90.067288702142406</v>
      </c>
      <c r="S20">
        <v>35.4164875406018</v>
      </c>
      <c r="T20">
        <v>-90.205745448099904</v>
      </c>
      <c r="U20" s="77">
        <v>645.14980000000003</v>
      </c>
      <c r="V20" s="77">
        <v>-424.24079999999998</v>
      </c>
      <c r="W20" s="77">
        <v>846.22839999999997</v>
      </c>
      <c r="X20" s="6">
        <v>90.105900000000005</v>
      </c>
      <c r="Y20" s="6">
        <v>35.418799999999997</v>
      </c>
      <c r="Z20" s="6">
        <v>-90.004099999999994</v>
      </c>
      <c r="AA20" s="77">
        <f t="shared" si="14"/>
        <v>1.0807089815325598E-3</v>
      </c>
      <c r="AB20" s="77">
        <f t="shared" si="15"/>
        <v>-1.0063578672046551E-3</v>
      </c>
      <c r="AC20" s="77">
        <f t="shared" si="16"/>
        <v>-7.475542487833174E-3</v>
      </c>
      <c r="AD20" s="77">
        <f>R20-Dataout[[#This Row],[Atp]]</f>
        <v>-3.8611297857599425E-2</v>
      </c>
      <c r="AE20" s="77">
        <f>S20-Dataout[[#This Row],[Btp]]</f>
        <v>-2.312459398197575E-3</v>
      </c>
      <c r="AF20" s="77">
        <f>T20-Dataout[[#This Row],[Ctp]]</f>
        <v>-0.20164544809991014</v>
      </c>
      <c r="AG20" s="77">
        <f t="shared" si="17"/>
        <v>7.6200015450817882E-3</v>
      </c>
      <c r="AH20" s="134">
        <f t="shared" si="10"/>
        <v>0.20532186081888631</v>
      </c>
      <c r="AI20" s="134"/>
      <c r="AJ20" s="78"/>
      <c r="AM20" s="9"/>
    </row>
    <row r="21" spans="1:54" x14ac:dyDescent="0.2">
      <c r="A21" s="2" t="s">
        <v>1222</v>
      </c>
      <c r="B21" s="9"/>
      <c r="C21" s="9"/>
      <c r="D21" s="9"/>
      <c r="E21" s="9"/>
      <c r="F21" s="31" t="str">
        <f t="shared" si="5"/>
        <v>P1</v>
      </c>
      <c r="G21" s="21">
        <v>19</v>
      </c>
      <c r="H21">
        <v>35.217417144775297</v>
      </c>
      <c r="I21">
        <v>-48.336449050903298</v>
      </c>
      <c r="J21">
        <v>82.031697845458893</v>
      </c>
      <c r="K21">
        <v>77.550704956054602</v>
      </c>
      <c r="L21">
        <v>-61.586085510253902</v>
      </c>
      <c r="M21">
        <v>47.906535911559999</v>
      </c>
      <c r="N21">
        <v>10</v>
      </c>
      <c r="O21">
        <v>543.82205561003798</v>
      </c>
      <c r="P21">
        <v>-423.76527089035898</v>
      </c>
      <c r="Q21">
        <v>1108.62495126199</v>
      </c>
      <c r="R21">
        <v>96.916375145217501</v>
      </c>
      <c r="S21">
        <v>29.343758317153799</v>
      </c>
      <c r="T21">
        <v>163.711155630398</v>
      </c>
      <c r="U21" s="77">
        <v>543.90589999999997</v>
      </c>
      <c r="V21" s="77">
        <v>-423.76319999999998</v>
      </c>
      <c r="W21" s="77">
        <v>1108.7856999999999</v>
      </c>
      <c r="X21" s="6">
        <v>97.036500000000004</v>
      </c>
      <c r="Y21" s="6">
        <v>29.2759</v>
      </c>
      <c r="Z21" s="6">
        <v>163.85839999999999</v>
      </c>
      <c r="AA21" s="77">
        <f t="shared" si="14"/>
        <v>-3.3009602347242543E-3</v>
      </c>
      <c r="AB21" s="77">
        <f t="shared" si="15"/>
        <v>-8.153111649580465E-5</v>
      </c>
      <c r="AC21" s="77">
        <f t="shared" si="16"/>
        <v>-6.3286904728323944E-3</v>
      </c>
      <c r="AD21" s="77">
        <f>R21-Dataout[[#This Row],[Atp]]</f>
        <v>-0.12012485478250312</v>
      </c>
      <c r="AE21" s="77">
        <f>S21-Dataout[[#This Row],[Btp]]</f>
        <v>6.7858317153799419E-2</v>
      </c>
      <c r="AF21" s="77">
        <f>T21-Dataout[[#This Row],[Ctp]]</f>
        <v>-0.14724436960199228</v>
      </c>
      <c r="AG21" s="77">
        <f t="shared" si="17"/>
        <v>7.1382987395532393E-3</v>
      </c>
      <c r="AH21" s="134">
        <f t="shared" si="10"/>
        <v>0.20178115948460401</v>
      </c>
      <c r="AI21" s="134"/>
      <c r="AJ21" s="78"/>
      <c r="AM21" s="9"/>
    </row>
    <row r="22" spans="1:54" x14ac:dyDescent="0.2">
      <c r="A22" s="2" t="s">
        <v>1222</v>
      </c>
      <c r="B22" s="9"/>
      <c r="C22" s="9"/>
      <c r="D22" s="9"/>
      <c r="E22" s="9"/>
      <c r="F22" s="31" t="str">
        <f t="shared" si="5"/>
        <v>P1</v>
      </c>
      <c r="G22" s="21">
        <v>20</v>
      </c>
      <c r="H22">
        <v>44.074507141113202</v>
      </c>
      <c r="I22">
        <v>-68.627646636962893</v>
      </c>
      <c r="J22">
        <v>111.95499610900799</v>
      </c>
      <c r="K22">
        <v>84.122140502929597</v>
      </c>
      <c r="L22">
        <v>-62.963994216918898</v>
      </c>
      <c r="M22">
        <v>-18.372722625732401</v>
      </c>
      <c r="N22">
        <v>10</v>
      </c>
      <c r="O22">
        <v>507.06207513559201</v>
      </c>
      <c r="P22">
        <v>-45.611107631477303</v>
      </c>
      <c r="Q22">
        <v>1144.70445353116</v>
      </c>
      <c r="R22">
        <v>105.78897269148101</v>
      </c>
      <c r="S22">
        <v>26.030998475540599</v>
      </c>
      <c r="T22">
        <v>-127.20382934716901</v>
      </c>
      <c r="U22" s="77">
        <v>507.1223</v>
      </c>
      <c r="V22" s="77">
        <v>-45.594900000000003</v>
      </c>
      <c r="W22" s="77">
        <v>1144.7411</v>
      </c>
      <c r="X22" s="6">
        <v>105.8626</v>
      </c>
      <c r="Y22" s="6">
        <v>26.033999999999999</v>
      </c>
      <c r="Z22" s="6">
        <v>-127.0052</v>
      </c>
      <c r="AA22" s="77">
        <f t="shared" si="14"/>
        <v>-2.3710576538576783E-3</v>
      </c>
      <c r="AB22" s="77">
        <f t="shared" si="15"/>
        <v>-6.3809572745276814E-4</v>
      </c>
      <c r="AC22" s="77">
        <f t="shared" si="16"/>
        <v>-1.4427743637791385E-3</v>
      </c>
      <c r="AD22" s="77">
        <f>R22-Dataout[[#This Row],[Atp]]</f>
        <v>-7.3627308518993573E-2</v>
      </c>
      <c r="AE22" s="77">
        <f>S22-Dataout[[#This Row],[Btp]]</f>
        <v>-3.0015244593997181E-3</v>
      </c>
      <c r="AF22" s="77">
        <f>T22-Dataout[[#This Row],[Ctp]]</f>
        <v>-0.19862934716900327</v>
      </c>
      <c r="AG22" s="77">
        <f t="shared" si="17"/>
        <v>2.8479252834456266E-3</v>
      </c>
      <c r="AH22" s="134">
        <f t="shared" si="10"/>
        <v>0.21185751642463826</v>
      </c>
      <c r="AI22" s="134"/>
      <c r="AJ22" s="78"/>
      <c r="AM22" s="9"/>
    </row>
    <row r="23" spans="1:54" x14ac:dyDescent="0.2">
      <c r="A23" s="2" t="s">
        <v>1222</v>
      </c>
      <c r="B23" s="9"/>
      <c r="C23" s="9"/>
      <c r="D23" s="9"/>
      <c r="E23" s="9"/>
      <c r="F23" s="31" t="str">
        <f t="shared" si="5"/>
        <v>P1</v>
      </c>
      <c r="G23" s="21">
        <v>21</v>
      </c>
      <c r="H23">
        <v>34.449398994445801</v>
      </c>
      <c r="I23">
        <v>-43.131974411010702</v>
      </c>
      <c r="J23">
        <v>66.071706008911093</v>
      </c>
      <c r="K23">
        <v>79.267705535888595</v>
      </c>
      <c r="L23">
        <v>-66.025188064575104</v>
      </c>
      <c r="M23">
        <v>-62.318080520629799</v>
      </c>
      <c r="N23">
        <v>10</v>
      </c>
      <c r="O23">
        <v>501.90224650690601</v>
      </c>
      <c r="P23">
        <v>-533.16245151615794</v>
      </c>
      <c r="Q23">
        <v>1287.42403485816</v>
      </c>
      <c r="R23">
        <v>90.208147201936697</v>
      </c>
      <c r="S23">
        <v>34.3757902739234</v>
      </c>
      <c r="T23">
        <v>-92.820077419818404</v>
      </c>
      <c r="U23" s="77">
        <v>502.04149999999998</v>
      </c>
      <c r="V23" s="77">
        <v>-533.1354</v>
      </c>
      <c r="W23" s="77">
        <v>1287.6507999999999</v>
      </c>
      <c r="X23" s="6">
        <v>90.202799999999996</v>
      </c>
      <c r="Y23" s="6">
        <v>34.365000000000002</v>
      </c>
      <c r="Z23" s="6">
        <v>-92.5886</v>
      </c>
      <c r="AA23" s="77">
        <f t="shared" si="14"/>
        <v>-5.482420987951756E-3</v>
      </c>
      <c r="AB23" s="77">
        <f t="shared" si="15"/>
        <v>-1.0650203211787267E-3</v>
      </c>
      <c r="AC23" s="77">
        <f t="shared" si="16"/>
        <v>-8.9277614897600582E-3</v>
      </c>
      <c r="AD23" s="77">
        <f>R23-Dataout[[#This Row],[Atp]]</f>
        <v>5.3472019367006851E-3</v>
      </c>
      <c r="AE23" s="77">
        <f>S23-Dataout[[#This Row],[Btp]]</f>
        <v>1.079027392339782E-2</v>
      </c>
      <c r="AF23" s="77">
        <f>T23-Dataout[[#This Row],[Ctp]]</f>
        <v>-0.23147741981840397</v>
      </c>
      <c r="AG23" s="77">
        <f t="shared" si="17"/>
        <v>1.0530723308097135E-2</v>
      </c>
      <c r="AH23" s="134">
        <f t="shared" si="10"/>
        <v>0.23179046241310158</v>
      </c>
      <c r="AI23" s="134"/>
      <c r="AJ23" s="78"/>
      <c r="AM23" s="9"/>
    </row>
    <row r="24" spans="1:54" x14ac:dyDescent="0.2">
      <c r="A24" s="2" t="s">
        <v>1222</v>
      </c>
      <c r="B24" s="9"/>
      <c r="C24" s="9"/>
      <c r="D24" s="9"/>
      <c r="E24" s="9"/>
      <c r="F24" s="31" t="str">
        <f t="shared" si="5"/>
        <v>P1</v>
      </c>
      <c r="G24" s="21">
        <v>22</v>
      </c>
      <c r="H24">
        <v>10.950477361679001</v>
      </c>
      <c r="I24">
        <v>-57.677971267700102</v>
      </c>
      <c r="J24">
        <v>102.990872955322</v>
      </c>
      <c r="K24">
        <v>42.088607215881296</v>
      </c>
      <c r="L24">
        <v>-46.9719076156616</v>
      </c>
      <c r="M24">
        <v>-27.526516342162999</v>
      </c>
      <c r="N24">
        <v>10</v>
      </c>
      <c r="O24">
        <v>1171.79692912319</v>
      </c>
      <c r="P24">
        <v>-493.328167001699</v>
      </c>
      <c r="Q24">
        <v>1097.3396230325</v>
      </c>
      <c r="R24">
        <v>96.413430084573207</v>
      </c>
      <c r="S24">
        <v>23.301344924331499</v>
      </c>
      <c r="T24">
        <v>-93.540015395487998</v>
      </c>
      <c r="U24" s="77">
        <v>1171.8351</v>
      </c>
      <c r="V24" s="77">
        <v>-493.23230000000001</v>
      </c>
      <c r="W24" s="77">
        <v>1097.4833000000001</v>
      </c>
      <c r="X24" s="6">
        <v>96.441000000000003</v>
      </c>
      <c r="Y24" s="6">
        <v>23.293099999999999</v>
      </c>
      <c r="Z24" s="6">
        <v>-93.366799999999998</v>
      </c>
      <c r="AA24" s="77">
        <f t="shared" si="14"/>
        <v>-1.5027904255905415E-3</v>
      </c>
      <c r="AB24" s="77">
        <f t="shared" si="15"/>
        <v>-3.774291405472099E-3</v>
      </c>
      <c r="AC24" s="77">
        <f t="shared" si="16"/>
        <v>-5.6565735236276168E-3</v>
      </c>
      <c r="AD24" s="77">
        <f>R24-Dataout[[#This Row],[Atp]]</f>
        <v>-2.7569915426795433E-2</v>
      </c>
      <c r="AE24" s="77">
        <f>S24-Dataout[[#This Row],[Btp]]</f>
        <v>8.2449243314997034E-3</v>
      </c>
      <c r="AF24" s="77">
        <f>T24-Dataout[[#This Row],[Ctp]]</f>
        <v>-0.17321539548800047</v>
      </c>
      <c r="AG24" s="77">
        <f t="shared" si="17"/>
        <v>6.9642285075141031E-3</v>
      </c>
      <c r="AH24" s="134">
        <f t="shared" si="10"/>
        <v>0.175589442302028</v>
      </c>
      <c r="AI24" s="134"/>
      <c r="AJ24" s="78"/>
      <c r="AP24" s="6" t="s">
        <v>1225</v>
      </c>
    </row>
    <row r="25" spans="1:54" x14ac:dyDescent="0.2">
      <c r="A25" s="2" t="s">
        <v>1222</v>
      </c>
      <c r="B25" s="9"/>
      <c r="C25" s="9"/>
      <c r="D25" s="9"/>
      <c r="E25" s="9"/>
      <c r="F25" s="31" t="str">
        <f t="shared" si="5"/>
        <v>P1</v>
      </c>
      <c r="G25" s="21">
        <v>23</v>
      </c>
      <c r="H25">
        <v>2.9986425161361598</v>
      </c>
      <c r="I25">
        <v>-69.917238616943294</v>
      </c>
      <c r="J25">
        <v>109.10498657226501</v>
      </c>
      <c r="K25">
        <v>23.999095153808501</v>
      </c>
      <c r="L25">
        <v>-13.032085800170799</v>
      </c>
      <c r="M25">
        <v>-17.109724426269501</v>
      </c>
      <c r="N25">
        <v>10</v>
      </c>
      <c r="O25">
        <v>1289.8940193119499</v>
      </c>
      <c r="P25">
        <v>-392.05291586736797</v>
      </c>
      <c r="Q25">
        <v>1136.7405810810801</v>
      </c>
      <c r="R25">
        <v>117.231412009124</v>
      </c>
      <c r="S25">
        <v>6.8774572863419401</v>
      </c>
      <c r="T25">
        <v>-97.432551765203698</v>
      </c>
      <c r="U25" s="77">
        <v>1289.9530999999999</v>
      </c>
      <c r="V25" s="77">
        <v>-391.97899999999998</v>
      </c>
      <c r="W25" s="77">
        <v>1136.8023000000001</v>
      </c>
      <c r="X25" s="6">
        <v>117.26139999999999</v>
      </c>
      <c r="Y25" s="6">
        <v>6.8769</v>
      </c>
      <c r="Z25" s="6">
        <v>-97.269400000000005</v>
      </c>
      <c r="AA25" s="77">
        <f t="shared" si="14"/>
        <v>-2.3260113405518409E-3</v>
      </c>
      <c r="AB25" s="77">
        <f t="shared" si="15"/>
        <v>-2.9100735184246738E-3</v>
      </c>
      <c r="AC25" s="77">
        <f t="shared" si="16"/>
        <v>-2.4298786976358557E-3</v>
      </c>
      <c r="AD25" s="77">
        <f>R25-Dataout[[#This Row],[Atp]]</f>
        <v>-2.9987990875994797E-2</v>
      </c>
      <c r="AE25" s="77">
        <f>S25-Dataout[[#This Row],[Btp]]</f>
        <v>5.5728634194007753E-4</v>
      </c>
      <c r="AF25" s="77">
        <f>T25-Dataout[[#This Row],[Ctp]]</f>
        <v>-0.16315176520369334</v>
      </c>
      <c r="AG25" s="77">
        <f t="shared" si="17"/>
        <v>4.4478272363297627E-3</v>
      </c>
      <c r="AH25" s="134">
        <f t="shared" si="10"/>
        <v>0.16588576989581338</v>
      </c>
      <c r="AI25" s="134"/>
      <c r="AJ25" s="78"/>
      <c r="AM25" s="9"/>
      <c r="AP25" s="70" t="s">
        <v>1224</v>
      </c>
    </row>
    <row r="26" spans="1:54" x14ac:dyDescent="0.2">
      <c r="A26" s="2" t="s">
        <v>1222</v>
      </c>
      <c r="B26" s="9"/>
      <c r="C26" s="9"/>
      <c r="D26" s="9"/>
      <c r="E26" s="9"/>
      <c r="F26" s="31" t="str">
        <f t="shared" si="5"/>
        <v>P1</v>
      </c>
      <c r="G26" s="21">
        <v>24</v>
      </c>
      <c r="H26">
        <v>-8.5612941741943303</v>
      </c>
      <c r="I26">
        <v>-62.913075828552202</v>
      </c>
      <c r="J26">
        <v>123.03596839904699</v>
      </c>
      <c r="K26">
        <v>-11.1667733669281</v>
      </c>
      <c r="L26">
        <v>-60.3858951568603</v>
      </c>
      <c r="M26">
        <v>5.53753561973571</v>
      </c>
      <c r="N26">
        <v>10</v>
      </c>
      <c r="O26">
        <v>1516.97479077047</v>
      </c>
      <c r="P26">
        <v>-278.304368439607</v>
      </c>
      <c r="Q26">
        <v>1010.36345692225</v>
      </c>
      <c r="R26">
        <v>90.077690977517193</v>
      </c>
      <c r="S26">
        <v>3.5574840783562101</v>
      </c>
      <c r="T26">
        <v>-90.289082038009397</v>
      </c>
      <c r="U26" s="77">
        <v>1516.9987000000001</v>
      </c>
      <c r="V26" s="77">
        <v>-278.26609999999999</v>
      </c>
      <c r="W26" s="77">
        <v>1010.3695</v>
      </c>
      <c r="X26" s="6">
        <v>90.117999999999995</v>
      </c>
      <c r="Y26" s="6">
        <v>3.5804</v>
      </c>
      <c r="Z26" s="6">
        <v>-90.1096</v>
      </c>
      <c r="AA26" s="77">
        <f t="shared" si="14"/>
        <v>-9.4130824921616807E-4</v>
      </c>
      <c r="AB26" s="77">
        <f t="shared" si="15"/>
        <v>-1.506631480590905E-3</v>
      </c>
      <c r="AC26" s="77">
        <f t="shared" si="16"/>
        <v>-2.3791644685292068E-4</v>
      </c>
      <c r="AD26" s="77">
        <f>R26-Dataout[[#This Row],[Atp]]</f>
        <v>-4.0309022482801993E-2</v>
      </c>
      <c r="AE26" s="77">
        <f>S26-Dataout[[#This Row],[Btp]]</f>
        <v>-2.2915921643789972E-2</v>
      </c>
      <c r="AF26" s="77">
        <f>T26-Dataout[[#This Row],[Ctp]]</f>
        <v>-0.17948203800939666</v>
      </c>
      <c r="AG26" s="77">
        <f t="shared" si="17"/>
        <v>1.7923738097933336E-3</v>
      </c>
      <c r="AH26" s="134">
        <f t="shared" si="10"/>
        <v>0.18537464423785111</v>
      </c>
      <c r="AI26" s="134"/>
      <c r="AJ26" s="78"/>
      <c r="AM26" s="10"/>
      <c r="AU26" s="9"/>
    </row>
    <row r="27" spans="1:54" x14ac:dyDescent="0.2">
      <c r="A27" s="2" t="s">
        <v>1222</v>
      </c>
      <c r="B27" s="9"/>
      <c r="C27" s="9"/>
      <c r="D27" s="9"/>
      <c r="E27" s="9"/>
      <c r="F27" s="31" t="str">
        <f t="shared" si="5"/>
        <v>P1</v>
      </c>
      <c r="G27" s="21">
        <v>25</v>
      </c>
      <c r="H27">
        <v>-5.0744905233383104</v>
      </c>
      <c r="I27">
        <v>-63.207847213745097</v>
      </c>
      <c r="J27">
        <v>101.942012023925</v>
      </c>
      <c r="K27">
        <v>-10.9358031272888</v>
      </c>
      <c r="L27">
        <v>-33.902687072753899</v>
      </c>
      <c r="M27">
        <v>25.005606269836399</v>
      </c>
      <c r="N27">
        <v>10</v>
      </c>
      <c r="O27">
        <v>1487.0486349364101</v>
      </c>
      <c r="P27">
        <v>-485.16308021953398</v>
      </c>
      <c r="Q27">
        <v>1220.69211413887</v>
      </c>
      <c r="R27">
        <v>95.154732447487405</v>
      </c>
      <c r="S27">
        <v>3.6314258232258498</v>
      </c>
      <c r="T27">
        <v>-107.091970617771</v>
      </c>
      <c r="U27" s="77">
        <v>1487.0050000000001</v>
      </c>
      <c r="V27" s="77">
        <v>-485.113</v>
      </c>
      <c r="W27" s="77">
        <v>1220.8154999999999</v>
      </c>
      <c r="X27" s="6">
        <v>95.204700000000003</v>
      </c>
      <c r="Y27" s="6">
        <v>3.6640999999999999</v>
      </c>
      <c r="Z27" s="6">
        <v>-106.91800000000001</v>
      </c>
      <c r="AA27" s="77">
        <f t="shared" si="14"/>
        <v>1.7179108822812678E-3</v>
      </c>
      <c r="AB27" s="77">
        <f t="shared" si="15"/>
        <v>-1.9716621863772269E-3</v>
      </c>
      <c r="AC27" s="77">
        <f t="shared" si="16"/>
        <v>-4.8577110681070216E-3</v>
      </c>
      <c r="AD27" s="77">
        <f>R27-Dataout[[#This Row],[Atp]]</f>
        <v>-4.996755251259799E-2</v>
      </c>
      <c r="AE27" s="77">
        <f>S27-Dataout[[#This Row],[Btp]]</f>
        <v>-3.2674176774150077E-2</v>
      </c>
      <c r="AF27" s="77">
        <f>T27-Dataout[[#This Row],[Ctp]]</f>
        <v>-0.17397061777099054</v>
      </c>
      <c r="AG27" s="77">
        <f t="shared" si="17"/>
        <v>5.5168855704880891E-3</v>
      </c>
      <c r="AH27" s="134">
        <f t="shared" si="10"/>
        <v>0.18392969847087701</v>
      </c>
      <c r="AI27" s="134"/>
      <c r="AJ27" s="78"/>
      <c r="AL27" s="9"/>
      <c r="AM27" s="9"/>
      <c r="AP27" s="6" t="s">
        <v>1229</v>
      </c>
    </row>
    <row r="28" spans="1:54" x14ac:dyDescent="0.2">
      <c r="A28" s="2" t="s">
        <v>1222</v>
      </c>
      <c r="B28" s="9"/>
      <c r="C28" s="9"/>
      <c r="D28" s="9"/>
      <c r="E28" s="9"/>
      <c r="F28" s="31" t="str">
        <f t="shared" si="5"/>
        <v>P1</v>
      </c>
      <c r="G28" s="21">
        <v>26</v>
      </c>
      <c r="H28">
        <v>-4.1308466672897302</v>
      </c>
      <c r="I28">
        <v>-72.539510345458893</v>
      </c>
      <c r="J28">
        <v>93.143992233276293</v>
      </c>
      <c r="K28">
        <v>-73.758049774169905</v>
      </c>
      <c r="L28">
        <v>-5.0031787872314402</v>
      </c>
      <c r="M28">
        <v>81.123058700561501</v>
      </c>
      <c r="N28">
        <v>10</v>
      </c>
      <c r="O28">
        <v>1450.6237606150601</v>
      </c>
      <c r="P28">
        <v>-444.38154861438898</v>
      </c>
      <c r="Q28">
        <v>1443.8090344836601</v>
      </c>
      <c r="R28">
        <v>109.17663054799699</v>
      </c>
      <c r="S28">
        <v>3.2243689783877101</v>
      </c>
      <c r="T28">
        <v>-100.65802768663499</v>
      </c>
      <c r="U28" s="77">
        <v>1450.529</v>
      </c>
      <c r="V28" s="77">
        <v>-444.33429999999998</v>
      </c>
      <c r="W28" s="77">
        <v>1443.8042</v>
      </c>
      <c r="X28" s="6">
        <v>109.2191</v>
      </c>
      <c r="Y28" s="6">
        <v>3.3159999999999998</v>
      </c>
      <c r="Z28" s="6">
        <v>-100.4635</v>
      </c>
      <c r="AA28" s="77">
        <f t="shared" si="14"/>
        <v>3.7307328763806187E-3</v>
      </c>
      <c r="AB28" s="77">
        <f t="shared" si="15"/>
        <v>-1.8601816688579122E-3</v>
      </c>
      <c r="AC28" s="77">
        <f t="shared" si="16"/>
        <v>1.9033400236352692E-4</v>
      </c>
      <c r="AD28" s="77">
        <f>R28-Dataout[[#This Row],[Atp]]</f>
        <v>-4.2469452003004449E-2</v>
      </c>
      <c r="AE28" s="77">
        <f>S28-Dataout[[#This Row],[Btp]]</f>
        <v>-9.1631021612289754E-2</v>
      </c>
      <c r="AF28" s="77">
        <f>T28-Dataout[[#This Row],[Ctp]]</f>
        <v>-0.19452768663499853</v>
      </c>
      <c r="AG28" s="77">
        <f t="shared" si="17"/>
        <v>4.1731128271972149E-3</v>
      </c>
      <c r="AH28" s="134">
        <f t="shared" si="10"/>
        <v>0.21918238830415093</v>
      </c>
      <c r="AI28" s="134"/>
      <c r="AJ28" s="78"/>
      <c r="AM28" s="9"/>
      <c r="AP28" s="70" t="s">
        <v>1226</v>
      </c>
    </row>
    <row r="29" spans="1:54" x14ac:dyDescent="0.2">
      <c r="A29" s="2" t="s">
        <v>1222</v>
      </c>
      <c r="B29" s="9"/>
      <c r="C29" s="9"/>
      <c r="D29" s="9"/>
      <c r="E29" s="9"/>
      <c r="F29" s="31" t="str">
        <f t="shared" si="5"/>
        <v>P1</v>
      </c>
      <c r="G29" s="21">
        <v>27</v>
      </c>
      <c r="H29">
        <v>-19.016201782226499</v>
      </c>
      <c r="I29">
        <v>-66.784867095947206</v>
      </c>
      <c r="J29">
        <v>93.710607528686495</v>
      </c>
      <c r="K29">
        <v>-57.178335952758701</v>
      </c>
      <c r="L29">
        <v>-56.483364105224602</v>
      </c>
      <c r="M29">
        <v>49.298749351501399</v>
      </c>
      <c r="N29">
        <v>10</v>
      </c>
      <c r="O29">
        <v>1689.29924899514</v>
      </c>
      <c r="P29">
        <v>-366.89275136098001</v>
      </c>
      <c r="Q29">
        <v>1479.75171508893</v>
      </c>
      <c r="R29">
        <v>80.459019221212799</v>
      </c>
      <c r="S29">
        <v>-21.362786765761498</v>
      </c>
      <c r="T29">
        <v>-93.813157220747399</v>
      </c>
      <c r="U29" s="77">
        <v>1689.3791000000001</v>
      </c>
      <c r="V29" s="77">
        <v>-366.84640000000002</v>
      </c>
      <c r="W29" s="77">
        <v>1479.7996000000001</v>
      </c>
      <c r="X29" s="6">
        <v>80.497799999999998</v>
      </c>
      <c r="Y29" s="6">
        <v>-21.290099999999999</v>
      </c>
      <c r="Z29" s="6">
        <v>-93.596199999999996</v>
      </c>
      <c r="AA29" s="77">
        <f t="shared" si="14"/>
        <v>-3.1437403488218376E-3</v>
      </c>
      <c r="AB29" s="77">
        <f t="shared" si="15"/>
        <v>-1.8248567314959638E-3</v>
      </c>
      <c r="AC29" s="77">
        <f t="shared" si="16"/>
        <v>-1.8852327192918864E-3</v>
      </c>
      <c r="AD29" s="77">
        <f>R29-Dataout[[#This Row],[Atp]]</f>
        <v>-3.878077878719921E-2</v>
      </c>
      <c r="AE29" s="77">
        <f>S29-Dataout[[#This Row],[Btp]]</f>
        <v>-7.2686765761499572E-2</v>
      </c>
      <c r="AF29" s="77">
        <f>T29-Dataout[[#This Row],[Ctp]]</f>
        <v>-0.21695722074740331</v>
      </c>
      <c r="AG29" s="77">
        <f t="shared" si="17"/>
        <v>4.0947903337271449E-3</v>
      </c>
      <c r="AH29" s="134">
        <f t="shared" si="10"/>
        <v>0.23207272643429316</v>
      </c>
      <c r="AI29" s="134"/>
      <c r="AJ29" s="78"/>
      <c r="AM29" s="9"/>
    </row>
    <row r="30" spans="1:54" x14ac:dyDescent="0.2">
      <c r="A30" s="2" t="s">
        <v>1222</v>
      </c>
      <c r="B30" s="9"/>
      <c r="C30" s="9"/>
      <c r="D30" s="9"/>
      <c r="E30" s="9"/>
      <c r="F30" s="31" t="str">
        <f t="shared" si="5"/>
        <v>P1</v>
      </c>
      <c r="G30" s="21">
        <v>28</v>
      </c>
      <c r="H30">
        <v>4.7822485923766997</v>
      </c>
      <c r="I30">
        <v>-69.423330688476497</v>
      </c>
      <c r="J30">
        <v>85.376192474365197</v>
      </c>
      <c r="K30">
        <v>-30.832059288024901</v>
      </c>
      <c r="L30">
        <v>-18.478082275390602</v>
      </c>
      <c r="M30">
        <v>29.521708106994598</v>
      </c>
      <c r="N30">
        <v>10</v>
      </c>
      <c r="O30">
        <v>1151.8341876371101</v>
      </c>
      <c r="P30">
        <v>-515.28370663229498</v>
      </c>
      <c r="Q30">
        <v>1603.9067210641199</v>
      </c>
      <c r="R30">
        <v>89.807703885136505</v>
      </c>
      <c r="S30">
        <v>-9.5458908903708704</v>
      </c>
      <c r="T30">
        <v>-90.375575220051402</v>
      </c>
      <c r="U30" s="77">
        <v>1151.8471999999999</v>
      </c>
      <c r="V30" s="77">
        <v>-515.24570000000006</v>
      </c>
      <c r="W30" s="77">
        <v>1603.9722999999999</v>
      </c>
      <c r="X30" s="6">
        <v>89.846400000000003</v>
      </c>
      <c r="Y30" s="6">
        <v>-9.4990000000000006</v>
      </c>
      <c r="Z30" s="6">
        <v>-90.177700000000002</v>
      </c>
      <c r="AA30" s="77">
        <f t="shared" si="14"/>
        <v>-5.1229775156957837E-4</v>
      </c>
      <c r="AB30" s="77">
        <f t="shared" si="15"/>
        <v>-1.4963241060993423E-3</v>
      </c>
      <c r="AC30" s="77">
        <f t="shared" si="16"/>
        <v>-2.5818478692918138E-3</v>
      </c>
      <c r="AD30" s="77">
        <f>R30-Dataout[[#This Row],[Atp]]</f>
        <v>-3.869611486349811E-2</v>
      </c>
      <c r="AE30" s="77">
        <f>S30-Dataout[[#This Row],[Btp]]</f>
        <v>-4.6890890370869798E-2</v>
      </c>
      <c r="AF30" s="77">
        <f>T30-Dataout[[#This Row],[Ctp]]</f>
        <v>-0.1978752200514009</v>
      </c>
      <c r="AG30" s="77">
        <f t="shared" si="17"/>
        <v>3.0277670380866361E-3</v>
      </c>
      <c r="AH30" s="134">
        <f t="shared" si="10"/>
        <v>0.20700422125090179</v>
      </c>
      <c r="AI30" s="134"/>
      <c r="AJ30" s="78"/>
      <c r="AM30" s="9"/>
      <c r="AO30" s="9"/>
    </row>
    <row r="31" spans="1:54" x14ac:dyDescent="0.2">
      <c r="A31" s="2" t="s">
        <v>1222</v>
      </c>
      <c r="B31" s="9"/>
      <c r="C31" s="9"/>
      <c r="D31" s="9"/>
      <c r="E31" s="9"/>
      <c r="F31" s="31" t="str">
        <f t="shared" si="5"/>
        <v>P1</v>
      </c>
      <c r="G31" s="21">
        <v>29</v>
      </c>
      <c r="H31">
        <v>1.54666908085346E-2</v>
      </c>
      <c r="I31">
        <v>-90.325235366821204</v>
      </c>
      <c r="J31">
        <v>95.735694885253906</v>
      </c>
      <c r="K31">
        <v>0.240070454776287</v>
      </c>
      <c r="L31">
        <v>15.849974203109699</v>
      </c>
      <c r="M31">
        <v>-0.25949786305427502</v>
      </c>
      <c r="N31">
        <v>10</v>
      </c>
      <c r="O31">
        <v>1327.7417444006501</v>
      </c>
      <c r="P31">
        <v>-206.771800065804</v>
      </c>
      <c r="Q31">
        <v>1693.84969948047</v>
      </c>
      <c r="R31">
        <v>111.16720928183901</v>
      </c>
      <c r="S31">
        <v>4.3004354894423198</v>
      </c>
      <c r="T31">
        <v>-92.029833403980703</v>
      </c>
      <c r="U31" s="77">
        <v>1327.7887000000001</v>
      </c>
      <c r="V31" s="77">
        <v>-206.9348</v>
      </c>
      <c r="W31" s="77">
        <v>1693.6706999999999</v>
      </c>
      <c r="X31" s="6">
        <v>111.2128</v>
      </c>
      <c r="Y31" s="6">
        <v>4.3099999999999996</v>
      </c>
      <c r="Z31" s="6">
        <v>-91.847499999999997</v>
      </c>
      <c r="AA31" s="77">
        <f t="shared" si="14"/>
        <v>-1.8486456437002078E-3</v>
      </c>
      <c r="AB31" s="77">
        <f t="shared" si="15"/>
        <v>6.4173202439367898E-3</v>
      </c>
      <c r="AC31" s="77">
        <f t="shared" si="16"/>
        <v>7.0472236405555487E-3</v>
      </c>
      <c r="AD31" s="77">
        <f>R31-Dataout[[#This Row],[Atp]]</f>
        <v>-4.559071816099447E-2</v>
      </c>
      <c r="AE31" s="77">
        <f>S31-Dataout[[#This Row],[Btp]]</f>
        <v>-9.5645105576798173E-3</v>
      </c>
      <c r="AF31" s="77">
        <f>T31-Dataout[[#This Row],[Ctp]]</f>
        <v>-0.18233340398070652</v>
      </c>
      <c r="AG31" s="77">
        <f t="shared" si="17"/>
        <v>9.7089057503519788E-3</v>
      </c>
      <c r="AH31" s="134">
        <f t="shared" si="10"/>
        <v>0.18818996692659981</v>
      </c>
      <c r="AI31" s="134"/>
      <c r="AJ31" s="78"/>
      <c r="AM31" s="9"/>
    </row>
    <row r="32" spans="1:54" x14ac:dyDescent="0.2">
      <c r="A32" s="2" t="s">
        <v>1222</v>
      </c>
      <c r="B32" s="9"/>
      <c r="C32" s="9"/>
      <c r="D32" s="9"/>
      <c r="E32" s="9"/>
      <c r="F32" s="31" t="str">
        <f t="shared" si="5"/>
        <v>P1</v>
      </c>
      <c r="G32" s="21">
        <v>30</v>
      </c>
      <c r="H32">
        <v>-12.999700355529701</v>
      </c>
      <c r="I32">
        <v>-93.955718612670793</v>
      </c>
      <c r="J32">
        <v>94.050508117675705</v>
      </c>
      <c r="K32">
        <v>-153.38799133300699</v>
      </c>
      <c r="L32">
        <v>-27.420425033569298</v>
      </c>
      <c r="M32">
        <v>150.49879226684499</v>
      </c>
      <c r="N32">
        <v>10</v>
      </c>
      <c r="O32">
        <v>1567.8646525505301</v>
      </c>
      <c r="P32">
        <v>-89.013945285902906</v>
      </c>
      <c r="Q32">
        <v>1748.2492677369701</v>
      </c>
      <c r="R32">
        <v>114.886408644268</v>
      </c>
      <c r="S32">
        <v>3.9421469707525101</v>
      </c>
      <c r="T32">
        <v>-92.223478174733202</v>
      </c>
      <c r="U32" s="77">
        <v>1568.0809999999999</v>
      </c>
      <c r="V32" s="77">
        <v>-89.207499999999996</v>
      </c>
      <c r="W32" s="77">
        <v>1748.1629</v>
      </c>
      <c r="X32" s="6">
        <v>114.81699999999999</v>
      </c>
      <c r="Y32" s="6">
        <v>4.0658000000000003</v>
      </c>
      <c r="Z32" s="6">
        <v>-91.9803</v>
      </c>
      <c r="AA32" s="77">
        <f t="shared" si="14"/>
        <v>-8.5176161208591374E-3</v>
      </c>
      <c r="AB32" s="77">
        <f t="shared" si="15"/>
        <v>7.6202643345310902E-3</v>
      </c>
      <c r="AC32" s="77">
        <f t="shared" si="16"/>
        <v>3.400304605119395E-3</v>
      </c>
      <c r="AD32" s="77">
        <f>R32-Dataout[[#This Row],[Atp]]</f>
        <v>6.9408644268008857E-2</v>
      </c>
      <c r="AE32" s="77">
        <f>S32-Dataout[[#This Row],[Btp]]</f>
        <v>-0.12365302924749022</v>
      </c>
      <c r="AF32" s="77">
        <f>T32-Dataout[[#This Row],[Ctp]]</f>
        <v>-0.24317817473320247</v>
      </c>
      <c r="AG32" s="77">
        <f t="shared" si="17"/>
        <v>1.1923937450273805E-2</v>
      </c>
      <c r="AH32" s="134">
        <f t="shared" si="10"/>
        <v>0.28150178721950525</v>
      </c>
      <c r="AI32" s="134"/>
      <c r="AJ32" s="78"/>
      <c r="AM32" s="9"/>
    </row>
    <row r="33" spans="1:39" x14ac:dyDescent="0.2">
      <c r="A33" s="2" t="s">
        <v>1222</v>
      </c>
      <c r="B33" s="9"/>
      <c r="C33" s="9"/>
      <c r="D33" s="9"/>
      <c r="E33" s="9"/>
      <c r="F33" s="31" t="str">
        <f t="shared" si="5"/>
        <v>P1</v>
      </c>
      <c r="G33" s="21">
        <v>31</v>
      </c>
      <c r="H33">
        <v>-9.0590624809265101</v>
      </c>
      <c r="I33">
        <v>-61.598947906494097</v>
      </c>
      <c r="J33">
        <v>65.162594223022396</v>
      </c>
      <c r="K33">
        <v>-52.443525314330998</v>
      </c>
      <c r="L33">
        <v>-11.4302651405334</v>
      </c>
      <c r="M33">
        <v>52.403387451171803</v>
      </c>
      <c r="N33">
        <v>10</v>
      </c>
      <c r="O33">
        <v>1607.84926165249</v>
      </c>
      <c r="P33">
        <v>-574.91928434979104</v>
      </c>
      <c r="Q33">
        <v>1752.5861351618501</v>
      </c>
      <c r="R33">
        <v>86.527273108149103</v>
      </c>
      <c r="S33">
        <v>4.4836189501309303</v>
      </c>
      <c r="T33">
        <v>-90.015309786918394</v>
      </c>
      <c r="U33" s="77">
        <v>1607.8081999999999</v>
      </c>
      <c r="V33" s="77">
        <v>-574.87080000000003</v>
      </c>
      <c r="W33" s="77">
        <v>1752.5995</v>
      </c>
      <c r="X33" s="6">
        <v>86.565799999999996</v>
      </c>
      <c r="Y33" s="6">
        <v>4.5530999999999997</v>
      </c>
      <c r="Z33" s="6">
        <v>-89.820999999999998</v>
      </c>
      <c r="AA33" s="77">
        <f t="shared" si="14"/>
        <v>1.6166004917339898E-3</v>
      </c>
      <c r="AB33" s="77">
        <f t="shared" si="15"/>
        <v>-1.9088326689374242E-3</v>
      </c>
      <c r="AC33" s="77">
        <f t="shared" si="16"/>
        <v>-5.2617473031427013E-4</v>
      </c>
      <c r="AD33" s="77">
        <f>R33-Dataout[[#This Row],[Atp]]</f>
        <v>-3.8526891850892753E-2</v>
      </c>
      <c r="AE33" s="77">
        <f>S33-Dataout[[#This Row],[Btp]]</f>
        <v>-6.9481049869069444E-2</v>
      </c>
      <c r="AF33" s="77">
        <f>T33-Dataout[[#This Row],[Ctp]]</f>
        <v>-0.19430978691839584</v>
      </c>
      <c r="AG33" s="77">
        <f t="shared" si="17"/>
        <v>2.5561492825534747E-3</v>
      </c>
      <c r="AH33" s="134">
        <f t="shared" si="10"/>
        <v>0.20992434584599973</v>
      </c>
      <c r="AI33" s="134"/>
      <c r="AJ33" s="78"/>
    </row>
    <row r="34" spans="1:39" x14ac:dyDescent="0.2">
      <c r="A34" s="2" t="s">
        <v>1222</v>
      </c>
      <c r="B34" s="9"/>
      <c r="C34" s="9"/>
      <c r="D34" s="9"/>
      <c r="E34" s="9"/>
      <c r="F34" s="31" t="str">
        <f t="shared" si="5"/>
        <v>P1</v>
      </c>
      <c r="G34" s="21">
        <v>32</v>
      </c>
      <c r="H34">
        <v>-30.9398075103759</v>
      </c>
      <c r="I34">
        <v>-75.608846664428697</v>
      </c>
      <c r="J34">
        <v>87.618997573852496</v>
      </c>
      <c r="K34">
        <v>86.809297180175705</v>
      </c>
      <c r="L34">
        <v>26.390954494476301</v>
      </c>
      <c r="M34">
        <v>-89.263085174560501</v>
      </c>
      <c r="N34">
        <v>10</v>
      </c>
      <c r="O34">
        <v>2070.91641255891</v>
      </c>
      <c r="P34">
        <v>-171.90392367872499</v>
      </c>
      <c r="Q34">
        <v>1617.80654358065</v>
      </c>
      <c r="R34">
        <v>102.49987050048399</v>
      </c>
      <c r="S34">
        <v>8.7444820981916909</v>
      </c>
      <c r="T34">
        <v>-95.5178997423167</v>
      </c>
      <c r="U34" s="77">
        <v>2070.8694</v>
      </c>
      <c r="V34" s="77">
        <v>-171.88679999999999</v>
      </c>
      <c r="W34" s="77">
        <v>1617.711</v>
      </c>
      <c r="X34" s="6">
        <v>102.44450000000001</v>
      </c>
      <c r="Y34" s="6">
        <v>8.6983999999999995</v>
      </c>
      <c r="Z34" s="6">
        <v>-95.391300000000001</v>
      </c>
      <c r="AA34" s="77">
        <f t="shared" si="14"/>
        <v>1.8508881460612306E-3</v>
      </c>
      <c r="AB34" s="77">
        <f t="shared" si="15"/>
        <v>-6.7416057972439114E-4</v>
      </c>
      <c r="AC34" s="77">
        <f t="shared" si="16"/>
        <v>3.7615582933060469E-3</v>
      </c>
      <c r="AD34" s="77">
        <f>R34-Dataout[[#This Row],[Atp]]</f>
        <v>5.5370500483988394E-2</v>
      </c>
      <c r="AE34" s="77">
        <f>S34-Dataout[[#This Row],[Btp]]</f>
        <v>4.6082098191691401E-2</v>
      </c>
      <c r="AF34" s="77">
        <f>T34-Dataout[[#This Row],[Ctp]]</f>
        <v>-0.12659974231669935</v>
      </c>
      <c r="AG34" s="77">
        <f t="shared" si="17"/>
        <v>4.2461276724121014E-3</v>
      </c>
      <c r="AH34" s="134">
        <f t="shared" si="10"/>
        <v>0.14566038188969135</v>
      </c>
      <c r="AI34" s="134"/>
      <c r="AJ34" s="78"/>
      <c r="AL34" s="9"/>
      <c r="AM34" s="9"/>
    </row>
    <row r="35" spans="1:39" x14ac:dyDescent="0.2">
      <c r="A35" s="2" t="s">
        <v>1222</v>
      </c>
      <c r="B35" s="9"/>
      <c r="C35" s="9"/>
      <c r="D35" s="9"/>
      <c r="E35" s="9"/>
      <c r="F35" s="31" t="str">
        <f t="shared" si="5"/>
        <v>P1</v>
      </c>
      <c r="G35" s="21">
        <v>33</v>
      </c>
      <c r="H35">
        <v>-47.592810058593699</v>
      </c>
      <c r="I35">
        <v>-56.962967300415002</v>
      </c>
      <c r="J35">
        <v>59.555109786987302</v>
      </c>
      <c r="K35">
        <v>-87.633941268920793</v>
      </c>
      <c r="L35">
        <v>-47.654414367675699</v>
      </c>
      <c r="M35">
        <v>86.458764266967705</v>
      </c>
      <c r="N35">
        <v>10</v>
      </c>
      <c r="O35">
        <v>2528.30134836759</v>
      </c>
      <c r="P35">
        <v>-43.482047044521003</v>
      </c>
      <c r="Q35">
        <v>1710.73653412965</v>
      </c>
      <c r="R35">
        <v>90.135019413562404</v>
      </c>
      <c r="S35">
        <v>4.3914734312720096</v>
      </c>
      <c r="T35">
        <v>-90.296564515935103</v>
      </c>
      <c r="U35" s="77">
        <v>2528.3634999999999</v>
      </c>
      <c r="V35" s="77">
        <v>-43.473500000000001</v>
      </c>
      <c r="W35" s="77">
        <v>1710.7307000000001</v>
      </c>
      <c r="X35" s="6">
        <v>90.1404</v>
      </c>
      <c r="Y35" s="6">
        <v>4.4897999999999998</v>
      </c>
      <c r="Z35" s="6">
        <v>-90.100300000000004</v>
      </c>
      <c r="AA35" s="77">
        <f t="shared" si="14"/>
        <v>-2.4469146618090651E-3</v>
      </c>
      <c r="AB35" s="77">
        <f t="shared" si="15"/>
        <v>-3.3649781578748341E-4</v>
      </c>
      <c r="AC35" s="77">
        <f t="shared" si="16"/>
        <v>2.2969014369621395E-4</v>
      </c>
      <c r="AD35" s="77">
        <f>R35-Dataout[[#This Row],[Atp]]</f>
        <v>-5.38058643759598E-3</v>
      </c>
      <c r="AE35" s="77">
        <f>S35-Dataout[[#This Row],[Btp]]</f>
        <v>-9.8326568727990171E-2</v>
      </c>
      <c r="AF35" s="77">
        <f>T35-Dataout[[#This Row],[Ctp]]</f>
        <v>-0.19626451593509842</v>
      </c>
      <c r="AG35" s="77">
        <f t="shared" si="17"/>
        <v>2.480600674094302E-3</v>
      </c>
      <c r="AH35" s="134">
        <f t="shared" si="10"/>
        <v>0.21958329864420728</v>
      </c>
      <c r="AI35" s="134"/>
      <c r="AJ35" s="78"/>
      <c r="AM35" s="10"/>
    </row>
    <row r="36" spans="1:39" x14ac:dyDescent="0.2">
      <c r="A36" s="2" t="s">
        <v>1222</v>
      </c>
      <c r="B36" s="9"/>
      <c r="C36" s="9"/>
      <c r="D36" s="9"/>
      <c r="E36" s="9"/>
      <c r="F36" s="31" t="str">
        <f t="shared" si="5"/>
        <v>P1</v>
      </c>
      <c r="G36" s="21">
        <v>34</v>
      </c>
      <c r="H36">
        <v>-41.782597732543898</v>
      </c>
      <c r="I36">
        <v>-34.659883880615197</v>
      </c>
      <c r="J36">
        <v>33.296390533447202</v>
      </c>
      <c r="K36">
        <v>-90.999797058105401</v>
      </c>
      <c r="L36">
        <v>-58.414879035949703</v>
      </c>
      <c r="M36">
        <v>91.737574768066395</v>
      </c>
      <c r="N36">
        <v>10</v>
      </c>
      <c r="O36">
        <v>2492.78835752332</v>
      </c>
      <c r="P36">
        <v>-319.14998590746302</v>
      </c>
      <c r="Q36">
        <v>1536.2889878701201</v>
      </c>
      <c r="R36">
        <v>90.283150176988798</v>
      </c>
      <c r="S36">
        <v>-12.2233371119562</v>
      </c>
      <c r="T36">
        <v>-90.340037878712394</v>
      </c>
      <c r="U36" s="77">
        <v>2492.7296000000001</v>
      </c>
      <c r="V36" s="77">
        <v>-319.22359999999998</v>
      </c>
      <c r="W36" s="77">
        <v>1536.2783999999999</v>
      </c>
      <c r="X36" s="6">
        <v>90.283500000000004</v>
      </c>
      <c r="Y36" s="6">
        <v>-12.1158</v>
      </c>
      <c r="Z36" s="6">
        <v>-90.148799999999994</v>
      </c>
      <c r="AA36" s="77">
        <f t="shared" si="14"/>
        <v>2.3132883196793287E-3</v>
      </c>
      <c r="AB36" s="77">
        <f t="shared" si="15"/>
        <v>2.8981926195652294E-3</v>
      </c>
      <c r="AC36" s="77">
        <f t="shared" si="16"/>
        <v>4.1684528032133163E-4</v>
      </c>
      <c r="AD36" s="77">
        <f>R36-Dataout[[#This Row],[Atp]]</f>
        <v>-3.4982301120578541E-4</v>
      </c>
      <c r="AE36" s="77">
        <f>S36-Dataout[[#This Row],[Btp]]</f>
        <v>-0.10753711195619964</v>
      </c>
      <c r="AF36" s="77">
        <f>T36-Dataout[[#This Row],[Ctp]]</f>
        <v>-0.19123787871239983</v>
      </c>
      <c r="AG36" s="77">
        <f t="shared" si="17"/>
        <v>3.7315657970607122E-3</v>
      </c>
      <c r="AH36" s="134">
        <f t="shared" si="10"/>
        <v>0.2193998155843298</v>
      </c>
      <c r="AI36" s="134"/>
      <c r="AJ36" s="78"/>
    </row>
    <row r="37" spans="1:39" x14ac:dyDescent="0.2">
      <c r="A37" s="2" t="s">
        <v>1222</v>
      </c>
      <c r="B37" s="9"/>
      <c r="C37" s="9"/>
      <c r="D37" s="9"/>
      <c r="E37" s="9"/>
      <c r="F37" s="31" t="str">
        <f t="shared" si="5"/>
        <v>P1</v>
      </c>
      <c r="G37" s="21">
        <v>35</v>
      </c>
      <c r="H37">
        <v>-32.248797225952103</v>
      </c>
      <c r="I37">
        <v>-30.9593585968017</v>
      </c>
      <c r="J37">
        <v>29.8660980224609</v>
      </c>
      <c r="K37">
        <v>-250.682942962646</v>
      </c>
      <c r="L37">
        <v>66.084222412109298</v>
      </c>
      <c r="M37">
        <v>229.76989135742099</v>
      </c>
      <c r="N37">
        <v>10</v>
      </c>
      <c r="O37">
        <v>2190.53440392835</v>
      </c>
      <c r="P37">
        <v>-486.42966566425901</v>
      </c>
      <c r="Q37">
        <v>1576.65000756478</v>
      </c>
      <c r="R37">
        <v>69.974511431770196</v>
      </c>
      <c r="S37">
        <v>-26.326923642214101</v>
      </c>
      <c r="T37">
        <v>-66.539095429248704</v>
      </c>
      <c r="U37" s="77">
        <v>2190.3483000000001</v>
      </c>
      <c r="V37" s="77">
        <v>-486.27370000000002</v>
      </c>
      <c r="W37" s="77">
        <v>1576.5621000000001</v>
      </c>
      <c r="X37" s="6">
        <v>69.893000000000001</v>
      </c>
      <c r="Y37" s="6">
        <v>-26.379000000000001</v>
      </c>
      <c r="Z37" s="6">
        <v>-66.408900000000003</v>
      </c>
      <c r="AA37" s="77">
        <f t="shared" si="14"/>
        <v>7.3269263129879516E-3</v>
      </c>
      <c r="AB37" s="77">
        <f t="shared" si="15"/>
        <v>-6.1403804826372331E-3</v>
      </c>
      <c r="AC37" s="77">
        <f t="shared" si="16"/>
        <v>3.4609277472411595E-3</v>
      </c>
      <c r="AD37" s="77">
        <f>R37-Dataout[[#This Row],[Atp]]</f>
        <v>8.1511431770195486E-2</v>
      </c>
      <c r="AE37" s="77">
        <f>S37-Dataout[[#This Row],[Btp]]</f>
        <v>5.2076357785900029E-2</v>
      </c>
      <c r="AF37" s="77">
        <f>T37-Dataout[[#This Row],[Ctp]]</f>
        <v>-0.13019542924870109</v>
      </c>
      <c r="AG37" s="77">
        <f t="shared" si="17"/>
        <v>1.0166914110935099E-2</v>
      </c>
      <c r="AH37" s="134">
        <f t="shared" si="10"/>
        <v>0.16219405151461577</v>
      </c>
      <c r="AI37" s="134"/>
      <c r="AJ37" s="78"/>
    </row>
    <row r="38" spans="1:39" x14ac:dyDescent="0.2">
      <c r="A38" s="2" t="s">
        <v>1222</v>
      </c>
      <c r="B38" s="9"/>
      <c r="C38" s="9"/>
      <c r="D38" s="9"/>
      <c r="E38" s="9"/>
      <c r="F38" s="31" t="str">
        <f t="shared" si="5"/>
        <v>P1</v>
      </c>
      <c r="G38" s="21">
        <v>36</v>
      </c>
      <c r="H38">
        <v>-39.818317222595198</v>
      </c>
      <c r="I38">
        <v>-58.620862197875901</v>
      </c>
      <c r="J38">
        <v>90.064099502563394</v>
      </c>
      <c r="K38">
        <v>-71.0348606109619</v>
      </c>
      <c r="L38">
        <v>-61.775917053222599</v>
      </c>
      <c r="M38">
        <v>53.840670013427697</v>
      </c>
      <c r="N38">
        <v>10</v>
      </c>
      <c r="O38">
        <v>2239.0127224215998</v>
      </c>
      <c r="P38">
        <v>-152.281291824146</v>
      </c>
      <c r="Q38">
        <v>1312.50728396817</v>
      </c>
      <c r="R38">
        <v>90.092368669033206</v>
      </c>
      <c r="S38">
        <v>-12.1583959789348</v>
      </c>
      <c r="T38">
        <v>-90.390423328482996</v>
      </c>
      <c r="U38" s="77">
        <v>2239.0059000000001</v>
      </c>
      <c r="V38" s="77">
        <v>-152.2715</v>
      </c>
      <c r="W38" s="77">
        <v>1312.5621000000001</v>
      </c>
      <c r="X38" s="6">
        <v>90.1233</v>
      </c>
      <c r="Y38" s="6">
        <v>-12.083399999999999</v>
      </c>
      <c r="Z38" s="6">
        <v>-90.169499999999999</v>
      </c>
      <c r="AA38" s="77">
        <f t="shared" si="14"/>
        <v>2.6859927558016211E-4</v>
      </c>
      <c r="AB38" s="77">
        <f t="shared" si="15"/>
        <v>-3.8550488763748907E-4</v>
      </c>
      <c r="AC38" s="77">
        <f t="shared" si="16"/>
        <v>-2.1581114893745785E-3</v>
      </c>
      <c r="AD38" s="77">
        <f>R38-Dataout[[#This Row],[Atp]]</f>
        <v>-3.0931330966794235E-2</v>
      </c>
      <c r="AE38" s="77">
        <f>S38-Dataout[[#This Row],[Btp]]</f>
        <v>-7.4995978934801144E-2</v>
      </c>
      <c r="AF38" s="77">
        <f>T38-Dataout[[#This Row],[Ctp]]</f>
        <v>-0.22092332848299634</v>
      </c>
      <c r="AG38" s="77">
        <f t="shared" si="17"/>
        <v>2.2086658393258912E-3</v>
      </c>
      <c r="AH38" s="134">
        <f t="shared" si="10"/>
        <v>0.23534710782113386</v>
      </c>
      <c r="AI38" s="134"/>
      <c r="AJ38" s="78"/>
    </row>
    <row r="39" spans="1:39" x14ac:dyDescent="0.2">
      <c r="A39" s="2" t="s">
        <v>1222</v>
      </c>
      <c r="B39" s="9"/>
      <c r="C39" s="9"/>
      <c r="D39" s="9"/>
      <c r="E39" s="9"/>
      <c r="F39" s="31" t="str">
        <f t="shared" si="5"/>
        <v>P1</v>
      </c>
      <c r="G39" s="21">
        <v>37</v>
      </c>
      <c r="H39">
        <v>-48.752010726928702</v>
      </c>
      <c r="I39">
        <v>-42.670471572875897</v>
      </c>
      <c r="J39">
        <v>76.329494476318303</v>
      </c>
      <c r="K39">
        <v>-73.561685943603507</v>
      </c>
      <c r="L39">
        <v>-67.407721328735306</v>
      </c>
      <c r="M39">
        <v>30.403961277008001</v>
      </c>
      <c r="N39">
        <v>10</v>
      </c>
      <c r="O39">
        <v>2536.1636866909198</v>
      </c>
      <c r="P39">
        <v>-68.8858430443142</v>
      </c>
      <c r="Q39">
        <v>1131.2487969307999</v>
      </c>
      <c r="R39">
        <v>89.730252654401497</v>
      </c>
      <c r="S39">
        <v>-9.0848436104363195</v>
      </c>
      <c r="T39">
        <v>-67.838451018077393</v>
      </c>
      <c r="U39" s="77">
        <v>2536.1217000000001</v>
      </c>
      <c r="V39" s="77">
        <v>-68.897599999999997</v>
      </c>
      <c r="W39" s="77">
        <v>1131.4322</v>
      </c>
      <c r="X39" s="6">
        <v>89.728300000000004</v>
      </c>
      <c r="Y39" s="6">
        <v>-9.0313999999999997</v>
      </c>
      <c r="Z39" s="6">
        <v>-67.621899999999997</v>
      </c>
      <c r="AA39" s="77">
        <f t="shared" si="14"/>
        <v>1.6530193275455559E-3</v>
      </c>
      <c r="AB39" s="77">
        <f t="shared" si="15"/>
        <v>4.6287227109438053E-4</v>
      </c>
      <c r="AC39" s="77">
        <f t="shared" si="16"/>
        <v>-7.2205932755921133E-3</v>
      </c>
      <c r="AD39" s="77">
        <f>R39-Dataout[[#This Row],[Atp]]</f>
        <v>1.952654401492282E-3</v>
      </c>
      <c r="AE39" s="77">
        <f>S39-Dataout[[#This Row],[Btp]]</f>
        <v>-5.3443610436319844E-2</v>
      </c>
      <c r="AF39" s="77">
        <f>T39-Dataout[[#This Row],[Ctp]]</f>
        <v>-0.21655101807739641</v>
      </c>
      <c r="AG39" s="77">
        <f t="shared" si="17"/>
        <v>7.421838780795045E-3</v>
      </c>
      <c r="AH39" s="134">
        <f t="shared" si="10"/>
        <v>0.2230568891248097</v>
      </c>
      <c r="AI39" s="134"/>
      <c r="AJ39" s="78"/>
    </row>
    <row r="40" spans="1:39" x14ac:dyDescent="0.2">
      <c r="A40" s="2" t="s">
        <v>1222</v>
      </c>
      <c r="B40" s="9"/>
      <c r="C40" s="9"/>
      <c r="D40" s="9"/>
      <c r="E40" s="9"/>
      <c r="F40" s="31" t="str">
        <f t="shared" si="5"/>
        <v>P1</v>
      </c>
      <c r="G40" s="21">
        <v>38</v>
      </c>
      <c r="H40">
        <v>-37.469797515869097</v>
      </c>
      <c r="I40">
        <v>-14.6348734855651</v>
      </c>
      <c r="J40">
        <v>19.804896163940398</v>
      </c>
      <c r="K40">
        <v>-73.444309234619098</v>
      </c>
      <c r="L40">
        <v>-54.098376655578598</v>
      </c>
      <c r="M40">
        <v>67.130226516723596</v>
      </c>
      <c r="N40">
        <v>10</v>
      </c>
      <c r="O40">
        <v>2490.1937069659698</v>
      </c>
      <c r="P40">
        <v>-506.57682584298499</v>
      </c>
      <c r="Q40">
        <v>1229.0148163144199</v>
      </c>
      <c r="R40">
        <v>79.728265985971206</v>
      </c>
      <c r="S40">
        <v>-10.0218005499369</v>
      </c>
      <c r="T40">
        <v>-83.309118214724805</v>
      </c>
      <c r="U40" s="77">
        <v>2490.2235999999998</v>
      </c>
      <c r="V40" s="77">
        <v>-506.51029999999997</v>
      </c>
      <c r="W40" s="77">
        <v>1229.1008999999999</v>
      </c>
      <c r="X40" s="6">
        <v>79.729600000000005</v>
      </c>
      <c r="Y40" s="6">
        <v>-9.9229000000000003</v>
      </c>
      <c r="Z40" s="6">
        <v>-83.121700000000004</v>
      </c>
      <c r="AA40" s="77">
        <f t="shared" si="14"/>
        <v>-1.1768911035437131E-3</v>
      </c>
      <c r="AB40" s="77">
        <f t="shared" si="15"/>
        <v>-2.6191276765754139E-3</v>
      </c>
      <c r="AC40" s="77">
        <f t="shared" si="16"/>
        <v>-3.3891214795267292E-3</v>
      </c>
      <c r="AD40" s="77">
        <f>R40-Dataout[[#This Row],[Atp]]</f>
        <v>-1.3340140287994018E-3</v>
      </c>
      <c r="AE40" s="77">
        <f>S40-Dataout[[#This Row],[Btp]]</f>
        <v>-9.8900549936900006E-2</v>
      </c>
      <c r="AF40" s="77">
        <f>T40-Dataout[[#This Row],[Ctp]]</f>
        <v>-0.18741821472480069</v>
      </c>
      <c r="AG40" s="77">
        <f t="shared" si="17"/>
        <v>4.4419643018368694E-3</v>
      </c>
      <c r="AH40" s="134">
        <f t="shared" si="10"/>
        <v>0.21191669491071671</v>
      </c>
      <c r="AI40" s="134"/>
      <c r="AJ40" s="78"/>
    </row>
    <row r="41" spans="1:39" x14ac:dyDescent="0.2">
      <c r="A41" s="2" t="s">
        <v>1222</v>
      </c>
      <c r="B41" s="9"/>
      <c r="C41" s="9"/>
      <c r="D41" s="9"/>
      <c r="E41" s="9"/>
      <c r="F41" s="31" t="str">
        <f t="shared" si="5"/>
        <v>P1</v>
      </c>
      <c r="G41" s="21">
        <v>39</v>
      </c>
      <c r="H41">
        <v>-34.179496383666901</v>
      </c>
      <c r="I41">
        <v>-58.4173465728759</v>
      </c>
      <c r="J41">
        <v>101.6709815979</v>
      </c>
      <c r="K41">
        <v>-44.516364097595201</v>
      </c>
      <c r="L41">
        <v>-49.262067413330001</v>
      </c>
      <c r="M41">
        <v>21.731395912170399</v>
      </c>
      <c r="N41">
        <v>10</v>
      </c>
      <c r="O41">
        <v>2172.7246096605299</v>
      </c>
      <c r="P41">
        <v>-202.751543473472</v>
      </c>
      <c r="Q41">
        <v>1142.27001171078</v>
      </c>
      <c r="R41">
        <v>93.026174524113401</v>
      </c>
      <c r="S41">
        <v>6.5895701870196</v>
      </c>
      <c r="T41">
        <v>-81.647618458297899</v>
      </c>
      <c r="U41" s="77">
        <v>2172.6541999999999</v>
      </c>
      <c r="V41" s="77">
        <v>-202.79910000000001</v>
      </c>
      <c r="W41" s="77">
        <v>1142.4254000000001</v>
      </c>
      <c r="X41" s="6">
        <v>93.045500000000004</v>
      </c>
      <c r="Y41" s="6">
        <v>6.6349999999999998</v>
      </c>
      <c r="Z41" s="6">
        <v>-81.449399999999997</v>
      </c>
      <c r="AA41" s="77">
        <f t="shared" si="14"/>
        <v>2.7720338791340057E-3</v>
      </c>
      <c r="AB41" s="77">
        <f t="shared" si="15"/>
        <v>1.8723041940162384E-3</v>
      </c>
      <c r="AC41" s="77">
        <f t="shared" si="16"/>
        <v>-6.1176491818947737E-3</v>
      </c>
      <c r="AD41" s="77">
        <f>R41-Dataout[[#This Row],[Atp]]</f>
        <v>-1.9325475886603272E-2</v>
      </c>
      <c r="AE41" s="77">
        <f>S41-Dataout[[#This Row],[Btp]]</f>
        <v>-4.5429812980399831E-2</v>
      </c>
      <c r="AF41" s="77">
        <f>T41-Dataout[[#This Row],[Ctp]]</f>
        <v>-0.19821845829790163</v>
      </c>
      <c r="AG41" s="77">
        <f t="shared" si="17"/>
        <v>6.9724691705833532E-3</v>
      </c>
      <c r="AH41" s="134">
        <f t="shared" si="10"/>
        <v>0.20427407847222015</v>
      </c>
      <c r="AI41" s="134"/>
      <c r="AJ41" s="78"/>
    </row>
    <row r="42" spans="1:39" x14ac:dyDescent="0.2">
      <c r="A42" s="2" t="s">
        <v>1222</v>
      </c>
      <c r="B42" s="9"/>
      <c r="C42" s="9"/>
      <c r="D42" s="9"/>
      <c r="E42" s="9"/>
      <c r="F42" s="31" t="str">
        <f t="shared" si="5"/>
        <v>P1</v>
      </c>
      <c r="G42" s="21">
        <v>40</v>
      </c>
      <c r="H42">
        <v>-20.950797653198201</v>
      </c>
      <c r="I42">
        <v>-65.484328842162995</v>
      </c>
      <c r="J42">
        <v>113.36501045227</v>
      </c>
      <c r="K42">
        <v>-4.4407626867294301</v>
      </c>
      <c r="L42">
        <v>-38.4062757492065</v>
      </c>
      <c r="M42">
        <v>-4.6597825527191103</v>
      </c>
      <c r="N42">
        <v>10</v>
      </c>
      <c r="O42">
        <v>1913.9257242952599</v>
      </c>
      <c r="P42">
        <v>-247.127864791603</v>
      </c>
      <c r="Q42">
        <v>1101.6769043496199</v>
      </c>
      <c r="R42">
        <v>100.23424979099801</v>
      </c>
      <c r="S42">
        <v>22.527894943044402</v>
      </c>
      <c r="T42">
        <v>-86.565338556507399</v>
      </c>
      <c r="U42" s="77">
        <v>1913.9535000000001</v>
      </c>
      <c r="V42" s="77">
        <v>-247.0829</v>
      </c>
      <c r="W42" s="77">
        <v>1101.7561000000001</v>
      </c>
      <c r="X42" s="6">
        <v>100.27160000000001</v>
      </c>
      <c r="Y42" s="6">
        <v>22.549700000000001</v>
      </c>
      <c r="Z42" s="6">
        <v>-86.380700000000004</v>
      </c>
      <c r="AA42" s="77">
        <f t="shared" ref="AA42:AA48" si="19">IF(F42&lt;&gt;"bad",(O42-U42)*UnitsErr,0)</f>
        <v>-1.0935316826842208E-3</v>
      </c>
      <c r="AB42" s="77">
        <f t="shared" ref="AB42:AB48" si="20">IF(F42&lt;&gt;"bad",(P42-V42)*UnitsErr,0)</f>
        <v>-1.7702673859451719E-3</v>
      </c>
      <c r="AC42" s="77">
        <f t="shared" ref="AC42:AC48" si="21">IF(F42&lt;&gt;"bad",(Q42-W42)*UnitsErr,0)</f>
        <v>-3.1179389913442118E-3</v>
      </c>
      <c r="AD42" s="77">
        <f>R42-Dataout[[#This Row],[Atp]]</f>
        <v>-3.7350209001999701E-2</v>
      </c>
      <c r="AE42" s="77">
        <f>S42-Dataout[[#This Row],[Btp]]</f>
        <v>-2.1805056955599866E-2</v>
      </c>
      <c r="AF42" s="77">
        <f>T42-Dataout[[#This Row],[Ctp]]</f>
        <v>-0.18463855650739447</v>
      </c>
      <c r="AG42" s="77">
        <f t="shared" ref="AG42:AG48" si="22">IF(F42&lt;&gt;"bad",SQRT(SUMSQ(AA42:AC42)),0)</f>
        <v>3.7484932589668478E-3</v>
      </c>
      <c r="AH42" s="134">
        <f t="shared" si="10"/>
        <v>0.18963621798186209</v>
      </c>
      <c r="AI42" s="134"/>
      <c r="AJ42" s="78"/>
      <c r="AK42" s="6">
        <f>180/PI()</f>
        <v>57.295779513082323</v>
      </c>
    </row>
    <row r="43" spans="1:39" x14ac:dyDescent="0.2">
      <c r="A43" s="2" t="s">
        <v>1222</v>
      </c>
      <c r="B43" s="9"/>
      <c r="C43" s="9"/>
      <c r="D43" s="9"/>
      <c r="E43" s="9"/>
      <c r="F43" s="31" t="str">
        <f t="shared" si="5"/>
        <v>P1</v>
      </c>
      <c r="G43" s="21">
        <v>41</v>
      </c>
      <c r="H43">
        <v>-23.792807769775301</v>
      </c>
      <c r="I43">
        <v>-67.7479969024658</v>
      </c>
      <c r="J43">
        <v>110.532005691528</v>
      </c>
      <c r="K43">
        <v>-91.511902999877904</v>
      </c>
      <c r="L43">
        <v>-40.669970893859798</v>
      </c>
      <c r="M43">
        <v>59.737222862243598</v>
      </c>
      <c r="N43">
        <v>10</v>
      </c>
      <c r="O43">
        <v>1751.5996414252299</v>
      </c>
      <c r="P43">
        <v>-201.40861684907</v>
      </c>
      <c r="Q43">
        <v>1054.85038306315</v>
      </c>
      <c r="R43">
        <v>123.76951975867701</v>
      </c>
      <c r="S43">
        <v>-18.5352822667254</v>
      </c>
      <c r="T43">
        <v>-78.545229420523498</v>
      </c>
      <c r="U43" s="77">
        <v>1751.4897000000001</v>
      </c>
      <c r="V43" s="77">
        <v>-201.39169999999999</v>
      </c>
      <c r="W43" s="77">
        <v>1054.9028000000001</v>
      </c>
      <c r="X43" s="6">
        <v>123.7756</v>
      </c>
      <c r="Y43" s="6">
        <v>-18.473199999999999</v>
      </c>
      <c r="Z43" s="6">
        <v>-78.335700000000003</v>
      </c>
      <c r="AA43" s="77">
        <f t="shared" si="19"/>
        <v>4.3284025681048404E-3</v>
      </c>
      <c r="AB43" s="77">
        <f t="shared" si="20"/>
        <v>-6.6601767992182878E-4</v>
      </c>
      <c r="AC43" s="77">
        <f t="shared" si="21"/>
        <v>-2.0636589311032465E-3</v>
      </c>
      <c r="AD43" s="77">
        <f>R43-Dataout[[#This Row],[Atp]]</f>
        <v>-6.080241322990787E-3</v>
      </c>
      <c r="AE43" s="77">
        <f>S43-Dataout[[#This Row],[Btp]]</f>
        <v>-6.208226672540107E-2</v>
      </c>
      <c r="AF43" s="77">
        <f>T43-Dataout[[#This Row],[Ctp]]</f>
        <v>-0.20952942052349499</v>
      </c>
      <c r="AG43" s="77">
        <f t="shared" si="22"/>
        <v>4.8412122991526854E-3</v>
      </c>
      <c r="AH43" s="134">
        <f t="shared" si="10"/>
        <v>0.21861782919336942</v>
      </c>
      <c r="AI43" s="134"/>
      <c r="AJ43" s="78"/>
    </row>
    <row r="44" spans="1:39" x14ac:dyDescent="0.2">
      <c r="A44" s="2" t="s">
        <v>1222</v>
      </c>
      <c r="B44" s="9"/>
      <c r="C44" s="9"/>
      <c r="D44" s="9"/>
      <c r="E44" s="9"/>
      <c r="F44" s="31" t="str">
        <f t="shared" si="5"/>
        <v>P1</v>
      </c>
      <c r="G44" s="21">
        <v>42</v>
      </c>
      <c r="H44">
        <v>-25.4294033050537</v>
      </c>
      <c r="I44">
        <v>-21.5686597824096</v>
      </c>
      <c r="J44">
        <v>97.5349311828613</v>
      </c>
      <c r="K44">
        <v>-34.3683633804321</v>
      </c>
      <c r="L44">
        <v>-78.375881576538006</v>
      </c>
      <c r="M44">
        <v>7.8686954259872399</v>
      </c>
      <c r="N44">
        <v>10</v>
      </c>
      <c r="O44">
        <v>1928.5011282866101</v>
      </c>
      <c r="P44">
        <v>-319.21190200428703</v>
      </c>
      <c r="Q44">
        <v>443.97718931235403</v>
      </c>
      <c r="R44">
        <v>89.856082215386806</v>
      </c>
      <c r="S44">
        <v>-3.4897186702076799</v>
      </c>
      <c r="T44">
        <v>-90.347930774669805</v>
      </c>
      <c r="U44" s="77">
        <v>1928.4804999999999</v>
      </c>
      <c r="V44" s="77">
        <v>-319.24090000000001</v>
      </c>
      <c r="W44" s="77">
        <v>443.92</v>
      </c>
      <c r="X44" s="6">
        <v>89.8827</v>
      </c>
      <c r="Y44" s="6">
        <v>-3.4603000000000002</v>
      </c>
      <c r="Z44" s="6">
        <v>-90.130499999999998</v>
      </c>
      <c r="AA44" s="77">
        <f t="shared" si="19"/>
        <v>8.1213726811772105E-4</v>
      </c>
      <c r="AB44" s="77">
        <f t="shared" si="20"/>
        <v>1.1416533745269469E-3</v>
      </c>
      <c r="AC44" s="77">
        <f t="shared" si="21"/>
        <v>2.2515477304729191E-3</v>
      </c>
      <c r="AD44" s="77">
        <f>R44-Dataout[[#This Row],[Atp]]</f>
        <v>-2.6617784613193862E-2</v>
      </c>
      <c r="AE44" s="77">
        <f>S44-Dataout[[#This Row],[Btp]]</f>
        <v>-2.9418670207679742E-2</v>
      </c>
      <c r="AF44" s="77">
        <f>T44-Dataout[[#This Row],[Ctp]]</f>
        <v>-0.21743077466980765</v>
      </c>
      <c r="AG44" s="77">
        <f t="shared" si="22"/>
        <v>2.6518685021004024E-3</v>
      </c>
      <c r="AH44" s="134">
        <f t="shared" si="10"/>
        <v>0.22102060172756582</v>
      </c>
      <c r="AI44" s="134"/>
      <c r="AJ44" s="78"/>
      <c r="AK44" s="6">
        <v>25.4</v>
      </c>
    </row>
    <row r="45" spans="1:39" x14ac:dyDescent="0.2">
      <c r="A45" s="2" t="s">
        <v>1222</v>
      </c>
      <c r="B45" s="9"/>
      <c r="C45" s="9"/>
      <c r="D45" s="9"/>
      <c r="E45" s="9"/>
      <c r="F45" s="31" t="str">
        <f t="shared" si="5"/>
        <v>P1</v>
      </c>
      <c r="G45" s="21">
        <v>43</v>
      </c>
      <c r="H45">
        <v>-8.8421827793121306</v>
      </c>
      <c r="I45">
        <v>-3.6365184187889099</v>
      </c>
      <c r="J45">
        <v>75.2508220672607</v>
      </c>
      <c r="K45">
        <v>-1.72717669606208</v>
      </c>
      <c r="L45">
        <v>-91.786232376098596</v>
      </c>
      <c r="M45">
        <v>1.7257069289684199</v>
      </c>
      <c r="N45">
        <v>10</v>
      </c>
      <c r="O45">
        <v>1636.0934984902699</v>
      </c>
      <c r="P45">
        <v>-549.09557816926997</v>
      </c>
      <c r="Q45">
        <v>319.77016029565902</v>
      </c>
      <c r="R45">
        <v>69.354563923866394</v>
      </c>
      <c r="S45">
        <v>10.97568787975</v>
      </c>
      <c r="T45">
        <v>-87.310924840884098</v>
      </c>
      <c r="U45" s="77">
        <v>1636.0714</v>
      </c>
      <c r="V45" s="77">
        <v>-549.11260000000004</v>
      </c>
      <c r="W45" s="77">
        <v>319.44619999999998</v>
      </c>
      <c r="X45" s="6">
        <v>69.397800000000004</v>
      </c>
      <c r="Y45" s="6">
        <v>11.0039</v>
      </c>
      <c r="Z45" s="6">
        <v>-87.099100000000007</v>
      </c>
      <c r="AA45" s="77">
        <f t="shared" si="19"/>
        <v>8.7001930196278201E-4</v>
      </c>
      <c r="AB45" s="77">
        <f t="shared" si="20"/>
        <v>6.7015081614460264E-4</v>
      </c>
      <c r="AC45" s="77">
        <f t="shared" si="21"/>
        <v>1.275434234878145E-2</v>
      </c>
      <c r="AD45" s="77">
        <f>R45-Dataout[[#This Row],[Atp]]</f>
        <v>-4.3236076133609913E-2</v>
      </c>
      <c r="AE45" s="77">
        <f>S45-Dataout[[#This Row],[Btp]]</f>
        <v>-2.8212120250000083E-2</v>
      </c>
      <c r="AF45" s="77">
        <f>T45-Dataout[[#This Row],[Ctp]]</f>
        <v>-0.21182484088409126</v>
      </c>
      <c r="AG45" s="77">
        <f t="shared" si="22"/>
        <v>1.2801534456934724E-2</v>
      </c>
      <c r="AH45" s="134">
        <f t="shared" si="10"/>
        <v>0.218025331610807</v>
      </c>
      <c r="AI45" s="134"/>
      <c r="AJ45" s="78"/>
    </row>
    <row r="46" spans="1:39" x14ac:dyDescent="0.2">
      <c r="A46" s="2" t="s">
        <v>1222</v>
      </c>
      <c r="B46" s="9"/>
      <c r="C46" s="9"/>
      <c r="D46" s="9"/>
      <c r="E46" s="9"/>
      <c r="F46" s="31" t="str">
        <f t="shared" si="5"/>
        <v>P1</v>
      </c>
      <c r="G46" s="21">
        <v>44</v>
      </c>
      <c r="H46">
        <v>-33.842490005493097</v>
      </c>
      <c r="I46">
        <v>7.9065998315811097</v>
      </c>
      <c r="J46">
        <v>27.7681983947753</v>
      </c>
      <c r="K46">
        <v>-48.993906211853002</v>
      </c>
      <c r="L46">
        <v>-47.571678161621001</v>
      </c>
      <c r="M46">
        <v>40.792683601379302</v>
      </c>
      <c r="N46">
        <v>10</v>
      </c>
      <c r="O46">
        <v>2442.3582040753799</v>
      </c>
      <c r="P46">
        <v>-557.21774101255903</v>
      </c>
      <c r="Q46">
        <v>411.875372119308</v>
      </c>
      <c r="R46">
        <v>89.961458697071905</v>
      </c>
      <c r="S46">
        <v>4.5198590907395797</v>
      </c>
      <c r="T46">
        <v>-93.304201161753298</v>
      </c>
      <c r="U46" s="77">
        <v>2442.3779</v>
      </c>
      <c r="V46" s="77">
        <v>-557.20550000000003</v>
      </c>
      <c r="W46" s="77">
        <v>411.7534</v>
      </c>
      <c r="X46" s="6">
        <v>89.987799999999993</v>
      </c>
      <c r="Y46" s="6">
        <v>4.5815000000000001</v>
      </c>
      <c r="Z46" s="6">
        <v>-93.121600000000001</v>
      </c>
      <c r="AA46" s="77">
        <f t="shared" si="19"/>
        <v>-7.7543010314997892E-4</v>
      </c>
      <c r="AB46" s="77">
        <f t="shared" si="20"/>
        <v>-4.8192962830717438E-4</v>
      </c>
      <c r="AC46" s="77">
        <f t="shared" si="21"/>
        <v>4.8020519412597506E-3</v>
      </c>
      <c r="AD46" s="77">
        <f>R46-Dataout[[#This Row],[Atp]]</f>
        <v>-2.6341302928088339E-2</v>
      </c>
      <c r="AE46" s="77">
        <f>S46-Dataout[[#This Row],[Btp]]</f>
        <v>-6.1640909260420429E-2</v>
      </c>
      <c r="AF46" s="77">
        <f>T46-Dataout[[#This Row],[Ctp]]</f>
        <v>-0.18260116175329699</v>
      </c>
      <c r="AG46" s="77">
        <f t="shared" si="22"/>
        <v>4.8880723049140769E-3</v>
      </c>
      <c r="AH46" s="134">
        <f t="shared" si="10"/>
        <v>0.19451645228117448</v>
      </c>
      <c r="AI46" s="134"/>
      <c r="AJ46" s="78"/>
    </row>
    <row r="47" spans="1:39" x14ac:dyDescent="0.2">
      <c r="A47" s="2" t="s">
        <v>1222</v>
      </c>
      <c r="B47" s="9"/>
      <c r="C47" s="9"/>
      <c r="D47" s="9"/>
      <c r="E47" s="9"/>
      <c r="F47" s="31" t="str">
        <f t="shared" si="5"/>
        <v>P1</v>
      </c>
      <c r="G47" s="21">
        <v>45</v>
      </c>
      <c r="H47">
        <v>-38.495692443847602</v>
      </c>
      <c r="I47">
        <v>5.7280955314636204</v>
      </c>
      <c r="J47">
        <v>37.689906692504799</v>
      </c>
      <c r="K47">
        <v>-47.055936241149901</v>
      </c>
      <c r="L47">
        <v>-46.146553993225098</v>
      </c>
      <c r="M47">
        <v>29.617168045043901</v>
      </c>
      <c r="N47">
        <v>10</v>
      </c>
      <c r="O47">
        <v>2557.49773066034</v>
      </c>
      <c r="P47">
        <v>-414.80983083004202</v>
      </c>
      <c r="Q47">
        <v>308.23860218029699</v>
      </c>
      <c r="R47">
        <v>96.939625092811397</v>
      </c>
      <c r="S47">
        <v>10.8365271325978</v>
      </c>
      <c r="T47">
        <v>-88.898225909477205</v>
      </c>
      <c r="U47" s="77">
        <v>2557.5446999999999</v>
      </c>
      <c r="V47" s="77">
        <v>-414.77179999999998</v>
      </c>
      <c r="W47" s="77">
        <v>308.0532</v>
      </c>
      <c r="X47" s="6">
        <v>96.960400000000007</v>
      </c>
      <c r="Y47" s="6">
        <v>10.8902</v>
      </c>
      <c r="Z47" s="6">
        <v>-88.700400000000002</v>
      </c>
      <c r="AA47" s="77">
        <f t="shared" si="19"/>
        <v>-1.8491866007827311E-3</v>
      </c>
      <c r="AB47" s="77">
        <f t="shared" si="20"/>
        <v>-1.497276773308364E-3</v>
      </c>
      <c r="AC47" s="77">
        <f t="shared" si="21"/>
        <v>7.2992984368893555E-3</v>
      </c>
      <c r="AD47" s="77">
        <f>R47-Dataout[[#This Row],[Atp]]</f>
        <v>-2.0774907188609859E-2</v>
      </c>
      <c r="AE47" s="77">
        <f>S47-Dataout[[#This Row],[Btp]]</f>
        <v>-5.3672867402200453E-2</v>
      </c>
      <c r="AF47" s="77">
        <f>T47-Dataout[[#This Row],[Ctp]]</f>
        <v>-0.1978259094772028</v>
      </c>
      <c r="AG47" s="77">
        <f t="shared" si="22"/>
        <v>7.6773098472823461E-3</v>
      </c>
      <c r="AH47" s="134">
        <f t="shared" si="10"/>
        <v>0.206027823180152</v>
      </c>
      <c r="AI47" s="134"/>
      <c r="AJ47" s="78"/>
    </row>
    <row r="48" spans="1:39" x14ac:dyDescent="0.2">
      <c r="A48" s="2" t="s">
        <v>1222</v>
      </c>
      <c r="B48" s="9"/>
      <c r="C48" s="9"/>
      <c r="D48" s="9"/>
      <c r="E48" s="9"/>
      <c r="F48" s="31" t="str">
        <f t="shared" si="5"/>
        <v>P1</v>
      </c>
      <c r="G48" s="21">
        <v>46</v>
      </c>
      <c r="H48">
        <v>-47.4303993225097</v>
      </c>
      <c r="I48">
        <v>-7.7319349765777501</v>
      </c>
      <c r="J48">
        <v>74.595708465576095</v>
      </c>
      <c r="K48">
        <v>-49.820139884948702</v>
      </c>
      <c r="L48">
        <v>-74.5886024475097</v>
      </c>
      <c r="M48">
        <v>17.437554550170798</v>
      </c>
      <c r="N48">
        <v>10</v>
      </c>
      <c r="O48">
        <v>2530.5425875057999</v>
      </c>
      <c r="P48">
        <v>-49.351476481705902</v>
      </c>
      <c r="Q48">
        <v>307.98879249274103</v>
      </c>
      <c r="R48">
        <v>89.912342482445794</v>
      </c>
      <c r="S48">
        <v>4.6038713767561301</v>
      </c>
      <c r="T48">
        <v>-90.309948074880595</v>
      </c>
      <c r="U48" s="77">
        <v>2530.5976000000001</v>
      </c>
      <c r="V48" s="77">
        <v>-49.340299999999999</v>
      </c>
      <c r="W48" s="77">
        <v>307.85390000000001</v>
      </c>
      <c r="X48" s="6">
        <v>89.939300000000003</v>
      </c>
      <c r="Y48" s="6">
        <v>4.63</v>
      </c>
      <c r="Z48" s="6">
        <v>-90.089799999999997</v>
      </c>
      <c r="AA48" s="77">
        <f t="shared" si="19"/>
        <v>-2.1658462283514783E-3</v>
      </c>
      <c r="AB48" s="77">
        <f t="shared" si="20"/>
        <v>-4.4001896479931393E-4</v>
      </c>
      <c r="AC48" s="77">
        <f t="shared" si="21"/>
        <v>5.3107280606699472E-3</v>
      </c>
      <c r="AD48" s="77">
        <f>R48-Dataout[[#This Row],[Atp]]</f>
        <v>-2.6957517554208721E-2</v>
      </c>
      <c r="AE48" s="77">
        <f>S48-Dataout[[#This Row],[Btp]]</f>
        <v>-2.6128623243869775E-2</v>
      </c>
      <c r="AF48" s="77">
        <f>T48-Dataout[[#This Row],[Ctp]]</f>
        <v>-0.22014807488059773</v>
      </c>
      <c r="AG48" s="77">
        <f t="shared" si="22"/>
        <v>5.7522464401861782E-3</v>
      </c>
      <c r="AH48" s="134">
        <f t="shared" si="10"/>
        <v>0.22332619098291814</v>
      </c>
      <c r="AI48" s="134"/>
      <c r="AJ48" s="78"/>
    </row>
    <row r="49" spans="1:34" x14ac:dyDescent="0.2">
      <c r="A49" s="6" t="s">
        <v>1222</v>
      </c>
      <c r="F49" s="31" t="str">
        <f t="shared" si="5"/>
        <v>P1</v>
      </c>
      <c r="G49" s="21">
        <v>47</v>
      </c>
      <c r="H49">
        <v>-39.614259338378901</v>
      </c>
      <c r="I49">
        <v>-28.365763092041</v>
      </c>
      <c r="J49">
        <v>101.85699157714799</v>
      </c>
      <c r="K49">
        <v>-40.802691650390599</v>
      </c>
      <c r="L49">
        <v>-77.355322647094695</v>
      </c>
      <c r="M49">
        <v>10.701373291015599</v>
      </c>
      <c r="N49">
        <v>10</v>
      </c>
      <c r="O49">
        <v>2257.5897624599702</v>
      </c>
      <c r="P49">
        <v>-90.424470585959995</v>
      </c>
      <c r="Q49">
        <v>550.27393611584296</v>
      </c>
      <c r="R49">
        <v>89.907113660426006</v>
      </c>
      <c r="S49">
        <v>4.63584861272167</v>
      </c>
      <c r="T49">
        <v>-90.323101944703495</v>
      </c>
      <c r="U49" s="77">
        <v>2257.6601999999998</v>
      </c>
      <c r="V49" s="77">
        <v>-90.468999999999994</v>
      </c>
      <c r="W49" s="77">
        <v>550.39829999999995</v>
      </c>
      <c r="X49" s="77">
        <v>89.928399999999996</v>
      </c>
      <c r="Y49" s="77">
        <v>4.665</v>
      </c>
      <c r="Z49" s="77">
        <v>-90.106899999999996</v>
      </c>
      <c r="AA49" s="77">
        <f t="shared" ref="AA49:AA112" si="23">IF(F49&lt;&gt;"bad",(O49-U49)*UnitsErr,0)</f>
        <v>-2.7731314972289675E-3</v>
      </c>
      <c r="AB49" s="77">
        <f t="shared" ref="AB49:AB112" si="24">IF(F49&lt;&gt;"bad",(P49-V49)*UnitsErr,0)</f>
        <v>1.7531265370078518E-3</v>
      </c>
      <c r="AC49" s="77">
        <f t="shared" ref="AC49:AC112" si="25">IF(F49&lt;&gt;"bad",(Q49-W49)*UnitsErr,0)</f>
        <v>-4.8962159116925918E-3</v>
      </c>
      <c r="AD49" s="77">
        <f>R49-Dataout[[#This Row],[Atp]]</f>
        <v>-2.1286339573990176E-2</v>
      </c>
      <c r="AE49" s="77">
        <f>S49-Dataout[[#This Row],[Btp]]</f>
        <v>-2.9151387278329999E-2</v>
      </c>
      <c r="AF49" s="77">
        <f>T49-Dataout[[#This Row],[Ctp]]</f>
        <v>-0.21620194470349929</v>
      </c>
      <c r="AG49" s="77">
        <f t="shared" ref="AG49:AG112" si="26">IF(F49&lt;&gt;"bad",SQRT(SUMSQ(AA49:AC49)),0)</f>
        <v>5.8937798745453867E-3</v>
      </c>
      <c r="AH49" s="134">
        <f t="shared" ref="AH49:AH112" si="27">SQRT(SUMSQ(AD49:AF49))</f>
        <v>0.21919441718776819</v>
      </c>
    </row>
    <row r="50" spans="1:34" x14ac:dyDescent="0.2">
      <c r="A50" s="6" t="s">
        <v>1222</v>
      </c>
      <c r="F50" s="31" t="str">
        <f t="shared" si="5"/>
        <v>P1</v>
      </c>
      <c r="G50" s="21">
        <v>48</v>
      </c>
      <c r="H50">
        <v>-33.354586601257303</v>
      </c>
      <c r="I50">
        <v>-30.303946876525799</v>
      </c>
      <c r="J50">
        <v>68.567800521850501</v>
      </c>
      <c r="K50">
        <v>-78.484887695312494</v>
      </c>
      <c r="L50">
        <v>-70.057229614257807</v>
      </c>
      <c r="M50">
        <v>55.087679862976003</v>
      </c>
      <c r="N50">
        <v>10</v>
      </c>
      <c r="O50">
        <v>2171.81461855506</v>
      </c>
      <c r="P50">
        <v>-434.15111471977502</v>
      </c>
      <c r="Q50">
        <v>904.855389678042</v>
      </c>
      <c r="R50">
        <v>94.109432026867793</v>
      </c>
      <c r="S50">
        <v>-29.491970877065398</v>
      </c>
      <c r="T50">
        <v>-93.014448482255602</v>
      </c>
      <c r="U50" s="77">
        <v>2171.636</v>
      </c>
      <c r="V50" s="77">
        <v>-434.17039999999997</v>
      </c>
      <c r="W50" s="77">
        <v>905.04449999999997</v>
      </c>
      <c r="X50" s="77">
        <v>94.1357</v>
      </c>
      <c r="Y50" s="77">
        <v>-29.423100000000002</v>
      </c>
      <c r="Z50" s="77">
        <v>-92.7971</v>
      </c>
      <c r="AA50" s="77">
        <f t="shared" si="23"/>
        <v>7.0322265771647213E-3</v>
      </c>
      <c r="AB50" s="77">
        <f t="shared" si="24"/>
        <v>7.5926300098224481E-4</v>
      </c>
      <c r="AC50" s="77">
        <f t="shared" si="25"/>
        <v>-7.4452882660617737E-3</v>
      </c>
      <c r="AD50" s="77">
        <f>R50-Dataout[[#This Row],[Atp]]</f>
        <v>-2.6267973132206635E-2</v>
      </c>
      <c r="AE50" s="77">
        <f>S50-Dataout[[#This Row],[Btp]]</f>
        <v>-6.8870877065396741E-2</v>
      </c>
      <c r="AF50" s="77">
        <f>T50-Dataout[[#This Row],[Ctp]]</f>
        <v>-0.21734848225560199</v>
      </c>
      <c r="AG50" s="77">
        <f t="shared" si="26"/>
        <v>1.0269421030515768E-2</v>
      </c>
      <c r="AH50" s="134">
        <f t="shared" si="27"/>
        <v>0.22950722615866598</v>
      </c>
    </row>
    <row r="51" spans="1:34" x14ac:dyDescent="0.2">
      <c r="A51" s="6" t="s">
        <v>1222</v>
      </c>
      <c r="F51" s="31" t="str">
        <f t="shared" si="5"/>
        <v>P1</v>
      </c>
      <c r="G51" s="21">
        <v>49</v>
      </c>
      <c r="H51">
        <v>-23.450377845764098</v>
      </c>
      <c r="I51">
        <v>-20.2134494781494</v>
      </c>
      <c r="J51">
        <v>82.984375762939393</v>
      </c>
      <c r="K51">
        <v>-31.6597797393798</v>
      </c>
      <c r="L51">
        <v>-86.579560852050705</v>
      </c>
      <c r="M51">
        <v>86.826217269897398</v>
      </c>
      <c r="N51">
        <v>10</v>
      </c>
      <c r="O51">
        <v>1995.2219601183201</v>
      </c>
      <c r="P51">
        <v>-475.83838250928102</v>
      </c>
      <c r="Q51">
        <v>598.11414343488104</v>
      </c>
      <c r="R51">
        <v>70.108023069233795</v>
      </c>
      <c r="S51">
        <v>-5.3449222650971802</v>
      </c>
      <c r="T51">
        <v>-164.26008501380801</v>
      </c>
      <c r="U51" s="77">
        <v>1995.1599000000001</v>
      </c>
      <c r="V51" s="77">
        <v>-475.91849999999999</v>
      </c>
      <c r="W51" s="77">
        <v>598.10910000000001</v>
      </c>
      <c r="X51" s="77">
        <v>70.223299999999995</v>
      </c>
      <c r="Y51" s="77">
        <v>-5.3232999999999997</v>
      </c>
      <c r="Z51" s="77">
        <v>-164.06180000000001</v>
      </c>
      <c r="AA51" s="77">
        <f t="shared" si="23"/>
        <v>2.4433117448820919E-3</v>
      </c>
      <c r="AB51" s="77">
        <f t="shared" si="24"/>
        <v>3.1542319180699256E-3</v>
      </c>
      <c r="AC51" s="77">
        <f t="shared" si="25"/>
        <v>1.9856042838705971E-4</v>
      </c>
      <c r="AD51" s="77">
        <f>R51-Dataout[[#This Row],[Atp]]</f>
        <v>-0.11527693076619983</v>
      </c>
      <c r="AE51" s="77">
        <f>S51-Dataout[[#This Row],[Btp]]</f>
        <v>-2.162226509718046E-2</v>
      </c>
      <c r="AF51" s="77">
        <f>T51-Dataout[[#This Row],[Ctp]]</f>
        <v>-0.1982850138080039</v>
      </c>
      <c r="AG51" s="77">
        <f t="shared" si="26"/>
        <v>3.9947938018590028E-3</v>
      </c>
      <c r="AH51" s="134">
        <f t="shared" si="27"/>
        <v>0.23037630046436694</v>
      </c>
    </row>
    <row r="52" spans="1:34" x14ac:dyDescent="0.2">
      <c r="A52" s="6" t="s">
        <v>1222</v>
      </c>
      <c r="F52" s="31" t="str">
        <f t="shared" si="5"/>
        <v>P1</v>
      </c>
      <c r="G52" s="21">
        <v>50</v>
      </c>
      <c r="H52">
        <v>-18.4200931549072</v>
      </c>
      <c r="I52">
        <v>-69.776631164550693</v>
      </c>
      <c r="J52">
        <v>108.97499504089301</v>
      </c>
      <c r="K52">
        <v>-32.411679649352998</v>
      </c>
      <c r="L52">
        <v>-38.217619132995601</v>
      </c>
      <c r="M52">
        <v>20.492004489898601</v>
      </c>
      <c r="N52">
        <v>10</v>
      </c>
      <c r="O52">
        <v>1761.41482996441</v>
      </c>
      <c r="P52">
        <v>-304.61774775360698</v>
      </c>
      <c r="Q52">
        <v>1255.4436223981199</v>
      </c>
      <c r="R52">
        <v>95.164006386710795</v>
      </c>
      <c r="S52">
        <v>3.5488414017488901</v>
      </c>
      <c r="T52">
        <v>-86.493200414046498</v>
      </c>
      <c r="U52" s="77">
        <v>1761.4014</v>
      </c>
      <c r="V52" s="77">
        <v>-304.62299999999999</v>
      </c>
      <c r="W52" s="77">
        <v>1255.4882</v>
      </c>
      <c r="X52" s="77">
        <v>95.200900000000004</v>
      </c>
      <c r="Y52" s="77">
        <v>3.5876000000000001</v>
      </c>
      <c r="Z52" s="77">
        <v>-86.295000000000002</v>
      </c>
      <c r="AA52" s="77">
        <f t="shared" si="23"/>
        <v>5.2873875630233321E-4</v>
      </c>
      <c r="AB52" s="77">
        <f t="shared" si="24"/>
        <v>2.0678135405563535E-4</v>
      </c>
      <c r="AC52" s="77">
        <f t="shared" si="25"/>
        <v>-1.7550236960655245E-3</v>
      </c>
      <c r="AD52" s="77">
        <f>R52-Dataout[[#This Row],[Atp]]</f>
        <v>-3.6893613289208815E-2</v>
      </c>
      <c r="AE52" s="77">
        <f>S52-Dataout[[#This Row],[Btp]]</f>
        <v>-3.8758598251110055E-2</v>
      </c>
      <c r="AF52" s="77">
        <f>T52-Dataout[[#This Row],[Ctp]]</f>
        <v>-0.19820041404649658</v>
      </c>
      <c r="AG52" s="77">
        <f t="shared" si="26"/>
        <v>1.8445680726264116E-3</v>
      </c>
      <c r="AH52" s="134">
        <f t="shared" si="27"/>
        <v>0.2052967894735018</v>
      </c>
    </row>
    <row r="53" spans="1:34" x14ac:dyDescent="0.2">
      <c r="A53" s="6" t="s">
        <v>1222</v>
      </c>
      <c r="F53" s="31" t="str">
        <f t="shared" si="5"/>
        <v>P1</v>
      </c>
      <c r="G53" s="21">
        <v>51</v>
      </c>
      <c r="H53">
        <v>-27.001700973510701</v>
      </c>
      <c r="I53">
        <v>-43.454275512695297</v>
      </c>
      <c r="J53">
        <v>41.099193572997997</v>
      </c>
      <c r="K53">
        <v>-125.022084426879</v>
      </c>
      <c r="L53">
        <v>-69.098579025268506</v>
      </c>
      <c r="M53">
        <v>111.987919616699</v>
      </c>
      <c r="N53">
        <v>10</v>
      </c>
      <c r="O53">
        <v>1989.2062598836701</v>
      </c>
      <c r="P53">
        <v>-489.12448817898502</v>
      </c>
      <c r="Q53">
        <v>1481.06092116223</v>
      </c>
      <c r="R53">
        <v>126.073646508918</v>
      </c>
      <c r="S53">
        <v>-27.217820528517901</v>
      </c>
      <c r="T53">
        <v>-77.647707067001306</v>
      </c>
      <c r="U53" s="77">
        <v>1989.4138</v>
      </c>
      <c r="V53" s="77">
        <v>-489.101</v>
      </c>
      <c r="W53" s="77">
        <v>1481.0482999999999</v>
      </c>
      <c r="X53" s="77">
        <v>126.0089</v>
      </c>
      <c r="Y53" s="77">
        <v>-27.0792</v>
      </c>
      <c r="Z53" s="77">
        <v>-77.459400000000002</v>
      </c>
      <c r="AA53" s="77">
        <f t="shared" si="23"/>
        <v>-8.1708707216510829E-3</v>
      </c>
      <c r="AB53" s="77">
        <f t="shared" si="24"/>
        <v>-9.247314561031182E-4</v>
      </c>
      <c r="AC53" s="77">
        <f t="shared" si="25"/>
        <v>4.9689615078982673E-4</v>
      </c>
      <c r="AD53" s="77">
        <f>R53-Dataout[[#This Row],[Atp]]</f>
        <v>6.4746508918005929E-2</v>
      </c>
      <c r="AE53" s="77">
        <f>S53-Dataout[[#This Row],[Btp]]</f>
        <v>-0.13862052851790096</v>
      </c>
      <c r="AF53" s="77">
        <f>T53-Dataout[[#This Row],[Ctp]]</f>
        <v>-0.18830706700130406</v>
      </c>
      <c r="AG53" s="77">
        <f t="shared" si="26"/>
        <v>8.2380314639185024E-3</v>
      </c>
      <c r="AH53" s="134">
        <f t="shared" si="27"/>
        <v>0.24262587006806433</v>
      </c>
    </row>
    <row r="54" spans="1:34" x14ac:dyDescent="0.2">
      <c r="A54" s="6" t="s">
        <v>1222</v>
      </c>
      <c r="F54" s="31" t="str">
        <f t="shared" si="5"/>
        <v>P1</v>
      </c>
      <c r="G54" s="21">
        <v>52</v>
      </c>
      <c r="H54">
        <v>-17.659394836425701</v>
      </c>
      <c r="I54">
        <v>-69.709932327270494</v>
      </c>
      <c r="J54">
        <v>81.917606353759695</v>
      </c>
      <c r="K54">
        <v>-137.38211441039999</v>
      </c>
      <c r="L54">
        <v>-24.613574028015101</v>
      </c>
      <c r="M54">
        <v>117.584030914306</v>
      </c>
      <c r="N54">
        <v>10</v>
      </c>
      <c r="O54">
        <v>1775.2405120933199</v>
      </c>
      <c r="P54">
        <v>-386.93493562489198</v>
      </c>
      <c r="Q54">
        <v>1493.5122337486</v>
      </c>
      <c r="R54">
        <v>119.86932113875299</v>
      </c>
      <c r="S54">
        <v>2.68880877857015</v>
      </c>
      <c r="T54">
        <v>-79.099300367645597</v>
      </c>
      <c r="U54" s="77">
        <v>1775.3021000000001</v>
      </c>
      <c r="V54" s="77">
        <v>-386.95119999999997</v>
      </c>
      <c r="W54" s="77">
        <v>1493.6287</v>
      </c>
      <c r="X54" s="77">
        <v>119.7955</v>
      </c>
      <c r="Y54" s="77">
        <v>2.8043</v>
      </c>
      <c r="Z54" s="77">
        <v>-78.874200000000002</v>
      </c>
      <c r="AA54" s="77">
        <f t="shared" si="23"/>
        <v>-2.4247207354404763E-3</v>
      </c>
      <c r="AB54" s="77">
        <f t="shared" si="24"/>
        <v>6.4032972866118329E-4</v>
      </c>
      <c r="AC54" s="77">
        <f t="shared" si="25"/>
        <v>-4.5852854881878007E-3</v>
      </c>
      <c r="AD54" s="77">
        <f>R54-Dataout[[#This Row],[Atp]]</f>
        <v>7.3821138752990123E-2</v>
      </c>
      <c r="AE54" s="77">
        <f>S54-Dataout[[#This Row],[Btp]]</f>
        <v>-0.11549122142985002</v>
      </c>
      <c r="AF54" s="77">
        <f>T54-Dataout[[#This Row],[Ctp]]</f>
        <v>-0.22510036764559516</v>
      </c>
      <c r="AG54" s="77">
        <f t="shared" si="26"/>
        <v>5.2262927409845641E-3</v>
      </c>
      <c r="AH54" s="134">
        <f t="shared" si="27"/>
        <v>0.26354877777809743</v>
      </c>
    </row>
    <row r="55" spans="1:34" x14ac:dyDescent="0.2">
      <c r="A55" s="6" t="s">
        <v>1222</v>
      </c>
      <c r="F55" s="31" t="str">
        <f t="shared" si="5"/>
        <v>P1</v>
      </c>
      <c r="G55" s="21">
        <v>53</v>
      </c>
      <c r="H55">
        <v>-9.0968762397766092</v>
      </c>
      <c r="I55">
        <v>-93.180220413208005</v>
      </c>
      <c r="J55">
        <v>107.78196411132799</v>
      </c>
      <c r="K55">
        <v>-148.99834823608299</v>
      </c>
      <c r="L55">
        <v>-17.6556241989135</v>
      </c>
      <c r="M55">
        <v>132.13374710082999</v>
      </c>
      <c r="N55">
        <v>10</v>
      </c>
      <c r="O55">
        <v>1483.46457016668</v>
      </c>
      <c r="P55">
        <v>-121.089448104133</v>
      </c>
      <c r="Q55">
        <v>1511.6312692954</v>
      </c>
      <c r="R55">
        <v>119.908154361416</v>
      </c>
      <c r="S55">
        <v>2.7348427839330101</v>
      </c>
      <c r="T55">
        <v>-79.102609838880994</v>
      </c>
      <c r="U55" s="77">
        <v>1483.5498</v>
      </c>
      <c r="V55" s="77">
        <v>-121.1985</v>
      </c>
      <c r="W55" s="77">
        <v>1511.6033</v>
      </c>
      <c r="X55" s="77">
        <v>119.82429999999999</v>
      </c>
      <c r="Y55" s="77">
        <v>2.8502000000000001</v>
      </c>
      <c r="Z55" s="77">
        <v>-78.870500000000007</v>
      </c>
      <c r="AA55" s="77">
        <f t="shared" si="23"/>
        <v>-3.3555052488188847E-3</v>
      </c>
      <c r="AB55" s="77">
        <f t="shared" si="24"/>
        <v>4.2933817270471453E-3</v>
      </c>
      <c r="AC55" s="77">
        <f t="shared" si="25"/>
        <v>1.1011533622046603E-3</v>
      </c>
      <c r="AD55" s="77">
        <f>R55-Dataout[[#This Row],[Atp]]</f>
        <v>8.3854361416001666E-2</v>
      </c>
      <c r="AE55" s="77">
        <f>S55-Dataout[[#This Row],[Btp]]</f>
        <v>-0.11535721606699001</v>
      </c>
      <c r="AF55" s="77">
        <f>T55-Dataout[[#This Row],[Ctp]]</f>
        <v>-0.23210983888098724</v>
      </c>
      <c r="AG55" s="77">
        <f t="shared" si="26"/>
        <v>5.559233837147709E-3</v>
      </c>
      <c r="AH55" s="134">
        <f t="shared" si="27"/>
        <v>0.27242213297118406</v>
      </c>
    </row>
    <row r="56" spans="1:34" x14ac:dyDescent="0.2">
      <c r="A56" s="6" t="s">
        <v>1222</v>
      </c>
      <c r="F56" s="31" t="str">
        <f t="shared" si="5"/>
        <v>P1</v>
      </c>
      <c r="G56" s="21">
        <v>54</v>
      </c>
      <c r="H56">
        <v>-9.0899969100952092</v>
      </c>
      <c r="I56">
        <v>-93.1800727844238</v>
      </c>
      <c r="J56">
        <v>96.430014801025393</v>
      </c>
      <c r="K56">
        <v>-25.8398691177368</v>
      </c>
      <c r="L56">
        <v>17.650037765502901</v>
      </c>
      <c r="M56">
        <v>-47.859971809387197</v>
      </c>
      <c r="N56">
        <v>10</v>
      </c>
      <c r="O56">
        <v>1550.09416301489</v>
      </c>
      <c r="P56">
        <v>-119.57193964251999</v>
      </c>
      <c r="Q56">
        <v>1705.86087191095</v>
      </c>
      <c r="R56">
        <v>110.31158184574601</v>
      </c>
      <c r="S56">
        <v>20.533376115037999</v>
      </c>
      <c r="T56">
        <v>-22.483951039478399</v>
      </c>
      <c r="U56" s="77">
        <v>1549.9837</v>
      </c>
      <c r="V56" s="77">
        <v>-119.79259999999999</v>
      </c>
      <c r="W56" s="77">
        <v>1705.7295999999999</v>
      </c>
      <c r="X56" s="77">
        <v>110.3282</v>
      </c>
      <c r="Y56" s="77">
        <v>20.491900000000001</v>
      </c>
      <c r="Z56" s="77">
        <v>-22.292100000000001</v>
      </c>
      <c r="AA56" s="77">
        <f t="shared" si="23"/>
        <v>4.3489375940945442E-3</v>
      </c>
      <c r="AB56" s="77">
        <f t="shared" si="24"/>
        <v>8.6874156488188931E-3</v>
      </c>
      <c r="AC56" s="77">
        <f t="shared" si="25"/>
        <v>5.1681854704759998E-3</v>
      </c>
      <c r="AD56" s="77">
        <f>R56-Dataout[[#This Row],[Atp]]</f>
        <v>-1.6618154253990269E-2</v>
      </c>
      <c r="AE56" s="77">
        <f>S56-Dataout[[#This Row],[Btp]]</f>
        <v>4.1476115037998085E-2</v>
      </c>
      <c r="AF56" s="77">
        <f>T56-Dataout[[#This Row],[Ctp]]</f>
        <v>-0.19185103947839721</v>
      </c>
      <c r="AG56" s="77">
        <f t="shared" si="26"/>
        <v>1.100429870141262E-2</v>
      </c>
      <c r="AH56" s="134">
        <f t="shared" si="27"/>
        <v>0.19698541194310859</v>
      </c>
    </row>
    <row r="57" spans="1:34" x14ac:dyDescent="0.2">
      <c r="A57" s="6" t="s">
        <v>1222</v>
      </c>
      <c r="F57" s="31" t="str">
        <f t="shared" si="5"/>
        <v>P1</v>
      </c>
      <c r="G57" s="21">
        <v>55</v>
      </c>
      <c r="H57">
        <v>15.1425678253173</v>
      </c>
      <c r="I57">
        <v>-95.183941268920904</v>
      </c>
      <c r="J57">
        <v>101.742881774902</v>
      </c>
      <c r="K57">
        <v>-65.213397216796807</v>
      </c>
      <c r="L57">
        <v>33.770483398437499</v>
      </c>
      <c r="M57">
        <v>-2.6750571131706198</v>
      </c>
      <c r="N57">
        <v>10</v>
      </c>
      <c r="O57">
        <v>1079.2092732313899</v>
      </c>
      <c r="P57">
        <v>-108.688323584522</v>
      </c>
      <c r="Q57">
        <v>1655.92728490226</v>
      </c>
      <c r="R57">
        <v>110.454453107167</v>
      </c>
      <c r="S57">
        <v>20.331845568420899</v>
      </c>
      <c r="T57">
        <v>-22.5368524353295</v>
      </c>
      <c r="U57" s="77">
        <v>1079.0601999999999</v>
      </c>
      <c r="V57" s="77">
        <v>-108.9139</v>
      </c>
      <c r="W57" s="77">
        <v>1655.8190999999999</v>
      </c>
      <c r="X57" s="77">
        <v>110.4539</v>
      </c>
      <c r="Y57" s="77">
        <v>20.3535</v>
      </c>
      <c r="Z57" s="77">
        <v>-22.328900000000001</v>
      </c>
      <c r="AA57" s="77">
        <f t="shared" si="23"/>
        <v>5.8690248578759062E-3</v>
      </c>
      <c r="AB57" s="77">
        <f t="shared" si="24"/>
        <v>8.8809612392914353E-3</v>
      </c>
      <c r="AC57" s="77">
        <f t="shared" si="25"/>
        <v>4.2592481204749453E-3</v>
      </c>
      <c r="AD57" s="77">
        <f>R57-Dataout[[#This Row],[Atp]]</f>
        <v>5.5310716699352724E-4</v>
      </c>
      <c r="AE57" s="77">
        <f>S57-Dataout[[#This Row],[Btp]]</f>
        <v>-2.1654431579101185E-2</v>
      </c>
      <c r="AF57" s="77">
        <f>T57-Dataout[[#This Row],[Ctp]]</f>
        <v>-0.20795243532949925</v>
      </c>
      <c r="AG57" s="77">
        <f t="shared" si="26"/>
        <v>1.1465518735230933E-2</v>
      </c>
      <c r="AH57" s="134">
        <f t="shared" si="27"/>
        <v>0.20907758295432277</v>
      </c>
    </row>
    <row r="58" spans="1:34" x14ac:dyDescent="0.2">
      <c r="A58" s="6" t="s">
        <v>1223</v>
      </c>
      <c r="F58" s="31" t="str">
        <f t="shared" si="5"/>
        <v>P2</v>
      </c>
      <c r="G58" s="21">
        <v>56</v>
      </c>
      <c r="H58">
        <v>-8.6479113101959193</v>
      </c>
      <c r="I58">
        <v>-98.164496994018506</v>
      </c>
      <c r="J58">
        <v>113.38329963683999</v>
      </c>
      <c r="K58">
        <v>-40.662293052673299</v>
      </c>
      <c r="L58">
        <v>-19.436127948760902</v>
      </c>
      <c r="M58">
        <v>38.909363937377897</v>
      </c>
      <c r="N58">
        <v>10</v>
      </c>
      <c r="O58">
        <v>1454.45480793453</v>
      </c>
      <c r="P58">
        <v>-72.080678454562005</v>
      </c>
      <c r="Q58">
        <v>1659.63591952916</v>
      </c>
      <c r="R58">
        <v>90.100624547905497</v>
      </c>
      <c r="S58">
        <v>0.66448118258244204</v>
      </c>
      <c r="T58">
        <v>-90.251171424450106</v>
      </c>
      <c r="U58" s="77">
        <v>1454.5132000000001</v>
      </c>
      <c r="V58" s="77">
        <v>-72.312600000000003</v>
      </c>
      <c r="W58" s="77">
        <v>1659.3846000000001</v>
      </c>
      <c r="X58" s="77">
        <v>90.161500000000004</v>
      </c>
      <c r="Y58" s="77">
        <v>0.72060000000000002</v>
      </c>
      <c r="Z58" s="77">
        <v>-90.087999999999994</v>
      </c>
      <c r="AA58" s="77">
        <f t="shared" si="23"/>
        <v>-2.2989002153588974E-3</v>
      </c>
      <c r="AB58" s="77">
        <f t="shared" si="24"/>
        <v>9.1307695054330153E-3</v>
      </c>
      <c r="AC58" s="77">
        <f t="shared" si="25"/>
        <v>9.8944696519645825E-3</v>
      </c>
      <c r="AD58" s="77">
        <f>R58-Dataout[[#This Row],[Atp]]</f>
        <v>-6.0875452094506954E-2</v>
      </c>
      <c r="AE58" s="77">
        <f>S58-Dataout[[#This Row],[Btp]]</f>
        <v>-5.6118817417557976E-2</v>
      </c>
      <c r="AF58" s="77">
        <f>T58-Dataout[[#This Row],[Ctp]]</f>
        <v>-0.16317142445011257</v>
      </c>
      <c r="AG58" s="77">
        <f t="shared" si="26"/>
        <v>1.3658565944313875E-2</v>
      </c>
      <c r="AH58" s="134">
        <f t="shared" si="27"/>
        <v>0.18297556146418736</v>
      </c>
    </row>
    <row r="59" spans="1:34" x14ac:dyDescent="0.2">
      <c r="A59" s="6" t="s">
        <v>1223</v>
      </c>
      <c r="F59" s="31" t="str">
        <f t="shared" si="5"/>
        <v>P2</v>
      </c>
      <c r="G59" s="21">
        <v>57</v>
      </c>
      <c r="H59">
        <v>-12.0632404327392</v>
      </c>
      <c r="I59">
        <v>-65.459646606445304</v>
      </c>
      <c r="J59">
        <v>75.960100173950195</v>
      </c>
      <c r="K59">
        <v>-57.6685327529907</v>
      </c>
      <c r="L59">
        <v>-18.8738039016723</v>
      </c>
      <c r="M59">
        <v>56.123278427123999</v>
      </c>
      <c r="N59">
        <v>10</v>
      </c>
      <c r="O59">
        <v>1653.4837207704199</v>
      </c>
      <c r="P59">
        <v>-513.07323413027098</v>
      </c>
      <c r="Q59">
        <v>1657.89940215196</v>
      </c>
      <c r="R59">
        <v>90.103063193057906</v>
      </c>
      <c r="S59">
        <v>0.67553425357720198</v>
      </c>
      <c r="T59">
        <v>-90.256390212342893</v>
      </c>
      <c r="U59" s="77">
        <v>1653.5045</v>
      </c>
      <c r="V59" s="77">
        <v>-512.99109999999996</v>
      </c>
      <c r="W59" s="77">
        <v>1657.9820999999999</v>
      </c>
      <c r="X59" s="77">
        <v>90.134299999999996</v>
      </c>
      <c r="Y59" s="77">
        <v>0.74280000000000002</v>
      </c>
      <c r="Z59" s="77">
        <v>-90.077600000000004</v>
      </c>
      <c r="AA59" s="77">
        <f t="shared" si="23"/>
        <v>-8.1807990472666499E-4</v>
      </c>
      <c r="AB59" s="77">
        <f t="shared" si="24"/>
        <v>-3.2336271760242219E-3</v>
      </c>
      <c r="AC59" s="77">
        <f t="shared" si="25"/>
        <v>-3.2558207889752072E-3</v>
      </c>
      <c r="AD59" s="77">
        <f>R59-Dataout[[#This Row],[Atp]]</f>
        <v>-3.1236806942089856E-2</v>
      </c>
      <c r="AE59" s="77">
        <f>S59-Dataout[[#This Row],[Btp]]</f>
        <v>-6.7265746422798034E-2</v>
      </c>
      <c r="AF59" s="77">
        <f>T59-Dataout[[#This Row],[Ctp]]</f>
        <v>-0.17879021234288928</v>
      </c>
      <c r="AG59" s="77">
        <f t="shared" si="26"/>
        <v>4.6611123622975576E-3</v>
      </c>
      <c r="AH59" s="134">
        <f t="shared" si="27"/>
        <v>0.19356228656266952</v>
      </c>
    </row>
    <row r="60" spans="1:34" x14ac:dyDescent="0.2">
      <c r="A60" s="6" t="s">
        <v>1223</v>
      </c>
      <c r="F60" s="31" t="str">
        <f t="shared" si="5"/>
        <v>P2</v>
      </c>
      <c r="G60" s="21">
        <v>58</v>
      </c>
      <c r="H60">
        <v>-14.3617109298706</v>
      </c>
      <c r="I60">
        <v>-78.625794601440404</v>
      </c>
      <c r="J60">
        <v>89.062536621093699</v>
      </c>
      <c r="K60">
        <v>-93.5427864074707</v>
      </c>
      <c r="L60">
        <v>-17.779659843444801</v>
      </c>
      <c r="M60">
        <v>90.0233654022216</v>
      </c>
      <c r="N60">
        <v>10</v>
      </c>
      <c r="O60">
        <v>1651.3280676209999</v>
      </c>
      <c r="P60">
        <v>-320.92695389526102</v>
      </c>
      <c r="Q60">
        <v>1658.2788924808999</v>
      </c>
      <c r="R60">
        <v>101.123333903382</v>
      </c>
      <c r="S60">
        <v>0.63393507407708904</v>
      </c>
      <c r="T60">
        <v>-90.387387395246705</v>
      </c>
      <c r="U60" s="77">
        <v>1651.3534</v>
      </c>
      <c r="V60" s="77">
        <v>-320.97719999999998</v>
      </c>
      <c r="W60" s="77">
        <v>1658.1047000000001</v>
      </c>
      <c r="X60" s="77">
        <v>101.1435</v>
      </c>
      <c r="Y60" s="77">
        <v>0.7298</v>
      </c>
      <c r="Z60" s="77">
        <v>-90.189099999999996</v>
      </c>
      <c r="AA60" s="77">
        <f t="shared" si="23"/>
        <v>-9.9733775590627946E-4</v>
      </c>
      <c r="AB60" s="77">
        <f t="shared" si="24"/>
        <v>1.9781930999590623E-3</v>
      </c>
      <c r="AC60" s="77">
        <f t="shared" si="25"/>
        <v>6.8579716889692601E-3</v>
      </c>
      <c r="AD60" s="77">
        <f>R60-Dataout[[#This Row],[Atp]]</f>
        <v>-2.0166096617998619E-2</v>
      </c>
      <c r="AE60" s="77">
        <f>S60-Dataout[[#This Row],[Btp]]</f>
        <v>-9.586492592291096E-2</v>
      </c>
      <c r="AF60" s="77">
        <f>T60-Dataout[[#This Row],[Ctp]]</f>
        <v>-0.1982873952467088</v>
      </c>
      <c r="AG60" s="77">
        <f t="shared" si="26"/>
        <v>7.2069207173928104E-3</v>
      </c>
      <c r="AH60" s="134">
        <f t="shared" si="27"/>
        <v>0.22116655847739769</v>
      </c>
    </row>
    <row r="61" spans="1:34" x14ac:dyDescent="0.2">
      <c r="A61" s="6" t="s">
        <v>1223</v>
      </c>
      <c r="F61" s="31" t="str">
        <f t="shared" si="5"/>
        <v>P2</v>
      </c>
      <c r="G61" s="21">
        <v>59</v>
      </c>
      <c r="H61">
        <v>-23.098316669464101</v>
      </c>
      <c r="I61">
        <v>-85.817971801757807</v>
      </c>
      <c r="J61">
        <v>101.428666305542</v>
      </c>
      <c r="K61">
        <v>-64.2217693328857</v>
      </c>
      <c r="L61">
        <v>-30.133881092071501</v>
      </c>
      <c r="M61">
        <v>60.1209098815918</v>
      </c>
      <c r="N61">
        <v>10</v>
      </c>
      <c r="O61">
        <v>1789.0571678967401</v>
      </c>
      <c r="P61">
        <v>-140.424512278615</v>
      </c>
      <c r="Q61">
        <v>1652.9455189979201</v>
      </c>
      <c r="R61">
        <v>91.250969708472496</v>
      </c>
      <c r="S61">
        <v>0.68054822984510899</v>
      </c>
      <c r="T61">
        <v>-90.310212590103603</v>
      </c>
      <c r="U61" s="77">
        <v>1789.0603000000001</v>
      </c>
      <c r="V61" s="77">
        <v>-140.57089999999999</v>
      </c>
      <c r="W61" s="77">
        <v>1652.7619</v>
      </c>
      <c r="X61" s="77">
        <v>91.296400000000006</v>
      </c>
      <c r="Y61" s="77">
        <v>0.74409999999999998</v>
      </c>
      <c r="Z61" s="77">
        <v>-90.1</v>
      </c>
      <c r="AA61" s="77">
        <f t="shared" si="23"/>
        <v>-1.2331115196796268E-4</v>
      </c>
      <c r="AB61" s="77">
        <f t="shared" si="24"/>
        <v>5.7632961175195629E-3</v>
      </c>
      <c r="AC61" s="77">
        <f t="shared" si="25"/>
        <v>7.2290944063039689E-3</v>
      </c>
      <c r="AD61" s="77">
        <f>R61-Dataout[[#This Row],[Atp]]</f>
        <v>-4.5430291527509326E-2</v>
      </c>
      <c r="AE61" s="77">
        <f>S61-Dataout[[#This Row],[Btp]]</f>
        <v>-6.3551770154890996E-2</v>
      </c>
      <c r="AF61" s="77">
        <f>T61-Dataout[[#This Row],[Ctp]]</f>
        <v>-0.21021259010360893</v>
      </c>
      <c r="AG61" s="77">
        <f t="shared" si="26"/>
        <v>9.246112356751407E-3</v>
      </c>
      <c r="AH61" s="134">
        <f t="shared" si="27"/>
        <v>0.22425893943422298</v>
      </c>
    </row>
    <row r="62" spans="1:34" x14ac:dyDescent="0.2">
      <c r="A62" s="6" t="s">
        <v>1223</v>
      </c>
      <c r="F62" s="31" t="str">
        <f t="shared" si="5"/>
        <v>P2</v>
      </c>
      <c r="G62" s="21">
        <v>60</v>
      </c>
      <c r="H62">
        <v>-33.059516525268499</v>
      </c>
      <c r="I62">
        <v>-74.063958358764594</v>
      </c>
      <c r="J62">
        <v>86.016991043090798</v>
      </c>
      <c r="K62">
        <v>-84.576622009277301</v>
      </c>
      <c r="L62">
        <v>-41.303045082092197</v>
      </c>
      <c r="M62">
        <v>78.060836029052695</v>
      </c>
      <c r="N62">
        <v>10</v>
      </c>
      <c r="O62">
        <v>2052.4377987298899</v>
      </c>
      <c r="P62">
        <v>-163.132619315337</v>
      </c>
      <c r="Q62">
        <v>1651.10644915428</v>
      </c>
      <c r="R62">
        <v>95.498910562037494</v>
      </c>
      <c r="S62">
        <v>-3.8164202919089201</v>
      </c>
      <c r="T62">
        <v>-89.987109396397102</v>
      </c>
      <c r="U62" s="77">
        <v>2052.4216999999999</v>
      </c>
      <c r="V62" s="77">
        <v>-163.1979</v>
      </c>
      <c r="W62" s="77">
        <v>1651.0039999999999</v>
      </c>
      <c r="X62" s="77">
        <v>95.519000000000005</v>
      </c>
      <c r="Y62" s="77">
        <v>-3.7366999999999999</v>
      </c>
      <c r="Z62" s="77">
        <v>-89.803200000000004</v>
      </c>
      <c r="AA62" s="77">
        <f t="shared" si="23"/>
        <v>6.3380826338654123E-4</v>
      </c>
      <c r="AB62" s="77">
        <f t="shared" si="24"/>
        <v>2.5701056953940358E-3</v>
      </c>
      <c r="AC62" s="77">
        <f t="shared" si="25"/>
        <v>4.0334312708687429E-3</v>
      </c>
      <c r="AD62" s="77">
        <f>R62-Dataout[[#This Row],[Atp]]</f>
        <v>-2.008943796251117E-2</v>
      </c>
      <c r="AE62" s="77">
        <f>S62-Dataout[[#This Row],[Btp]]</f>
        <v>-7.972029190892016E-2</v>
      </c>
      <c r="AF62" s="77">
        <f>T62-Dataout[[#This Row],[Ctp]]</f>
        <v>-0.18390939639709813</v>
      </c>
      <c r="AG62" s="77">
        <f t="shared" si="26"/>
        <v>4.8244920993878483E-3</v>
      </c>
      <c r="AH62" s="134">
        <f t="shared" si="27"/>
        <v>0.20144869456722225</v>
      </c>
    </row>
    <row r="63" spans="1:34" x14ac:dyDescent="0.2">
      <c r="A63" s="6" t="s">
        <v>1223</v>
      </c>
      <c r="F63" s="31" t="str">
        <f t="shared" si="5"/>
        <v>P2</v>
      </c>
      <c r="G63" s="21">
        <v>61</v>
      </c>
      <c r="H63">
        <v>-41.384834671020499</v>
      </c>
      <c r="I63">
        <v>-51.423912429809498</v>
      </c>
      <c r="J63">
        <v>57.984962081909103</v>
      </c>
      <c r="K63">
        <v>-80.479312133788994</v>
      </c>
      <c r="L63">
        <v>-52.860072898864701</v>
      </c>
      <c r="M63">
        <v>78.056173324584904</v>
      </c>
      <c r="N63">
        <v>10</v>
      </c>
      <c r="O63">
        <v>2405.3761049964201</v>
      </c>
      <c r="P63">
        <v>-223.607839986496</v>
      </c>
      <c r="Q63">
        <v>1624.8358151673399</v>
      </c>
      <c r="R63">
        <v>86.507824541691093</v>
      </c>
      <c r="S63">
        <v>-6.1525653347989797</v>
      </c>
      <c r="T63">
        <v>-89.726314297427507</v>
      </c>
      <c r="U63" s="77">
        <v>2405.3806</v>
      </c>
      <c r="V63" s="77">
        <v>-223.63130000000001</v>
      </c>
      <c r="W63" s="77">
        <v>1624.8388</v>
      </c>
      <c r="X63" s="77">
        <v>86.518600000000006</v>
      </c>
      <c r="Y63" s="77">
        <v>-6.0640999999999998</v>
      </c>
      <c r="Z63" s="77">
        <v>-89.543300000000002</v>
      </c>
      <c r="AA63" s="77">
        <f t="shared" si="23"/>
        <v>-1.7696864487813909E-4</v>
      </c>
      <c r="AB63" s="77">
        <f t="shared" si="24"/>
        <v>9.2362257889790696E-4</v>
      </c>
      <c r="AC63" s="77">
        <f t="shared" si="25"/>
        <v>-1.1751309685449115E-4</v>
      </c>
      <c r="AD63" s="77">
        <f>R63-Dataout[[#This Row],[Atp]]</f>
        <v>-1.0775458308913244E-2</v>
      </c>
      <c r="AE63" s="77">
        <f>S63-Dataout[[#This Row],[Btp]]</f>
        <v>-8.8465334798979889E-2</v>
      </c>
      <c r="AF63" s="77">
        <f>T63-Dataout[[#This Row],[Ctp]]</f>
        <v>-0.18301429742750486</v>
      </c>
      <c r="AG63" s="77">
        <f t="shared" si="26"/>
        <v>9.4773725127397952E-4</v>
      </c>
      <c r="AH63" s="134">
        <f t="shared" si="27"/>
        <v>0.20355947294524504</v>
      </c>
    </row>
    <row r="64" spans="1:34" x14ac:dyDescent="0.2">
      <c r="A64" s="6" t="s">
        <v>1223</v>
      </c>
      <c r="F64" s="31" t="str">
        <f t="shared" si="5"/>
        <v>P2</v>
      </c>
      <c r="G64" s="21">
        <v>62</v>
      </c>
      <c r="H64">
        <v>-43.285554504394497</v>
      </c>
      <c r="I64">
        <v>-58.816719055175703</v>
      </c>
      <c r="J64">
        <v>85.190037155151302</v>
      </c>
      <c r="K64">
        <v>-61.218709945678697</v>
      </c>
      <c r="L64">
        <v>-51.5196319580078</v>
      </c>
      <c r="M64">
        <v>51.597705841064403</v>
      </c>
      <c r="N64">
        <v>10</v>
      </c>
      <c r="O64">
        <v>2410.9474560334302</v>
      </c>
      <c r="P64">
        <v>-100.809068496417</v>
      </c>
      <c r="Q64">
        <v>1403.6162685491699</v>
      </c>
      <c r="R64">
        <v>86.462823137772901</v>
      </c>
      <c r="S64">
        <v>4.3331864527294703</v>
      </c>
      <c r="T64">
        <v>-89.770282801608303</v>
      </c>
      <c r="U64" s="77">
        <v>2410.9684999999999</v>
      </c>
      <c r="V64" s="77">
        <v>-100.81789999999999</v>
      </c>
      <c r="W64" s="77">
        <v>1403.7049</v>
      </c>
      <c r="X64" s="77">
        <v>86.482500000000002</v>
      </c>
      <c r="Y64" s="77">
        <v>4.4031000000000002</v>
      </c>
      <c r="Z64" s="77">
        <v>-89.556899999999999</v>
      </c>
      <c r="AA64" s="77">
        <f t="shared" si="23"/>
        <v>-8.2850262085738954E-4</v>
      </c>
      <c r="AB64" s="77">
        <f t="shared" si="24"/>
        <v>3.4769699145655302E-4</v>
      </c>
      <c r="AC64" s="77">
        <f t="shared" si="25"/>
        <v>-3.4894271980317896E-3</v>
      </c>
      <c r="AD64" s="77">
        <f>R64-Dataout[[#This Row],[Atp]]</f>
        <v>-1.9676862227100855E-2</v>
      </c>
      <c r="AE64" s="77">
        <f>S64-Dataout[[#This Row],[Btp]]</f>
        <v>-6.9913547270529897E-2</v>
      </c>
      <c r="AF64" s="77">
        <f>T64-Dataout[[#This Row],[Ctp]]</f>
        <v>-0.21338280160830436</v>
      </c>
      <c r="AG64" s="77">
        <f t="shared" si="26"/>
        <v>3.6032501940608409E-3</v>
      </c>
      <c r="AH64" s="134">
        <f t="shared" si="27"/>
        <v>0.22540475376810912</v>
      </c>
    </row>
    <row r="65" spans="1:34" x14ac:dyDescent="0.2">
      <c r="A65" s="6" t="s">
        <v>1223</v>
      </c>
      <c r="F65" s="31" t="str">
        <f t="shared" si="5"/>
        <v>P2</v>
      </c>
      <c r="G65" s="21">
        <v>63</v>
      </c>
      <c r="H65">
        <v>-36.4094032287597</v>
      </c>
      <c r="I65">
        <v>-38.473188018798801</v>
      </c>
      <c r="J65">
        <v>59.657824325561499</v>
      </c>
      <c r="K65">
        <v>-59.7018167495727</v>
      </c>
      <c r="L65">
        <v>-43.498631858825597</v>
      </c>
      <c r="M65">
        <v>53.467473602294902</v>
      </c>
      <c r="N65">
        <v>10</v>
      </c>
      <c r="O65">
        <v>2435.0607093285898</v>
      </c>
      <c r="P65">
        <v>-417.67595945030001</v>
      </c>
      <c r="Q65">
        <v>1277.21523886508</v>
      </c>
      <c r="R65">
        <v>86.453342307948006</v>
      </c>
      <c r="S65">
        <v>4.33579320298072</v>
      </c>
      <c r="T65">
        <v>-89.730484791101503</v>
      </c>
      <c r="U65" s="77">
        <v>2434.9557</v>
      </c>
      <c r="V65" s="77">
        <v>-417.63080000000002</v>
      </c>
      <c r="W65" s="77">
        <v>1277.4882</v>
      </c>
      <c r="X65" s="77">
        <v>86.470399999999998</v>
      </c>
      <c r="Y65" s="77">
        <v>4.4061000000000003</v>
      </c>
      <c r="Z65" s="77">
        <v>-89.548699999999997</v>
      </c>
      <c r="AA65" s="77">
        <f t="shared" si="23"/>
        <v>4.1342255350337925E-3</v>
      </c>
      <c r="AB65" s="77">
        <f t="shared" si="24"/>
        <v>-1.7779311141728749E-3</v>
      </c>
      <c r="AC65" s="77">
        <f t="shared" si="25"/>
        <v>-1.0746501374804096E-2</v>
      </c>
      <c r="AD65" s="77">
        <f>R65-Dataout[[#This Row],[Atp]]</f>
        <v>-1.7057692051992035E-2</v>
      </c>
      <c r="AE65" s="77">
        <f>S65-Dataout[[#This Row],[Btp]]</f>
        <v>-7.0306797019280332E-2</v>
      </c>
      <c r="AF65" s="77">
        <f>T65-Dataout[[#This Row],[Ctp]]</f>
        <v>-0.18178479110150647</v>
      </c>
      <c r="AG65" s="77">
        <f t="shared" si="26"/>
        <v>1.165075755562426E-2</v>
      </c>
      <c r="AH65" s="134">
        <f t="shared" si="27"/>
        <v>0.19565204021698629</v>
      </c>
    </row>
    <row r="66" spans="1:34" x14ac:dyDescent="0.2">
      <c r="A66" s="6" t="s">
        <v>1223</v>
      </c>
      <c r="F66" s="31" t="str">
        <f t="shared" si="5"/>
        <v>P2</v>
      </c>
      <c r="G66" s="21">
        <v>64</v>
      </c>
      <c r="H66">
        <v>-35.7956630706787</v>
      </c>
      <c r="I66">
        <v>-26.1346214294433</v>
      </c>
      <c r="J66">
        <v>49.188987159729002</v>
      </c>
      <c r="K66">
        <v>-64.994173812866194</v>
      </c>
      <c r="L66">
        <v>-51.530856323242098</v>
      </c>
      <c r="M66">
        <v>55.763430404662998</v>
      </c>
      <c r="N66">
        <v>10</v>
      </c>
      <c r="O66">
        <v>2427.7567537629402</v>
      </c>
      <c r="P66">
        <v>-499.69823779406698</v>
      </c>
      <c r="Q66">
        <v>1095.5331918991201</v>
      </c>
      <c r="R66">
        <v>86.484815371071207</v>
      </c>
      <c r="S66">
        <v>-5.0241184391239102</v>
      </c>
      <c r="T66">
        <v>-89.729996992348802</v>
      </c>
      <c r="U66" s="77">
        <v>2427.6350000000002</v>
      </c>
      <c r="V66" s="77">
        <v>-499.7097</v>
      </c>
      <c r="W66" s="77">
        <v>1095.7088000000001</v>
      </c>
      <c r="X66" s="77">
        <v>86.509299999999996</v>
      </c>
      <c r="Y66" s="77">
        <v>-4.9584999999999999</v>
      </c>
      <c r="Z66" s="77">
        <v>-89.54</v>
      </c>
      <c r="AA66" s="77">
        <f t="shared" si="23"/>
        <v>4.7934552338578153E-3</v>
      </c>
      <c r="AB66" s="77">
        <f t="shared" si="24"/>
        <v>4.512679501186812E-4</v>
      </c>
      <c r="AC66" s="77">
        <f t="shared" si="25"/>
        <v>-6.9137047590561631E-3</v>
      </c>
      <c r="AD66" s="77">
        <f>R66-Dataout[[#This Row],[Atp]]</f>
        <v>-2.448462892878922E-2</v>
      </c>
      <c r="AE66" s="77">
        <f>S66-Dataout[[#This Row],[Btp]]</f>
        <v>-6.5618439123910299E-2</v>
      </c>
      <c r="AF66" s="77">
        <f>T66-Dataout[[#This Row],[Ctp]]</f>
        <v>-0.18999699234879586</v>
      </c>
      <c r="AG66" s="77">
        <f t="shared" si="26"/>
        <v>8.4249729576538722E-3</v>
      </c>
      <c r="AH66" s="134">
        <f t="shared" si="27"/>
        <v>0.20249477452128786</v>
      </c>
    </row>
    <row r="67" spans="1:34" x14ac:dyDescent="0.2">
      <c r="A67" s="6" t="s">
        <v>1223</v>
      </c>
      <c r="F67" s="31" t="str">
        <f t="shared" ref="F67:F115" si="28">A67</f>
        <v>P2</v>
      </c>
      <c r="G67" s="21">
        <v>65</v>
      </c>
      <c r="H67">
        <v>-41.0608917236328</v>
      </c>
      <c r="I67">
        <v>-44.010906028747499</v>
      </c>
      <c r="J67">
        <v>88.287626266479407</v>
      </c>
      <c r="K67">
        <v>-45.222707748413001</v>
      </c>
      <c r="L67">
        <v>-67.5058902740478</v>
      </c>
      <c r="M67">
        <v>30.927752590179399</v>
      </c>
      <c r="N67">
        <v>10</v>
      </c>
      <c r="O67">
        <v>2406.84706865725</v>
      </c>
      <c r="P67">
        <v>-175.93486992065701</v>
      </c>
      <c r="Q67">
        <v>1075.2858092219899</v>
      </c>
      <c r="R67">
        <v>78.439123147139497</v>
      </c>
      <c r="S67">
        <v>3.5561033661625499</v>
      </c>
      <c r="T67">
        <v>-89.255652894535601</v>
      </c>
      <c r="U67" s="77">
        <v>2406.8094000000001</v>
      </c>
      <c r="V67" s="77">
        <v>-175.9605</v>
      </c>
      <c r="W67" s="77">
        <v>1075.4522999999999</v>
      </c>
      <c r="X67" s="77">
        <v>78.465599999999995</v>
      </c>
      <c r="Y67" s="77">
        <v>3.6017000000000001</v>
      </c>
      <c r="Z67" s="77">
        <v>-89.048500000000004</v>
      </c>
      <c r="AA67" s="77">
        <f t="shared" si="23"/>
        <v>1.4830180019655061E-3</v>
      </c>
      <c r="AB67" s="77">
        <f t="shared" si="24"/>
        <v>1.0090582418499474E-3</v>
      </c>
      <c r="AC67" s="77">
        <f t="shared" si="25"/>
        <v>-6.5547550397649333E-3</v>
      </c>
      <c r="AD67" s="77">
        <f>R67-Dataout[[#This Row],[Atp]]</f>
        <v>-2.6476852860497502E-2</v>
      </c>
      <c r="AE67" s="77">
        <f>S67-Dataout[[#This Row],[Btp]]</f>
        <v>-4.5596633837450273E-2</v>
      </c>
      <c r="AF67" s="77">
        <f>T67-Dataout[[#This Row],[Ctp]]</f>
        <v>-0.20715289453559649</v>
      </c>
      <c r="AG67" s="77">
        <f t="shared" si="26"/>
        <v>6.795760042918147E-3</v>
      </c>
      <c r="AH67" s="134">
        <f t="shared" si="27"/>
        <v>0.2137578032942398</v>
      </c>
    </row>
    <row r="68" spans="1:34" x14ac:dyDescent="0.2">
      <c r="A68" s="6" t="s">
        <v>1223</v>
      </c>
      <c r="F68" s="31" t="str">
        <f t="shared" si="28"/>
        <v>P2</v>
      </c>
      <c r="G68" s="21">
        <v>66</v>
      </c>
      <c r="H68">
        <v>-41.312989997863703</v>
      </c>
      <c r="I68">
        <v>-38.1096559524536</v>
      </c>
      <c r="J68">
        <v>89.660673522949196</v>
      </c>
      <c r="K68">
        <v>-48.663880920410101</v>
      </c>
      <c r="L68">
        <v>-63.5601961135864</v>
      </c>
      <c r="M68">
        <v>27.4942288398742</v>
      </c>
      <c r="N68">
        <v>10</v>
      </c>
      <c r="O68">
        <v>2407.14393476756</v>
      </c>
      <c r="P68">
        <v>-179.25755938700999</v>
      </c>
      <c r="Q68">
        <v>869.61951836109597</v>
      </c>
      <c r="R68">
        <v>88.827462088024504</v>
      </c>
      <c r="S68">
        <v>3.6259418967328498</v>
      </c>
      <c r="T68">
        <v>-89.921716215744993</v>
      </c>
      <c r="U68" s="77">
        <v>2407.1297</v>
      </c>
      <c r="V68" s="77">
        <v>-179.30080000000001</v>
      </c>
      <c r="W68" s="77">
        <v>869.81730000000005</v>
      </c>
      <c r="X68" s="77">
        <v>88.8553</v>
      </c>
      <c r="Y68" s="77">
        <v>3.6707000000000001</v>
      </c>
      <c r="Z68" s="77">
        <v>-89.701499999999996</v>
      </c>
      <c r="AA68" s="77">
        <f t="shared" si="23"/>
        <v>5.6042391968831216E-4</v>
      </c>
      <c r="AB68" s="77">
        <f t="shared" si="24"/>
        <v>1.7023863381897121E-3</v>
      </c>
      <c r="AC68" s="77">
        <f t="shared" si="25"/>
        <v>-7.7866786970108423E-3</v>
      </c>
      <c r="AD68" s="77">
        <f>R68-Dataout[[#This Row],[Atp]]</f>
        <v>-2.7837911975495899E-2</v>
      </c>
      <c r="AE68" s="77">
        <f>S68-Dataout[[#This Row],[Btp]]</f>
        <v>-4.475810326715024E-2</v>
      </c>
      <c r="AF68" s="77">
        <f>T68-Dataout[[#This Row],[Ctp]]</f>
        <v>-0.22021621574499761</v>
      </c>
      <c r="AG68" s="77">
        <f t="shared" si="26"/>
        <v>7.9902790529928457E-3</v>
      </c>
      <c r="AH68" s="134">
        <f t="shared" si="27"/>
        <v>0.22643634608488911</v>
      </c>
    </row>
    <row r="69" spans="1:34" x14ac:dyDescent="0.2">
      <c r="A69" s="6" t="s">
        <v>1223</v>
      </c>
      <c r="F69" s="31" t="str">
        <f t="shared" si="28"/>
        <v>P2</v>
      </c>
      <c r="G69" s="21">
        <v>67</v>
      </c>
      <c r="H69">
        <v>-37.922453308105403</v>
      </c>
      <c r="I69">
        <v>-19.3276932716369</v>
      </c>
      <c r="J69">
        <v>69.975384521484301</v>
      </c>
      <c r="K69">
        <v>-51.292938041687002</v>
      </c>
      <c r="L69">
        <v>-64.099859237670898</v>
      </c>
      <c r="M69">
        <v>29.182756042480399</v>
      </c>
      <c r="N69">
        <v>10</v>
      </c>
      <c r="O69">
        <v>2401.3837976273599</v>
      </c>
      <c r="P69">
        <v>-351.48106867126899</v>
      </c>
      <c r="Q69">
        <v>635.39616319647303</v>
      </c>
      <c r="R69">
        <v>88.834059480460397</v>
      </c>
      <c r="S69">
        <v>-2.1140733115734802</v>
      </c>
      <c r="T69">
        <v>-89.885745841792001</v>
      </c>
      <c r="U69" s="77">
        <v>2401.4436999999998</v>
      </c>
      <c r="V69" s="77">
        <v>-351.50409999999999</v>
      </c>
      <c r="W69" s="77">
        <v>635.60239999999999</v>
      </c>
      <c r="X69" s="77">
        <v>88.861800000000002</v>
      </c>
      <c r="Y69" s="77">
        <v>-2.0651999999999999</v>
      </c>
      <c r="Z69" s="77">
        <v>-89.695899999999995</v>
      </c>
      <c r="AA69" s="77">
        <f t="shared" si="23"/>
        <v>-2.3583611275572315E-3</v>
      </c>
      <c r="AB69" s="77">
        <f t="shared" si="24"/>
        <v>9.0674522563024466E-4</v>
      </c>
      <c r="AC69" s="77">
        <f t="shared" si="25"/>
        <v>-8.1195591939749144E-3</v>
      </c>
      <c r="AD69" s="77">
        <f>R69-Dataout[[#This Row],[Atp]]</f>
        <v>-2.7740519539605657E-2</v>
      </c>
      <c r="AE69" s="77">
        <f>S69-Dataout[[#This Row],[Btp]]</f>
        <v>-4.8873311573480294E-2</v>
      </c>
      <c r="AF69" s="77">
        <f>T69-Dataout[[#This Row],[Ctp]]</f>
        <v>-0.18984584179200681</v>
      </c>
      <c r="AG69" s="77">
        <f t="shared" si="26"/>
        <v>8.5036048600954425E-3</v>
      </c>
      <c r="AH69" s="134">
        <f t="shared" si="27"/>
        <v>0.19798883972133735</v>
      </c>
    </row>
    <row r="70" spans="1:34" x14ac:dyDescent="0.2">
      <c r="A70" s="6" t="s">
        <v>1223</v>
      </c>
      <c r="F70" s="31" t="str">
        <f t="shared" si="28"/>
        <v>P2</v>
      </c>
      <c r="G70" s="21">
        <v>68</v>
      </c>
      <c r="H70">
        <v>-38.081166076660097</v>
      </c>
      <c r="I70">
        <v>-19.555354595184301</v>
      </c>
      <c r="J70">
        <v>79.4302257537841</v>
      </c>
      <c r="K70">
        <v>-36.120902824401803</v>
      </c>
      <c r="L70">
        <v>-66.032448196411096</v>
      </c>
      <c r="M70">
        <v>17.013497734069801</v>
      </c>
      <c r="N70">
        <v>10</v>
      </c>
      <c r="O70">
        <v>2406.7305005563198</v>
      </c>
      <c r="P70">
        <v>-272.61746100965701</v>
      </c>
      <c r="Q70">
        <v>544.60420484095198</v>
      </c>
      <c r="R70">
        <v>88.813554176568402</v>
      </c>
      <c r="S70">
        <v>10.0907143824526</v>
      </c>
      <c r="T70">
        <v>-89.920276892382006</v>
      </c>
      <c r="U70" s="77">
        <v>2406.8613999999998</v>
      </c>
      <c r="V70" s="77">
        <v>-272.59219999999999</v>
      </c>
      <c r="W70" s="77">
        <v>544.76160000000004</v>
      </c>
      <c r="X70" s="77">
        <v>88.836600000000004</v>
      </c>
      <c r="Y70" s="77">
        <v>10.1332</v>
      </c>
      <c r="Z70" s="77">
        <v>-89.702399999999997</v>
      </c>
      <c r="AA70" s="77">
        <f t="shared" si="23"/>
        <v>-5.153521404721916E-3</v>
      </c>
      <c r="AB70" s="77">
        <f t="shared" si="24"/>
        <v>-9.9452793925256552E-4</v>
      </c>
      <c r="AC70" s="77">
        <f t="shared" si="25"/>
        <v>-6.1966598050419161E-3</v>
      </c>
      <c r="AD70" s="77">
        <f>R70-Dataout[[#This Row],[Atp]]</f>
        <v>-2.3045823431601775E-2</v>
      </c>
      <c r="AE70" s="77">
        <f>S70-Dataout[[#This Row],[Btp]]</f>
        <v>-4.2485617547400878E-2</v>
      </c>
      <c r="AF70" s="77">
        <f>T70-Dataout[[#This Row],[Ctp]]</f>
        <v>-0.21787689238200869</v>
      </c>
      <c r="AG70" s="77">
        <f t="shared" si="26"/>
        <v>8.1207426649477707E-3</v>
      </c>
      <c r="AH70" s="134">
        <f t="shared" si="27"/>
        <v>0.22317364967680656</v>
      </c>
    </row>
    <row r="71" spans="1:34" x14ac:dyDescent="0.2">
      <c r="A71" s="6" t="s">
        <v>1223</v>
      </c>
      <c r="F71" s="31" t="str">
        <f t="shared" si="28"/>
        <v>P2</v>
      </c>
      <c r="G71" s="21">
        <v>69</v>
      </c>
      <c r="H71">
        <v>-35.426514816284097</v>
      </c>
      <c r="I71">
        <v>-2.3935630321502601</v>
      </c>
      <c r="J71">
        <v>49.1018272399902</v>
      </c>
      <c r="K71">
        <v>-48.690589714050198</v>
      </c>
      <c r="L71">
        <v>-59.406142807006802</v>
      </c>
      <c r="M71">
        <v>30.5651557922363</v>
      </c>
      <c r="N71">
        <v>10</v>
      </c>
      <c r="O71">
        <v>2406.05973701927</v>
      </c>
      <c r="P71">
        <v>-465.82871074952101</v>
      </c>
      <c r="Q71">
        <v>433.89801825622499</v>
      </c>
      <c r="R71">
        <v>88.840027176965904</v>
      </c>
      <c r="S71">
        <v>-0.30773140056373999</v>
      </c>
      <c r="T71">
        <v>-89.878956204887402</v>
      </c>
      <c r="U71" s="77">
        <v>2406.0565000000001</v>
      </c>
      <c r="V71" s="77">
        <v>-465.8965</v>
      </c>
      <c r="W71" s="77">
        <v>433.91750000000002</v>
      </c>
      <c r="X71" s="77">
        <v>88.859099999999998</v>
      </c>
      <c r="Y71" s="77">
        <v>-0.26019999999999999</v>
      </c>
      <c r="Z71" s="77">
        <v>-89.699600000000004</v>
      </c>
      <c r="AA71" s="77">
        <f t="shared" si="23"/>
        <v>1.2744170353614644E-4</v>
      </c>
      <c r="AB71" s="77">
        <f t="shared" si="24"/>
        <v>2.6688681290942991E-3</v>
      </c>
      <c r="AC71" s="77">
        <f t="shared" si="25"/>
        <v>-7.6699778641856867E-4</v>
      </c>
      <c r="AD71" s="77">
        <f>R71-Dataout[[#This Row],[Atp]]</f>
        <v>-1.9072823034093744E-2</v>
      </c>
      <c r="AE71" s="77">
        <f>S71-Dataout[[#This Row],[Btp]]</f>
        <v>-4.7531400563740001E-2</v>
      </c>
      <c r="AF71" s="77">
        <f>T71-Dataout[[#This Row],[Ctp]]</f>
        <v>-0.17935620488739801</v>
      </c>
      <c r="AG71" s="77">
        <f t="shared" si="26"/>
        <v>2.7798172750500135E-3</v>
      </c>
      <c r="AH71" s="134">
        <f t="shared" si="27"/>
        <v>0.18652521236993902</v>
      </c>
    </row>
    <row r="72" spans="1:34" x14ac:dyDescent="0.2">
      <c r="A72" s="6" t="s">
        <v>1223</v>
      </c>
      <c r="F72" s="31" t="str">
        <f t="shared" si="28"/>
        <v>P2</v>
      </c>
      <c r="G72" s="21">
        <v>70</v>
      </c>
      <c r="H72">
        <v>-28.872626018524102</v>
      </c>
      <c r="I72">
        <v>-7.90320739746093</v>
      </c>
      <c r="J72">
        <v>68.841198348999001</v>
      </c>
      <c r="K72">
        <v>-36.591615295410101</v>
      </c>
      <c r="L72">
        <v>-68.814709472656205</v>
      </c>
      <c r="M72">
        <v>16.424763774871799</v>
      </c>
      <c r="N72">
        <v>10</v>
      </c>
      <c r="O72">
        <v>2152.1546164298002</v>
      </c>
      <c r="P72">
        <v>-467.421864037658</v>
      </c>
      <c r="Q72">
        <v>376.28230759294797</v>
      </c>
      <c r="R72">
        <v>87.170750819303905</v>
      </c>
      <c r="S72">
        <v>-0.32199296513222803</v>
      </c>
      <c r="T72">
        <v>-89.931214874538</v>
      </c>
      <c r="U72" s="77">
        <v>2152.1563000000001</v>
      </c>
      <c r="V72" s="77">
        <v>-467.41969999999998</v>
      </c>
      <c r="W72" s="77">
        <v>376.19639999999998</v>
      </c>
      <c r="X72" s="77">
        <v>87.198400000000007</v>
      </c>
      <c r="Y72" s="77">
        <v>-0.2797</v>
      </c>
      <c r="Z72" s="77">
        <v>-89.710999999999999</v>
      </c>
      <c r="AA72" s="77">
        <f t="shared" si="23"/>
        <v>-6.6282291335819605E-5</v>
      </c>
      <c r="AB72" s="77">
        <f t="shared" si="24"/>
        <v>-8.5198332992890714E-5</v>
      </c>
      <c r="AC72" s="77">
        <f t="shared" si="25"/>
        <v>3.3821886987397635E-3</v>
      </c>
      <c r="AD72" s="77">
        <f>R72-Dataout[[#This Row],[Atp]]</f>
        <v>-2.7649180696101894E-2</v>
      </c>
      <c r="AE72" s="77">
        <f>S72-Dataout[[#This Row],[Btp]]</f>
        <v>-4.2292965132228022E-2</v>
      </c>
      <c r="AF72" s="77">
        <f>T72-Dataout[[#This Row],[Ctp]]</f>
        <v>-0.22021487453800148</v>
      </c>
      <c r="AG72" s="77">
        <f t="shared" si="26"/>
        <v>3.3839108280172615E-3</v>
      </c>
      <c r="AH72" s="134">
        <f t="shared" si="27"/>
        <v>0.2259375202586531</v>
      </c>
    </row>
    <row r="73" spans="1:34" x14ac:dyDescent="0.2">
      <c r="A73" s="6" t="s">
        <v>1223</v>
      </c>
      <c r="F73" s="31" t="str">
        <f t="shared" si="28"/>
        <v>P2</v>
      </c>
      <c r="G73" s="21">
        <v>71</v>
      </c>
      <c r="H73">
        <v>-30.697086715698202</v>
      </c>
      <c r="I73">
        <v>-21.116622447967501</v>
      </c>
      <c r="J73">
        <v>109.692481613159</v>
      </c>
      <c r="K73">
        <v>-35.669163513183499</v>
      </c>
      <c r="L73">
        <v>-91.559280395507798</v>
      </c>
      <c r="M73">
        <v>0.421386051177978</v>
      </c>
      <c r="N73">
        <v>10</v>
      </c>
      <c r="O73">
        <v>1960.4230027031099</v>
      </c>
      <c r="P73">
        <v>-103.660679272922</v>
      </c>
      <c r="Q73">
        <v>397.133162472425</v>
      </c>
      <c r="R73">
        <v>87.176273524526295</v>
      </c>
      <c r="S73">
        <v>-0.31036455814439401</v>
      </c>
      <c r="T73">
        <v>-89.941427894052694</v>
      </c>
      <c r="U73" s="77">
        <v>1960.3834999999999</v>
      </c>
      <c r="V73" s="77">
        <v>-103.6524</v>
      </c>
      <c r="W73" s="77">
        <v>397.02069999999998</v>
      </c>
      <c r="X73" s="77">
        <v>87.200999999999993</v>
      </c>
      <c r="Y73" s="77">
        <v>-0.30580000000000002</v>
      </c>
      <c r="Z73" s="77">
        <v>-89.717500000000001</v>
      </c>
      <c r="AA73" s="77">
        <f t="shared" si="23"/>
        <v>1.5552245318887555E-3</v>
      </c>
      <c r="AB73" s="77">
        <f t="shared" si="24"/>
        <v>-3.2595562685023774E-4</v>
      </c>
      <c r="AC73" s="77">
        <f t="shared" si="25"/>
        <v>4.4276563946859249E-3</v>
      </c>
      <c r="AD73" s="77">
        <f>R73-Dataout[[#This Row],[Atp]]</f>
        <v>-2.4726475473698883E-2</v>
      </c>
      <c r="AE73" s="77">
        <f>S73-Dataout[[#This Row],[Btp]]</f>
        <v>-4.5645581443939931E-3</v>
      </c>
      <c r="AF73" s="77">
        <f>T73-Dataout[[#This Row],[Ctp]]</f>
        <v>-0.22392789405269298</v>
      </c>
      <c r="AG73" s="77">
        <f t="shared" si="26"/>
        <v>4.7041589646468259E-3</v>
      </c>
      <c r="AH73" s="134">
        <f t="shared" si="27"/>
        <v>0.22533516262509737</v>
      </c>
    </row>
    <row r="74" spans="1:34" x14ac:dyDescent="0.2">
      <c r="A74" s="6" t="s">
        <v>1223</v>
      </c>
      <c r="F74" s="31" t="str">
        <f t="shared" si="28"/>
        <v>P2</v>
      </c>
      <c r="G74" s="21">
        <v>72</v>
      </c>
      <c r="H74">
        <v>-12.873619222640899</v>
      </c>
      <c r="I74">
        <v>-19.779942703246999</v>
      </c>
      <c r="J74">
        <v>105.974002075195</v>
      </c>
      <c r="K74">
        <v>-17.8579365730285</v>
      </c>
      <c r="L74">
        <v>-89.095151901245103</v>
      </c>
      <c r="M74">
        <v>0.76813030540943095</v>
      </c>
      <c r="N74">
        <v>10</v>
      </c>
      <c r="O74">
        <v>1609.8717894797801</v>
      </c>
      <c r="P74">
        <v>-323.49135645444801</v>
      </c>
      <c r="Q74">
        <v>386.39729136321</v>
      </c>
      <c r="R74">
        <v>87.167331785500394</v>
      </c>
      <c r="S74">
        <v>-0.324129296343524</v>
      </c>
      <c r="T74">
        <v>-89.896137468120301</v>
      </c>
      <c r="U74" s="77">
        <v>1609.8903</v>
      </c>
      <c r="V74" s="77">
        <v>-323.51769999999999</v>
      </c>
      <c r="W74" s="77">
        <v>386.24450000000002</v>
      </c>
      <c r="X74" s="77">
        <v>87.206100000000006</v>
      </c>
      <c r="Y74" s="77">
        <v>-0.29599999999999999</v>
      </c>
      <c r="Z74" s="77">
        <v>-89.714100000000002</v>
      </c>
      <c r="AA74" s="77">
        <f t="shared" si="23"/>
        <v>-7.2876063858007181E-4</v>
      </c>
      <c r="AB74" s="77">
        <f t="shared" si="24"/>
        <v>1.0371474626764232E-3</v>
      </c>
      <c r="AC74" s="77">
        <f t="shared" si="25"/>
        <v>6.0154080003931229E-3</v>
      </c>
      <c r="AD74" s="77">
        <f>R74-Dataout[[#This Row],[Atp]]</f>
        <v>-3.8768214499611986E-2</v>
      </c>
      <c r="AE74" s="77">
        <f>S74-Dataout[[#This Row],[Btp]]</f>
        <v>-2.8129296343524013E-2</v>
      </c>
      <c r="AF74" s="77">
        <f>T74-Dataout[[#This Row],[Ctp]]</f>
        <v>-0.1820374681202992</v>
      </c>
      <c r="AG74" s="77">
        <f t="shared" si="26"/>
        <v>6.1475117192953252E-3</v>
      </c>
      <c r="AH74" s="134">
        <f t="shared" si="27"/>
        <v>0.18823355590308191</v>
      </c>
    </row>
    <row r="75" spans="1:34" x14ac:dyDescent="0.2">
      <c r="A75" s="6" t="s">
        <v>1223</v>
      </c>
      <c r="F75" s="31" t="str">
        <f t="shared" si="28"/>
        <v>P2</v>
      </c>
      <c r="G75" s="21">
        <v>73</v>
      </c>
      <c r="H75">
        <v>2.7984681963920499</v>
      </c>
      <c r="I75">
        <v>-18.678781032562199</v>
      </c>
      <c r="J75">
        <v>99.6551616668701</v>
      </c>
      <c r="K75">
        <v>5.9947351694107001</v>
      </c>
      <c r="L75">
        <v>-83.741319656371999</v>
      </c>
      <c r="M75">
        <v>-0.91007090210914598</v>
      </c>
      <c r="N75">
        <v>10</v>
      </c>
      <c r="O75">
        <v>1295.1997054047799</v>
      </c>
      <c r="P75">
        <v>-460.966671832266</v>
      </c>
      <c r="Q75">
        <v>392.636652509486</v>
      </c>
      <c r="R75">
        <v>87.155705584187402</v>
      </c>
      <c r="S75">
        <v>7.8592591067774098</v>
      </c>
      <c r="T75">
        <v>-89.931672489317705</v>
      </c>
      <c r="U75" s="77">
        <v>1295.0998999999999</v>
      </c>
      <c r="V75" s="77">
        <v>-461.01740000000001</v>
      </c>
      <c r="W75" s="77">
        <v>392.5675</v>
      </c>
      <c r="X75" s="77">
        <v>87.195099999999996</v>
      </c>
      <c r="Y75" s="77">
        <v>7.8863000000000003</v>
      </c>
      <c r="Z75" s="77">
        <v>-89.712100000000007</v>
      </c>
      <c r="AA75" s="77">
        <f t="shared" si="23"/>
        <v>3.9293466448818764E-3</v>
      </c>
      <c r="AB75" s="77">
        <f t="shared" si="24"/>
        <v>1.9971719580317896E-3</v>
      </c>
      <c r="AC75" s="77">
        <f t="shared" si="25"/>
        <v>2.7225397435434095E-3</v>
      </c>
      <c r="AD75" s="77">
        <f>R75-Dataout[[#This Row],[Atp]]</f>
        <v>-3.939441581259473E-2</v>
      </c>
      <c r="AE75" s="77">
        <f>S75-Dataout[[#This Row],[Btp]]</f>
        <v>-2.7040893222590512E-2</v>
      </c>
      <c r="AF75" s="77">
        <f>T75-Dataout[[#This Row],[Ctp]]</f>
        <v>-0.21957248931769868</v>
      </c>
      <c r="AG75" s="77">
        <f t="shared" si="26"/>
        <v>5.1807995078719665E-3</v>
      </c>
      <c r="AH75" s="134">
        <f t="shared" si="27"/>
        <v>0.22471138815970598</v>
      </c>
    </row>
    <row r="76" spans="1:34" x14ac:dyDescent="0.2">
      <c r="A76" s="6" t="s">
        <v>1223</v>
      </c>
      <c r="F76" s="31" t="str">
        <f t="shared" si="28"/>
        <v>P2</v>
      </c>
      <c r="G76" s="21">
        <v>74</v>
      </c>
      <c r="H76">
        <v>15.2365540504455</v>
      </c>
      <c r="I76">
        <v>-21.959585952758701</v>
      </c>
      <c r="J76">
        <v>115.308605575561</v>
      </c>
      <c r="K76">
        <v>20.7934019088745</v>
      </c>
      <c r="L76">
        <v>-95.816575622558503</v>
      </c>
      <c r="M76">
        <v>1.3428233921527799</v>
      </c>
      <c r="N76">
        <v>10</v>
      </c>
      <c r="O76">
        <v>1034.03626569367</v>
      </c>
      <c r="P76">
        <v>-247.44599075766899</v>
      </c>
      <c r="Q76">
        <v>399.20149526426098</v>
      </c>
      <c r="R76">
        <v>87.156538128039699</v>
      </c>
      <c r="S76">
        <v>10.1285258265411</v>
      </c>
      <c r="T76">
        <v>-89.888711230365402</v>
      </c>
      <c r="U76" s="77">
        <v>1034.0717</v>
      </c>
      <c r="V76" s="77">
        <v>-247.43209999999999</v>
      </c>
      <c r="W76" s="77">
        <v>399.03289999999998</v>
      </c>
      <c r="X76" s="77">
        <v>87.208699999999993</v>
      </c>
      <c r="Y76" s="77">
        <v>10.170999999999999</v>
      </c>
      <c r="Z76" s="77">
        <v>-89.704700000000003</v>
      </c>
      <c r="AA76" s="77">
        <f t="shared" si="23"/>
        <v>-1.395051430314541E-3</v>
      </c>
      <c r="AB76" s="77">
        <f t="shared" si="24"/>
        <v>-5.4688022318909646E-4</v>
      </c>
      <c r="AC76" s="77">
        <f t="shared" si="25"/>
        <v>6.6376088291732463E-3</v>
      </c>
      <c r="AD76" s="77">
        <f>R76-Dataout[[#This Row],[Atp]]</f>
        <v>-5.2161871960294093E-2</v>
      </c>
      <c r="AE76" s="77">
        <f>S76-Dataout[[#This Row],[Btp]]</f>
        <v>-4.2474173458899145E-2</v>
      </c>
      <c r="AF76" s="77">
        <f>T76-Dataout[[#This Row],[Ctp]]</f>
        <v>-0.18401123036539957</v>
      </c>
      <c r="AG76" s="77">
        <f t="shared" si="26"/>
        <v>6.8046379360592454E-3</v>
      </c>
      <c r="AH76" s="134">
        <f t="shared" si="27"/>
        <v>0.19592102796281699</v>
      </c>
    </row>
    <row r="77" spans="1:34" x14ac:dyDescent="0.2">
      <c r="A77" s="6" t="s">
        <v>1223</v>
      </c>
      <c r="F77" s="31" t="str">
        <f t="shared" si="28"/>
        <v>P2</v>
      </c>
      <c r="G77" s="21">
        <v>75</v>
      </c>
      <c r="H77">
        <v>22.319382572174</v>
      </c>
      <c r="I77">
        <v>-21.9115287780761</v>
      </c>
      <c r="J77">
        <v>117.761777496337</v>
      </c>
      <c r="K77">
        <v>19.398672008514399</v>
      </c>
      <c r="L77">
        <v>-98.221526336669896</v>
      </c>
      <c r="M77">
        <v>1.65998391509056</v>
      </c>
      <c r="N77">
        <v>10</v>
      </c>
      <c r="O77">
        <v>849.77503395755696</v>
      </c>
      <c r="P77">
        <v>-181.08983795018801</v>
      </c>
      <c r="Q77">
        <v>395.66366448197499</v>
      </c>
      <c r="R77">
        <v>87.169616372874799</v>
      </c>
      <c r="S77">
        <v>1.5807008470632999</v>
      </c>
      <c r="T77">
        <v>-89.889127201575803</v>
      </c>
      <c r="U77" s="77">
        <v>849.62049999999999</v>
      </c>
      <c r="V77" s="77">
        <v>-181.08600000000001</v>
      </c>
      <c r="W77" s="77">
        <v>395.45949999999999</v>
      </c>
      <c r="X77" s="77">
        <v>87.223600000000005</v>
      </c>
      <c r="Y77" s="77">
        <v>1.6028</v>
      </c>
      <c r="Z77" s="77">
        <v>-89.699799999999996</v>
      </c>
      <c r="AA77" s="77">
        <f t="shared" si="23"/>
        <v>6.0840140770458346E-3</v>
      </c>
      <c r="AB77" s="77">
        <f t="shared" si="24"/>
        <v>-1.511004011023681E-4</v>
      </c>
      <c r="AC77" s="77">
        <f t="shared" si="25"/>
        <v>8.0379717312991737E-3</v>
      </c>
      <c r="AD77" s="77">
        <f>R77-Dataout[[#This Row],[Atp]]</f>
        <v>-5.3983627125205658E-2</v>
      </c>
      <c r="AE77" s="77">
        <f>S77-Dataout[[#This Row],[Btp]]</f>
        <v>-2.2099152936700062E-2</v>
      </c>
      <c r="AF77" s="77">
        <f>T77-Dataout[[#This Row],[Ctp]]</f>
        <v>-0.18932720157580718</v>
      </c>
      <c r="AG77" s="77">
        <f t="shared" si="26"/>
        <v>1.0082016076860312E-2</v>
      </c>
      <c r="AH77" s="134">
        <f t="shared" si="27"/>
        <v>0.19810955003391237</v>
      </c>
    </row>
    <row r="78" spans="1:34" x14ac:dyDescent="0.2">
      <c r="A78" s="6" t="s">
        <v>1223</v>
      </c>
      <c r="F78" s="31" t="str">
        <f t="shared" si="28"/>
        <v>P2</v>
      </c>
      <c r="G78" s="21">
        <v>76</v>
      </c>
      <c r="H78">
        <v>23.0608469009399</v>
      </c>
      <c r="I78">
        <v>-16.7247443199157</v>
      </c>
      <c r="J78">
        <v>89.704901123046795</v>
      </c>
      <c r="K78">
        <v>20.443483066558802</v>
      </c>
      <c r="L78">
        <v>-76.7362678527832</v>
      </c>
      <c r="M78">
        <v>-6.1581089735031096</v>
      </c>
      <c r="N78">
        <v>10</v>
      </c>
      <c r="O78">
        <v>727.10322875715303</v>
      </c>
      <c r="P78">
        <v>-502.21453983206902</v>
      </c>
      <c r="Q78">
        <v>411.39007798121099</v>
      </c>
      <c r="R78">
        <v>87.150635550173305</v>
      </c>
      <c r="S78">
        <v>1.5730914804837299</v>
      </c>
      <c r="T78">
        <v>-89.929979228482196</v>
      </c>
      <c r="U78" s="77">
        <v>727.00729999999999</v>
      </c>
      <c r="V78" s="77">
        <v>-502.23840000000001</v>
      </c>
      <c r="W78" s="77">
        <v>411.34660000000002</v>
      </c>
      <c r="X78" s="77">
        <v>87.197000000000003</v>
      </c>
      <c r="Y78" s="77">
        <v>1.5975999999999999</v>
      </c>
      <c r="Z78" s="77">
        <v>-89.710599999999999</v>
      </c>
      <c r="AA78" s="77">
        <f t="shared" si="23"/>
        <v>3.7767227225608945E-3</v>
      </c>
      <c r="AB78" s="77">
        <f t="shared" si="24"/>
        <v>9.3937669019649144E-4</v>
      </c>
      <c r="AC78" s="77">
        <f t="shared" si="25"/>
        <v>1.7117315437389596E-3</v>
      </c>
      <c r="AD78" s="77">
        <f>R78-Dataout[[#This Row],[Atp]]</f>
        <v>-4.6364449826697296E-2</v>
      </c>
      <c r="AE78" s="77">
        <f>S78-Dataout[[#This Row],[Btp]]</f>
        <v>-2.4508519516269978E-2</v>
      </c>
      <c r="AF78" s="77">
        <f>T78-Dataout[[#This Row],[Ctp]]</f>
        <v>-0.21937922848219671</v>
      </c>
      <c r="AG78" s="77">
        <f t="shared" si="26"/>
        <v>4.2515982838249493E-3</v>
      </c>
      <c r="AH78" s="134">
        <f t="shared" si="27"/>
        <v>0.22556058083374317</v>
      </c>
    </row>
    <row r="79" spans="1:34" x14ac:dyDescent="0.2">
      <c r="A79" s="6" t="s">
        <v>1223</v>
      </c>
      <c r="F79" s="31" t="str">
        <f t="shared" si="28"/>
        <v>P2</v>
      </c>
      <c r="G79" s="21">
        <v>77</v>
      </c>
      <c r="H79">
        <v>35.769985389709397</v>
      </c>
      <c r="I79">
        <v>-20.9205348014831</v>
      </c>
      <c r="J79">
        <v>110.78449058532701</v>
      </c>
      <c r="K79">
        <v>46.740237045287998</v>
      </c>
      <c r="L79">
        <v>-92.532591629028303</v>
      </c>
      <c r="M79">
        <v>0.33556469976901998</v>
      </c>
      <c r="N79">
        <v>10</v>
      </c>
      <c r="O79">
        <v>623.15995158445401</v>
      </c>
      <c r="P79">
        <v>-132.175548351212</v>
      </c>
      <c r="Q79">
        <v>392.81909816994801</v>
      </c>
      <c r="R79">
        <v>87.144254051775704</v>
      </c>
      <c r="S79">
        <v>15.6366276128553</v>
      </c>
      <c r="T79">
        <v>-89.883705897414302</v>
      </c>
      <c r="U79" s="77">
        <v>623.18619999999999</v>
      </c>
      <c r="V79" s="77">
        <v>-132.1985</v>
      </c>
      <c r="W79" s="77">
        <v>392.74090000000001</v>
      </c>
      <c r="X79" s="77">
        <v>87.200500000000005</v>
      </c>
      <c r="Y79" s="77">
        <v>15.69</v>
      </c>
      <c r="Z79" s="77">
        <v>-89.694699999999997</v>
      </c>
      <c r="AA79" s="77">
        <f t="shared" si="23"/>
        <v>-1.0334021868495585E-3</v>
      </c>
      <c r="AB79" s="77">
        <f t="shared" si="24"/>
        <v>9.0360821999979635E-4</v>
      </c>
      <c r="AC79" s="77">
        <f t="shared" si="25"/>
        <v>3.0786681081888057E-3</v>
      </c>
      <c r="AD79" s="77">
        <f>R79-Dataout[[#This Row],[Atp]]</f>
        <v>-5.6245948224301401E-2</v>
      </c>
      <c r="AE79" s="77">
        <f>S79-Dataout[[#This Row],[Btp]]</f>
        <v>-5.3372387144699829E-2</v>
      </c>
      <c r="AF79" s="77">
        <f>T79-Dataout[[#This Row],[Ctp]]</f>
        <v>-0.18900589741430451</v>
      </c>
      <c r="AG79" s="77">
        <f t="shared" si="26"/>
        <v>3.3708493314616554E-3</v>
      </c>
      <c r="AH79" s="134">
        <f t="shared" si="27"/>
        <v>0.20429255409476166</v>
      </c>
    </row>
    <row r="80" spans="1:34" x14ac:dyDescent="0.2">
      <c r="A80" s="6" t="s">
        <v>1223</v>
      </c>
      <c r="F80" s="31" t="str">
        <f t="shared" si="28"/>
        <v>P2</v>
      </c>
      <c r="G80" s="21">
        <v>78</v>
      </c>
      <c r="H80">
        <v>33.7444736480712</v>
      </c>
      <c r="I80">
        <v>-30.802253627776999</v>
      </c>
      <c r="J80">
        <v>119.465781021118</v>
      </c>
      <c r="K80">
        <v>33.192317008972097</v>
      </c>
      <c r="L80">
        <v>-91.576257705688406</v>
      </c>
      <c r="M80">
        <v>-0.88190373778343201</v>
      </c>
      <c r="N80">
        <v>10</v>
      </c>
      <c r="O80">
        <v>623.03070564406505</v>
      </c>
      <c r="P80">
        <v>-125.45975850027401</v>
      </c>
      <c r="Q80">
        <v>528.37591182943095</v>
      </c>
      <c r="R80">
        <v>87.163185075845405</v>
      </c>
      <c r="S80">
        <v>4.1738537878338198</v>
      </c>
      <c r="T80">
        <v>-89.927108156272894</v>
      </c>
      <c r="U80" s="77">
        <v>622.96960000000001</v>
      </c>
      <c r="V80" s="77">
        <v>-125.5304</v>
      </c>
      <c r="W80" s="77">
        <v>528.33550000000002</v>
      </c>
      <c r="X80" s="77">
        <v>87.215299999999999</v>
      </c>
      <c r="Y80" s="77">
        <v>4.2035</v>
      </c>
      <c r="Z80" s="77">
        <v>-89.696600000000004</v>
      </c>
      <c r="AA80" s="77">
        <f t="shared" si="23"/>
        <v>2.405734018308554E-3</v>
      </c>
      <c r="AB80" s="77">
        <f t="shared" si="24"/>
        <v>2.7811614065352003E-3</v>
      </c>
      <c r="AC80" s="77">
        <f t="shared" si="25"/>
        <v>1.5910169067292444E-3</v>
      </c>
      <c r="AD80" s="77">
        <f>R80-Dataout[[#This Row],[Atp]]</f>
        <v>-5.2114924154594178E-2</v>
      </c>
      <c r="AE80" s="77">
        <f>S80-Dataout[[#This Row],[Btp]]</f>
        <v>-2.9646212166180241E-2</v>
      </c>
      <c r="AF80" s="77">
        <f>T80-Dataout[[#This Row],[Ctp]]</f>
        <v>-0.23050815627289012</v>
      </c>
      <c r="AG80" s="77">
        <f t="shared" si="26"/>
        <v>4.0067130835070002E-3</v>
      </c>
      <c r="AH80" s="134">
        <f t="shared" si="27"/>
        <v>0.23817823856047055</v>
      </c>
    </row>
    <row r="81" spans="1:34" x14ac:dyDescent="0.2">
      <c r="A81" s="6" t="s">
        <v>1223</v>
      </c>
      <c r="F81" s="31" t="str">
        <f t="shared" si="28"/>
        <v>P2</v>
      </c>
      <c r="G81" s="21">
        <v>79</v>
      </c>
      <c r="H81">
        <v>28.933468627929599</v>
      </c>
      <c r="I81">
        <v>-27.189589786529499</v>
      </c>
      <c r="J81">
        <v>102.634612655639</v>
      </c>
      <c r="K81">
        <v>26.6164337158203</v>
      </c>
      <c r="L81">
        <v>-79.664893722534103</v>
      </c>
      <c r="M81">
        <v>-6.7333094358444203</v>
      </c>
      <c r="N81">
        <v>10</v>
      </c>
      <c r="O81">
        <v>619.13852347575198</v>
      </c>
      <c r="P81">
        <v>-362.88362177824803</v>
      </c>
      <c r="Q81">
        <v>540.06446908182795</v>
      </c>
      <c r="R81">
        <v>87.163973512094202</v>
      </c>
      <c r="S81">
        <v>1.9911179145143001</v>
      </c>
      <c r="T81">
        <v>-89.929633167647594</v>
      </c>
      <c r="U81" s="77">
        <v>619.04129999999998</v>
      </c>
      <c r="V81" s="77">
        <v>-362.93810000000002</v>
      </c>
      <c r="W81" s="77">
        <v>540.18359999999996</v>
      </c>
      <c r="X81" s="77">
        <v>87.200599999999994</v>
      </c>
      <c r="Y81" s="77">
        <v>2.0116000000000001</v>
      </c>
      <c r="Z81" s="77">
        <v>-89.706699999999998</v>
      </c>
      <c r="AA81" s="77">
        <f t="shared" si="23"/>
        <v>3.8276958957481392E-3</v>
      </c>
      <c r="AB81" s="77">
        <f t="shared" si="24"/>
        <v>2.1448118799996989E-3</v>
      </c>
      <c r="AC81" s="77">
        <f t="shared" si="25"/>
        <v>-4.6901936288190702E-3</v>
      </c>
      <c r="AD81" s="77">
        <f>R81-Dataout[[#This Row],[Atp]]</f>
        <v>-3.662648790579226E-2</v>
      </c>
      <c r="AE81" s="77">
        <f>S81-Dataout[[#This Row],[Btp]]</f>
        <v>-2.0482085485699963E-2</v>
      </c>
      <c r="AF81" s="77">
        <f>T81-Dataout[[#This Row],[Ctp]]</f>
        <v>-0.22293316764759652</v>
      </c>
      <c r="AG81" s="77">
        <f t="shared" si="26"/>
        <v>6.4225688121444047E-3</v>
      </c>
      <c r="AH81" s="134">
        <f t="shared" si="27"/>
        <v>0.22684843547961278</v>
      </c>
    </row>
    <row r="82" spans="1:34" x14ac:dyDescent="0.2">
      <c r="A82" s="6" t="s">
        <v>1223</v>
      </c>
      <c r="F82" s="31" t="str">
        <f t="shared" si="28"/>
        <v>P2</v>
      </c>
      <c r="G82" s="21">
        <v>80</v>
      </c>
      <c r="H82">
        <v>27.703956794738701</v>
      </c>
      <c r="I82">
        <v>-44.204971694946202</v>
      </c>
      <c r="J82">
        <v>95.11181640625</v>
      </c>
      <c r="K82">
        <v>29.813838768005301</v>
      </c>
      <c r="L82">
        <v>-57.706252670288002</v>
      </c>
      <c r="M82">
        <v>-18.5715441703796</v>
      </c>
      <c r="N82">
        <v>10</v>
      </c>
      <c r="O82">
        <v>594.97061839925095</v>
      </c>
      <c r="P82">
        <v>-501.87885336518701</v>
      </c>
      <c r="Q82">
        <v>956.67621829663699</v>
      </c>
      <c r="R82">
        <v>87.151623285239793</v>
      </c>
      <c r="S82">
        <v>1.9876625355997799</v>
      </c>
      <c r="T82">
        <v>-89.934104136118506</v>
      </c>
      <c r="U82" s="77">
        <v>595.02080000000001</v>
      </c>
      <c r="V82" s="77">
        <v>-501.83710000000002</v>
      </c>
      <c r="W82" s="77">
        <v>956.90800000000002</v>
      </c>
      <c r="X82" s="77">
        <v>87.180099999999996</v>
      </c>
      <c r="Y82" s="77">
        <v>2.0030000000000001</v>
      </c>
      <c r="Z82" s="77">
        <v>-89.714699999999993</v>
      </c>
      <c r="AA82" s="77">
        <f t="shared" si="23"/>
        <v>-1.9756535727974839E-3</v>
      </c>
      <c r="AB82" s="77">
        <f t="shared" si="24"/>
        <v>-1.6438332750784129E-3</v>
      </c>
      <c r="AC82" s="77">
        <f t="shared" si="25"/>
        <v>-9.1252639119301683E-3</v>
      </c>
      <c r="AD82" s="77">
        <f>R82-Dataout[[#This Row],[Atp]]</f>
        <v>-2.8476714760202526E-2</v>
      </c>
      <c r="AE82" s="77">
        <f>S82-Dataout[[#This Row],[Btp]]</f>
        <v>-1.5337464400220213E-2</v>
      </c>
      <c r="AF82" s="77">
        <f>T82-Dataout[[#This Row],[Ctp]]</f>
        <v>-0.21940413611851284</v>
      </c>
      <c r="AG82" s="77">
        <f t="shared" si="26"/>
        <v>9.4802867223696113E-3</v>
      </c>
      <c r="AH82" s="134">
        <f t="shared" si="27"/>
        <v>0.22177541803291201</v>
      </c>
    </row>
    <row r="83" spans="1:34" x14ac:dyDescent="0.2">
      <c r="A83" s="6" t="s">
        <v>1223</v>
      </c>
      <c r="F83" s="31" t="str">
        <f t="shared" si="28"/>
        <v>P2</v>
      </c>
      <c r="G83" s="21">
        <v>81</v>
      </c>
      <c r="H83">
        <v>32.555498123168903</v>
      </c>
      <c r="I83">
        <v>-62.467735671996998</v>
      </c>
      <c r="J83">
        <v>115.803676223754</v>
      </c>
      <c r="K83">
        <v>34.3726291656494</v>
      </c>
      <c r="L83">
        <v>-61.323941802978503</v>
      </c>
      <c r="M83">
        <v>-20.011375713348301</v>
      </c>
      <c r="N83">
        <v>10</v>
      </c>
      <c r="O83">
        <v>585.66594700715495</v>
      </c>
      <c r="P83">
        <v>-232.12150575744599</v>
      </c>
      <c r="Q83">
        <v>1092.55579001917</v>
      </c>
      <c r="R83">
        <v>87.158837905871806</v>
      </c>
      <c r="S83">
        <v>1.9934683600449501</v>
      </c>
      <c r="T83">
        <v>-89.933419222941097</v>
      </c>
      <c r="U83" s="77">
        <v>585.62279999999998</v>
      </c>
      <c r="V83" s="77">
        <v>-232.05770000000001</v>
      </c>
      <c r="W83" s="77">
        <v>1092.6701</v>
      </c>
      <c r="X83" s="77">
        <v>87.192700000000002</v>
      </c>
      <c r="Y83" s="77">
        <v>2.0021</v>
      </c>
      <c r="Z83" s="77">
        <v>-89.704800000000006</v>
      </c>
      <c r="AA83" s="77">
        <f t="shared" si="23"/>
        <v>1.6987010690933506E-3</v>
      </c>
      <c r="AB83" s="77">
        <f t="shared" si="24"/>
        <v>-2.512037694723484E-3</v>
      </c>
      <c r="AC83" s="77">
        <f t="shared" si="25"/>
        <v>-4.5003929460652606E-3</v>
      </c>
      <c r="AD83" s="77">
        <f>R83-Dataout[[#This Row],[Atp]]</f>
        <v>-3.3862094128195963E-2</v>
      </c>
      <c r="AE83" s="77">
        <f>S83-Dataout[[#This Row],[Btp]]</f>
        <v>-8.6316399550498968E-3</v>
      </c>
      <c r="AF83" s="77">
        <f>T83-Dataout[[#This Row],[Ctp]]</f>
        <v>-0.22861922294109149</v>
      </c>
      <c r="AG83" s="77">
        <f t="shared" si="26"/>
        <v>5.4267352405331631E-3</v>
      </c>
      <c r="AH83" s="134">
        <f t="shared" si="27"/>
        <v>0.23127450297265564</v>
      </c>
    </row>
    <row r="84" spans="1:34" x14ac:dyDescent="0.2">
      <c r="A84" s="6" t="s">
        <v>1223</v>
      </c>
      <c r="F84" s="31" t="str">
        <f t="shared" si="28"/>
        <v>P2</v>
      </c>
      <c r="G84" s="21">
        <v>82</v>
      </c>
      <c r="H84">
        <v>38.211156845092702</v>
      </c>
      <c r="I84">
        <v>-76.433215332031196</v>
      </c>
      <c r="J84">
        <v>112.48991851806601</v>
      </c>
      <c r="K84">
        <v>61.679364204406703</v>
      </c>
      <c r="L84">
        <v>-60.773786163330001</v>
      </c>
      <c r="M84">
        <v>-44.988068962097103</v>
      </c>
      <c r="N84">
        <v>10</v>
      </c>
      <c r="O84">
        <v>581.36162132065601</v>
      </c>
      <c r="P84">
        <v>-108.118871043814</v>
      </c>
      <c r="Q84">
        <v>1370.96077897601</v>
      </c>
      <c r="R84">
        <v>87.133733093577703</v>
      </c>
      <c r="S84">
        <v>16.9719405167729</v>
      </c>
      <c r="T84">
        <v>-89.9232487523457</v>
      </c>
      <c r="U84" s="77">
        <v>581.27470000000005</v>
      </c>
      <c r="V84" s="77">
        <v>-108.0831</v>
      </c>
      <c r="W84" s="77">
        <v>1370.9929</v>
      </c>
      <c r="X84" s="77">
        <v>87.151700000000005</v>
      </c>
      <c r="Y84" s="77">
        <v>16.9603</v>
      </c>
      <c r="Z84" s="77">
        <v>-89.680800000000005</v>
      </c>
      <c r="AA84" s="77">
        <f t="shared" si="23"/>
        <v>3.4220992384236494E-3</v>
      </c>
      <c r="AB84" s="77">
        <f t="shared" si="24"/>
        <v>-1.4083088115745925E-3</v>
      </c>
      <c r="AC84" s="77">
        <f t="shared" si="25"/>
        <v>-1.2646072436980358E-3</v>
      </c>
      <c r="AD84" s="77">
        <f>R84-Dataout[[#This Row],[Atp]]</f>
        <v>-1.7966906422302031E-2</v>
      </c>
      <c r="AE84" s="77">
        <f>S84-Dataout[[#This Row],[Btp]]</f>
        <v>1.16405167728999E-2</v>
      </c>
      <c r="AF84" s="77">
        <f>T84-Dataout[[#This Row],[Ctp]]</f>
        <v>-0.24244875234569463</v>
      </c>
      <c r="AG84" s="77">
        <f t="shared" si="26"/>
        <v>3.910668534559264E-3</v>
      </c>
      <c r="AH84" s="134">
        <f t="shared" si="27"/>
        <v>0.24339208876032081</v>
      </c>
    </row>
    <row r="85" spans="1:34" x14ac:dyDescent="0.2">
      <c r="A85" s="6" t="s">
        <v>1223</v>
      </c>
      <c r="F85" s="31" t="str">
        <f t="shared" si="28"/>
        <v>P2</v>
      </c>
      <c r="G85" s="21">
        <v>83</v>
      </c>
      <c r="H85">
        <v>32.854153442382803</v>
      </c>
      <c r="I85">
        <v>-75.754202651977494</v>
      </c>
      <c r="J85">
        <v>100.632371520996</v>
      </c>
      <c r="K85">
        <v>55.050276374816796</v>
      </c>
      <c r="L85">
        <v>-43.193040084838799</v>
      </c>
      <c r="M85">
        <v>-48.215055084228503</v>
      </c>
      <c r="N85">
        <v>10</v>
      </c>
      <c r="O85">
        <v>596.416113020892</v>
      </c>
      <c r="P85">
        <v>-241.03098666794</v>
      </c>
      <c r="Q85">
        <v>1520.6818411404699</v>
      </c>
      <c r="R85">
        <v>87.150447178311794</v>
      </c>
      <c r="S85">
        <v>6.2548903105658704</v>
      </c>
      <c r="T85">
        <v>-89.932391510650007</v>
      </c>
      <c r="U85" s="77">
        <v>596.45659999999998</v>
      </c>
      <c r="V85" s="77">
        <v>-241.01730000000001</v>
      </c>
      <c r="W85" s="77">
        <v>1520.6993</v>
      </c>
      <c r="X85" s="77">
        <v>87.166499999999999</v>
      </c>
      <c r="Y85" s="77">
        <v>6.2431000000000001</v>
      </c>
      <c r="Z85" s="77">
        <v>-89.702699999999993</v>
      </c>
      <c r="AA85" s="77">
        <f t="shared" si="23"/>
        <v>-1.5939755554323554E-3</v>
      </c>
      <c r="AB85" s="77">
        <f t="shared" si="24"/>
        <v>-5.3884519448791171E-4</v>
      </c>
      <c r="AC85" s="77">
        <f t="shared" si="25"/>
        <v>-6.8735667441149591E-4</v>
      </c>
      <c r="AD85" s="77">
        <f>R85-Dataout[[#This Row],[Atp]]</f>
        <v>-1.6052821688205654E-2</v>
      </c>
      <c r="AE85" s="77">
        <f>S85-Dataout[[#This Row],[Btp]]</f>
        <v>1.1790310565870321E-2</v>
      </c>
      <c r="AF85" s="77">
        <f>T85-Dataout[[#This Row],[Ctp]]</f>
        <v>-0.2296915106500137</v>
      </c>
      <c r="AG85" s="77">
        <f t="shared" si="26"/>
        <v>1.8175729456604024E-3</v>
      </c>
      <c r="AH85" s="134">
        <f t="shared" si="27"/>
        <v>0.23055345274377992</v>
      </c>
    </row>
    <row r="86" spans="1:34" x14ac:dyDescent="0.2">
      <c r="A86" s="6" t="s">
        <v>1223</v>
      </c>
      <c r="F86" s="31" t="str">
        <f t="shared" si="28"/>
        <v>P2</v>
      </c>
      <c r="G86" s="21">
        <v>84</v>
      </c>
      <c r="H86">
        <v>30.572392559051501</v>
      </c>
      <c r="I86">
        <v>-71.755855941772396</v>
      </c>
      <c r="J86">
        <v>82.114833068847602</v>
      </c>
      <c r="K86">
        <v>96.265148544311501</v>
      </c>
      <c r="L86">
        <v>-31.209584236145002</v>
      </c>
      <c r="M86">
        <v>-89.963408660888604</v>
      </c>
      <c r="N86">
        <v>10</v>
      </c>
      <c r="O86">
        <v>608.36017315242202</v>
      </c>
      <c r="P86">
        <v>-346.571524631893</v>
      </c>
      <c r="Q86">
        <v>1628.3038949249501</v>
      </c>
      <c r="R86">
        <v>102.342517125616</v>
      </c>
      <c r="S86">
        <v>6.0786548145863897</v>
      </c>
      <c r="T86">
        <v>-91.568171600807105</v>
      </c>
      <c r="U86" s="77">
        <v>608.28409999999997</v>
      </c>
      <c r="V86" s="77">
        <v>-346.50479999999999</v>
      </c>
      <c r="W86" s="77">
        <v>1628.2538</v>
      </c>
      <c r="X86" s="77">
        <v>102.322</v>
      </c>
      <c r="Y86" s="77">
        <v>6.0391000000000004</v>
      </c>
      <c r="Z86" s="77">
        <v>-91.353999999999999</v>
      </c>
      <c r="AA86" s="77">
        <f t="shared" si="23"/>
        <v>2.9950060008682908E-3</v>
      </c>
      <c r="AB86" s="77">
        <f t="shared" si="24"/>
        <v>-2.6269540115358148E-3</v>
      </c>
      <c r="AC86" s="77">
        <f t="shared" si="25"/>
        <v>1.9722411397694707E-3</v>
      </c>
      <c r="AD86" s="77">
        <f>R86-Dataout[[#This Row],[Atp]]</f>
        <v>2.0517125615995724E-2</v>
      </c>
      <c r="AE86" s="77">
        <f>S86-Dataout[[#This Row],[Btp]]</f>
        <v>3.955481458638932E-2</v>
      </c>
      <c r="AF86" s="77">
        <f>T86-Dataout[[#This Row],[Ctp]]</f>
        <v>-0.21417160080710573</v>
      </c>
      <c r="AG86" s="77">
        <f t="shared" si="26"/>
        <v>4.4452990267652825E-3</v>
      </c>
      <c r="AH86" s="134">
        <f t="shared" si="27"/>
        <v>0.21875788075583572</v>
      </c>
    </row>
    <row r="87" spans="1:34" x14ac:dyDescent="0.2">
      <c r="A87" s="6" t="s">
        <v>1223</v>
      </c>
      <c r="F87" s="31" t="str">
        <f t="shared" si="28"/>
        <v>P2</v>
      </c>
      <c r="G87" s="21">
        <v>85</v>
      </c>
      <c r="H87">
        <v>27.376461410522399</v>
      </c>
      <c r="I87">
        <v>-61.792859840393</v>
      </c>
      <c r="J87">
        <v>72.309511947631805</v>
      </c>
      <c r="K87">
        <v>60.641937255859297</v>
      </c>
      <c r="L87">
        <v>-28.175268554687499</v>
      </c>
      <c r="M87">
        <v>-59.584306907653797</v>
      </c>
      <c r="N87">
        <v>10</v>
      </c>
      <c r="O87">
        <v>605.69992913973601</v>
      </c>
      <c r="P87">
        <v>-501.42709514258797</v>
      </c>
      <c r="Q87">
        <v>1656.6064829986799</v>
      </c>
      <c r="R87">
        <v>86.204032789298296</v>
      </c>
      <c r="S87">
        <v>1.95399414180942</v>
      </c>
      <c r="T87">
        <v>-89.786648759070999</v>
      </c>
      <c r="U87" s="77">
        <v>605.85230000000001</v>
      </c>
      <c r="V87" s="77">
        <v>-501.36079999999998</v>
      </c>
      <c r="W87" s="77">
        <v>1656.5920000000001</v>
      </c>
      <c r="X87" s="77">
        <v>86.209299999999999</v>
      </c>
      <c r="Y87" s="77">
        <v>1.9373</v>
      </c>
      <c r="Z87" s="77">
        <v>-89.620699999999999</v>
      </c>
      <c r="AA87" s="77">
        <f t="shared" si="23"/>
        <v>-5.9988527662992097E-3</v>
      </c>
      <c r="AB87" s="77">
        <f t="shared" si="24"/>
        <v>-2.6100449837791191E-3</v>
      </c>
      <c r="AC87" s="77">
        <f t="shared" si="25"/>
        <v>5.7019679841715967E-4</v>
      </c>
      <c r="AD87" s="77">
        <f>R87-Dataout[[#This Row],[Atp]]</f>
        <v>-5.2672107017031067E-3</v>
      </c>
      <c r="AE87" s="77">
        <f>S87-Dataout[[#This Row],[Btp]]</f>
        <v>1.6694141809419971E-2</v>
      </c>
      <c r="AF87" s="77">
        <f>T87-Dataout[[#This Row],[Ctp]]</f>
        <v>-0.16594875907100004</v>
      </c>
      <c r="AG87" s="77">
        <f t="shared" si="26"/>
        <v>6.5668633089178427E-3</v>
      </c>
      <c r="AH87" s="134">
        <f t="shared" si="27"/>
        <v>0.16686949546437174</v>
      </c>
    </row>
    <row r="88" spans="1:34" x14ac:dyDescent="0.2">
      <c r="A88" s="6" t="s">
        <v>1223</v>
      </c>
      <c r="F88" s="31" t="str">
        <f t="shared" si="28"/>
        <v>P2</v>
      </c>
      <c r="G88" s="21">
        <v>86</v>
      </c>
      <c r="H88">
        <v>29.181481170654202</v>
      </c>
      <c r="I88">
        <v>-81.929404449462893</v>
      </c>
      <c r="J88">
        <v>99.001806640625006</v>
      </c>
      <c r="K88">
        <v>53.522075080871502</v>
      </c>
      <c r="L88">
        <v>-33.2031734466552</v>
      </c>
      <c r="M88">
        <v>-50.785285568237299</v>
      </c>
      <c r="N88">
        <v>10</v>
      </c>
      <c r="O88">
        <v>679.54636371461504</v>
      </c>
      <c r="P88">
        <v>-218.474532317674</v>
      </c>
      <c r="Q88">
        <v>1654.9335227761201</v>
      </c>
      <c r="R88">
        <v>86.217767726884603</v>
      </c>
      <c r="S88">
        <v>1.95390588455381</v>
      </c>
      <c r="T88">
        <v>-89.785411366101698</v>
      </c>
      <c r="U88" s="77">
        <v>679.55600000000004</v>
      </c>
      <c r="V88" s="77">
        <v>-218.43819999999999</v>
      </c>
      <c r="W88" s="77">
        <v>1654.8810000000001</v>
      </c>
      <c r="X88" s="77">
        <v>86.232600000000005</v>
      </c>
      <c r="Y88" s="77">
        <v>1.9406000000000001</v>
      </c>
      <c r="Z88" s="77">
        <v>-89.607699999999994</v>
      </c>
      <c r="AA88" s="77">
        <f t="shared" si="23"/>
        <v>-3.7938131437006338E-4</v>
      </c>
      <c r="AB88" s="77">
        <f t="shared" si="24"/>
        <v>-1.4304062076381722E-3</v>
      </c>
      <c r="AC88" s="77">
        <f t="shared" si="25"/>
        <v>2.0678258314955037E-3</v>
      </c>
      <c r="AD88" s="77">
        <f>R88-Dataout[[#This Row],[Atp]]</f>
        <v>-1.4832273115402472E-2</v>
      </c>
      <c r="AE88" s="77">
        <f>S88-Dataout[[#This Row],[Btp]]</f>
        <v>1.3305884553809877E-2</v>
      </c>
      <c r="AF88" s="77">
        <f>T88-Dataout[[#This Row],[Ctp]]</f>
        <v>-0.17771136610170402</v>
      </c>
      <c r="AG88" s="77">
        <f t="shared" si="26"/>
        <v>2.5428125707458358E-3</v>
      </c>
      <c r="AH88" s="134">
        <f t="shared" si="27"/>
        <v>0.17882497736967026</v>
      </c>
    </row>
    <row r="89" spans="1:34" x14ac:dyDescent="0.2">
      <c r="A89" s="6" t="s">
        <v>1223</v>
      </c>
      <c r="F89" s="31" t="str">
        <f t="shared" si="28"/>
        <v>P2</v>
      </c>
      <c r="G89" s="21">
        <v>87</v>
      </c>
      <c r="H89">
        <v>22.228178691863999</v>
      </c>
      <c r="I89">
        <v>-96.002381896972594</v>
      </c>
      <c r="J89">
        <v>104.354817962646</v>
      </c>
      <c r="K89">
        <v>126.17604789733799</v>
      </c>
      <c r="L89">
        <v>-22.474095535278298</v>
      </c>
      <c r="M89">
        <v>-121.569130325317</v>
      </c>
      <c r="N89">
        <v>10</v>
      </c>
      <c r="O89">
        <v>887.56494550806997</v>
      </c>
      <c r="P89">
        <v>-78.917398541976098</v>
      </c>
      <c r="Q89">
        <v>1646.59569701436</v>
      </c>
      <c r="R89">
        <v>111.27415576239</v>
      </c>
      <c r="S89">
        <v>1.88348625729499</v>
      </c>
      <c r="T89">
        <v>-90.661582329207903</v>
      </c>
      <c r="U89" s="77">
        <v>887.25789999999995</v>
      </c>
      <c r="V89" s="77">
        <v>-78.966300000000004</v>
      </c>
      <c r="W89" s="77">
        <v>1646.3624</v>
      </c>
      <c r="X89" s="77">
        <v>111.2283</v>
      </c>
      <c r="Y89" s="77">
        <v>1.8388</v>
      </c>
      <c r="Z89" s="77">
        <v>-90.474199999999996</v>
      </c>
      <c r="AA89" s="77">
        <f t="shared" si="23"/>
        <v>1.2088405829528288E-2</v>
      </c>
      <c r="AB89" s="77">
        <f t="shared" si="24"/>
        <v>1.9252542529096762E-3</v>
      </c>
      <c r="AC89" s="77">
        <f t="shared" si="25"/>
        <v>9.1849218251970483E-3</v>
      </c>
      <c r="AD89" s="77">
        <f>R89-Dataout[[#This Row],[Atp]]</f>
        <v>4.5855762389990673E-2</v>
      </c>
      <c r="AE89" s="77">
        <f>S89-Dataout[[#This Row],[Btp]]</f>
        <v>4.4686257294989984E-2</v>
      </c>
      <c r="AF89" s="77">
        <f>T89-Dataout[[#This Row],[Ctp]]</f>
        <v>-0.18738232920790665</v>
      </c>
      <c r="AG89" s="77">
        <f t="shared" si="26"/>
        <v>1.5303559990168998E-2</v>
      </c>
      <c r="AH89" s="134">
        <f t="shared" si="27"/>
        <v>0.19801956932278597</v>
      </c>
    </row>
    <row r="90" spans="1:34" x14ac:dyDescent="0.2">
      <c r="A90" s="6" t="s">
        <v>1223</v>
      </c>
      <c r="F90" s="31" t="str">
        <f t="shared" si="28"/>
        <v>P2</v>
      </c>
      <c r="G90" s="21">
        <v>88</v>
      </c>
      <c r="H90">
        <v>9.0890441894531193</v>
      </c>
      <c r="I90">
        <v>-78.171759796142496</v>
      </c>
      <c r="J90">
        <v>95.667462539672798</v>
      </c>
      <c r="K90">
        <v>-19.0794103622436</v>
      </c>
      <c r="L90">
        <v>-25.483811473846401</v>
      </c>
      <c r="M90">
        <v>16.132892131805399</v>
      </c>
      <c r="N90">
        <v>10</v>
      </c>
      <c r="O90">
        <v>1033.97935917319</v>
      </c>
      <c r="P90">
        <v>-373.57334012549899</v>
      </c>
      <c r="Q90">
        <v>1654.97031540433</v>
      </c>
      <c r="R90">
        <v>82.9840202924876</v>
      </c>
      <c r="S90">
        <v>-12.484084451245399</v>
      </c>
      <c r="T90">
        <v>-89.677818224235693</v>
      </c>
      <c r="U90" s="77">
        <v>1034.0688</v>
      </c>
      <c r="V90" s="77">
        <v>-373.61649999999997</v>
      </c>
      <c r="W90" s="77">
        <v>1654.9313</v>
      </c>
      <c r="X90" s="77">
        <v>83.029399999999995</v>
      </c>
      <c r="Y90" s="77">
        <v>-12.4498</v>
      </c>
      <c r="Z90" s="77">
        <v>-89.495400000000004</v>
      </c>
      <c r="AA90" s="77">
        <f t="shared" si="23"/>
        <v>-3.5212923940946884E-3</v>
      </c>
      <c r="AB90" s="77">
        <f t="shared" si="24"/>
        <v>1.6992076575191521E-3</v>
      </c>
      <c r="AC90" s="77">
        <f t="shared" si="25"/>
        <v>1.5360395405523593E-3</v>
      </c>
      <c r="AD90" s="77">
        <f>R90-Dataout[[#This Row],[Atp]]</f>
        <v>-4.5379707512395839E-2</v>
      </c>
      <c r="AE90" s="77">
        <f>S90-Dataout[[#This Row],[Btp]]</f>
        <v>-3.4284451245399694E-2</v>
      </c>
      <c r="AF90" s="77">
        <f>T90-Dataout[[#This Row],[Ctp]]</f>
        <v>-0.18241822423568976</v>
      </c>
      <c r="AG90" s="77">
        <f t="shared" si="26"/>
        <v>4.2007409177692847E-3</v>
      </c>
      <c r="AH90" s="134">
        <f t="shared" si="27"/>
        <v>0.19107891036012103</v>
      </c>
    </row>
    <row r="91" spans="1:34" x14ac:dyDescent="0.2">
      <c r="A91" s="6" t="s">
        <v>1223</v>
      </c>
      <c r="F91" s="31" t="str">
        <f t="shared" si="28"/>
        <v>P2</v>
      </c>
      <c r="G91" s="21">
        <v>89</v>
      </c>
      <c r="H91">
        <v>6.5012409925460801</v>
      </c>
      <c r="I91">
        <v>-75.533926391601497</v>
      </c>
      <c r="J91">
        <v>103.59654045104899</v>
      </c>
      <c r="K91">
        <v>6.6202499866485596</v>
      </c>
      <c r="L91">
        <v>-35.220926475524898</v>
      </c>
      <c r="M91">
        <v>-6.24358961582183</v>
      </c>
      <c r="N91">
        <v>10</v>
      </c>
      <c r="O91">
        <v>1174.6999599715</v>
      </c>
      <c r="P91">
        <v>-387.97335612824901</v>
      </c>
      <c r="Q91">
        <v>1497.60603591022</v>
      </c>
      <c r="R91">
        <v>82.897835993334098</v>
      </c>
      <c r="S91">
        <v>2.08637656237015</v>
      </c>
      <c r="T91">
        <v>-89.7093253662987</v>
      </c>
      <c r="U91" s="77">
        <v>1174.8602000000001</v>
      </c>
      <c r="V91" s="77">
        <v>-387.96</v>
      </c>
      <c r="W91" s="77">
        <v>1497.5907999999999</v>
      </c>
      <c r="X91" s="77">
        <v>82.936099999999996</v>
      </c>
      <c r="Y91" s="77">
        <v>2.1112000000000002</v>
      </c>
      <c r="Z91" s="77">
        <v>-89.505300000000005</v>
      </c>
      <c r="AA91" s="77">
        <f t="shared" si="23"/>
        <v>-6.3086625393733858E-3</v>
      </c>
      <c r="AB91" s="77">
        <f t="shared" si="24"/>
        <v>-5.2583182082791718E-4</v>
      </c>
      <c r="AC91" s="77">
        <f t="shared" si="25"/>
        <v>5.9983898504326603E-4</v>
      </c>
      <c r="AD91" s="77">
        <f>R91-Dataout[[#This Row],[Atp]]</f>
        <v>-3.8264006665897909E-2</v>
      </c>
      <c r="AE91" s="77">
        <f>S91-Dataout[[#This Row],[Btp]]</f>
        <v>-2.4823437629850176E-2</v>
      </c>
      <c r="AF91" s="77">
        <f>T91-Dataout[[#This Row],[Ctp]]</f>
        <v>-0.20402536629869417</v>
      </c>
      <c r="AG91" s="77">
        <f t="shared" si="26"/>
        <v>6.3588936889576947E-3</v>
      </c>
      <c r="AH91" s="134">
        <f t="shared" si="27"/>
        <v>0.20906144397092274</v>
      </c>
    </row>
    <row r="92" spans="1:34" x14ac:dyDescent="0.2">
      <c r="A92" s="6" t="s">
        <v>1223</v>
      </c>
      <c r="F92" s="31" t="str">
        <f t="shared" si="28"/>
        <v>P2</v>
      </c>
      <c r="G92" s="21">
        <v>90</v>
      </c>
      <c r="H92">
        <v>-4.6086085081100396</v>
      </c>
      <c r="I92">
        <v>-75.603024673461903</v>
      </c>
      <c r="J92">
        <v>102.65893440246499</v>
      </c>
      <c r="K92">
        <v>-17.206495666503901</v>
      </c>
      <c r="L92">
        <v>-24.819909954071001</v>
      </c>
      <c r="M92">
        <v>14.929157400131199</v>
      </c>
      <c r="N92">
        <v>10</v>
      </c>
      <c r="O92">
        <v>1437.44819082914</v>
      </c>
      <c r="P92">
        <v>-383.52592261686499</v>
      </c>
      <c r="Q92">
        <v>1455.5178793081</v>
      </c>
      <c r="R92">
        <v>93.059324116354105</v>
      </c>
      <c r="S92">
        <v>2.1110634037128801</v>
      </c>
      <c r="T92">
        <v>-90.050615923088202</v>
      </c>
      <c r="U92" s="77">
        <v>1437.5266999999999</v>
      </c>
      <c r="V92" s="77">
        <v>-383.51580000000001</v>
      </c>
      <c r="W92" s="77">
        <v>1455.5279</v>
      </c>
      <c r="X92" s="77">
        <v>93.101900000000001</v>
      </c>
      <c r="Y92" s="77">
        <v>2.1429</v>
      </c>
      <c r="Z92" s="77">
        <v>-89.883399999999995</v>
      </c>
      <c r="AA92" s="77">
        <f t="shared" si="23"/>
        <v>-3.0909122385782833E-3</v>
      </c>
      <c r="AB92" s="77">
        <f t="shared" si="24"/>
        <v>-3.9852822303054931E-4</v>
      </c>
      <c r="AC92" s="77">
        <f t="shared" si="25"/>
        <v>-3.94515429137053E-4</v>
      </c>
      <c r="AD92" s="77">
        <f>R92-Dataout[[#This Row],[Atp]]</f>
        <v>-4.2575883645895374E-2</v>
      </c>
      <c r="AE92" s="77">
        <f>S92-Dataout[[#This Row],[Btp]]</f>
        <v>-3.1836596287119878E-2</v>
      </c>
      <c r="AF92" s="77">
        <f>T92-Dataout[[#This Row],[Ctp]]</f>
        <v>-0.16721592308820732</v>
      </c>
      <c r="AG92" s="77">
        <f t="shared" si="26"/>
        <v>3.1413700251597385E-3</v>
      </c>
      <c r="AH92" s="134">
        <f t="shared" si="27"/>
        <v>0.17546349952516946</v>
      </c>
    </row>
    <row r="93" spans="1:34" x14ac:dyDescent="0.2">
      <c r="A93" s="6" t="s">
        <v>1223</v>
      </c>
      <c r="F93" s="31" t="str">
        <f t="shared" si="28"/>
        <v>P2</v>
      </c>
      <c r="G93" s="21">
        <v>91</v>
      </c>
      <c r="H93">
        <v>-6.5424912452697699</v>
      </c>
      <c r="I93">
        <v>-89.951095581054602</v>
      </c>
      <c r="J93">
        <v>129.565418243408</v>
      </c>
      <c r="K93">
        <v>-15.0864154815673</v>
      </c>
      <c r="L93">
        <v>-37.317528533935501</v>
      </c>
      <c r="M93">
        <v>11.2294925689697</v>
      </c>
      <c r="N93">
        <v>10</v>
      </c>
      <c r="O93">
        <v>1427.0391280098199</v>
      </c>
      <c r="P93">
        <v>-97.704272538442595</v>
      </c>
      <c r="Q93">
        <v>1315.76313903137</v>
      </c>
      <c r="R93">
        <v>93.065318059678106</v>
      </c>
      <c r="S93">
        <v>2.1116875951662202</v>
      </c>
      <c r="T93">
        <v>-90.086740761506704</v>
      </c>
      <c r="U93" s="77">
        <v>1427.0922</v>
      </c>
      <c r="V93" s="77">
        <v>-97.741699999999994</v>
      </c>
      <c r="W93" s="77">
        <v>1315.6457</v>
      </c>
      <c r="X93" s="77">
        <v>93.118200000000002</v>
      </c>
      <c r="Y93" s="77">
        <v>2.141</v>
      </c>
      <c r="Z93" s="77">
        <v>-89.884600000000006</v>
      </c>
      <c r="AA93" s="77">
        <f t="shared" si="23"/>
        <v>-2.0894484322879874E-3</v>
      </c>
      <c r="AB93" s="77">
        <f t="shared" si="24"/>
        <v>1.4735221085590358E-3</v>
      </c>
      <c r="AC93" s="77">
        <f t="shared" si="25"/>
        <v>4.6235839122023819E-3</v>
      </c>
      <c r="AD93" s="77">
        <f>R93-Dataout[[#This Row],[Atp]]</f>
        <v>-5.2881940321896082E-2</v>
      </c>
      <c r="AE93" s="77">
        <f>S93-Dataout[[#This Row],[Btp]]</f>
        <v>-2.9312404833779837E-2</v>
      </c>
      <c r="AF93" s="77">
        <f>T93-Dataout[[#This Row],[Ctp]]</f>
        <v>-0.20214076150669769</v>
      </c>
      <c r="AG93" s="77">
        <f t="shared" si="26"/>
        <v>5.2834260048551527E-3</v>
      </c>
      <c r="AH93" s="134">
        <f t="shared" si="27"/>
        <v>0.21098958304109616</v>
      </c>
    </row>
    <row r="94" spans="1:34" x14ac:dyDescent="0.2">
      <c r="A94" s="6" t="s">
        <v>1223</v>
      </c>
      <c r="F94" s="31" t="str">
        <f t="shared" si="28"/>
        <v>P2</v>
      </c>
      <c r="G94" s="21">
        <v>92</v>
      </c>
      <c r="H94">
        <v>24.297059822082499</v>
      </c>
      <c r="I94">
        <v>-85.475764465332006</v>
      </c>
      <c r="J94">
        <v>124.99056854248001</v>
      </c>
      <c r="K94">
        <v>33.8116285324096</v>
      </c>
      <c r="L94">
        <v>-41.278853988647398</v>
      </c>
      <c r="M94">
        <v>-25.821327495574899</v>
      </c>
      <c r="N94">
        <v>10</v>
      </c>
      <c r="O94">
        <v>834.14176061371097</v>
      </c>
      <c r="P94">
        <v>-119.63067974781001</v>
      </c>
      <c r="Q94">
        <v>1315.2306390316801</v>
      </c>
      <c r="R94">
        <v>93.053489707374297</v>
      </c>
      <c r="S94">
        <v>2.12017117326904</v>
      </c>
      <c r="T94">
        <v>-90.087431157913798</v>
      </c>
      <c r="U94" s="77">
        <v>834.19330000000002</v>
      </c>
      <c r="V94" s="77">
        <v>-119.63679999999999</v>
      </c>
      <c r="W94" s="77">
        <v>1315.1590000000001</v>
      </c>
      <c r="X94" s="77">
        <v>93.092699999999994</v>
      </c>
      <c r="Y94" s="77">
        <v>2.1257000000000001</v>
      </c>
      <c r="Z94" s="77">
        <v>-89.866900000000001</v>
      </c>
      <c r="AA94" s="77">
        <f t="shared" si="23"/>
        <v>-2.0291096964193118E-3</v>
      </c>
      <c r="AB94" s="77">
        <f t="shared" si="24"/>
        <v>2.4095481062941893E-4</v>
      </c>
      <c r="AC94" s="77">
        <f t="shared" si="25"/>
        <v>2.8204343181094044E-3</v>
      </c>
      <c r="AD94" s="77">
        <f>R94-Dataout[[#This Row],[Atp]]</f>
        <v>-3.9210292625696752E-2</v>
      </c>
      <c r="AE94" s="77">
        <f>S94-Dataout[[#This Row],[Btp]]</f>
        <v>-5.5288267309601125E-3</v>
      </c>
      <c r="AF94" s="77">
        <f>T94-Dataout[[#This Row],[Ctp]]</f>
        <v>-0.22053115791379696</v>
      </c>
      <c r="AG94" s="77">
        <f t="shared" si="26"/>
        <v>3.4828429656873121E-3</v>
      </c>
      <c r="AH94" s="134">
        <f t="shared" si="27"/>
        <v>0.22405804288981415</v>
      </c>
    </row>
    <row r="95" spans="1:34" x14ac:dyDescent="0.2">
      <c r="A95" s="6" t="s">
        <v>1223</v>
      </c>
      <c r="F95" s="31" t="str">
        <f t="shared" si="28"/>
        <v>P2</v>
      </c>
      <c r="G95" s="21">
        <v>93</v>
      </c>
      <c r="H95">
        <v>19.3250493049621</v>
      </c>
      <c r="I95">
        <v>-61.886388206481897</v>
      </c>
      <c r="J95">
        <v>117.674150848388</v>
      </c>
      <c r="K95">
        <v>20.650960540771401</v>
      </c>
      <c r="L95">
        <v>-54.293087005615199</v>
      </c>
      <c r="M95">
        <v>-11.7941771030426</v>
      </c>
      <c r="N95">
        <v>10</v>
      </c>
      <c r="O95">
        <v>880.68036876622898</v>
      </c>
      <c r="P95">
        <v>-331.96609915980798</v>
      </c>
      <c r="Q95">
        <v>1029.89382326653</v>
      </c>
      <c r="R95">
        <v>93.051673263617005</v>
      </c>
      <c r="S95">
        <v>2.12630141540409</v>
      </c>
      <c r="T95">
        <v>-90.051781549882804</v>
      </c>
      <c r="U95" s="77">
        <v>880.71349999999995</v>
      </c>
      <c r="V95" s="77">
        <v>-331.9402</v>
      </c>
      <c r="W95" s="77">
        <v>1029.9727</v>
      </c>
      <c r="X95" s="77">
        <v>93.088499999999996</v>
      </c>
      <c r="Y95" s="77">
        <v>2.1313</v>
      </c>
      <c r="Z95" s="77">
        <v>-89.871200000000002</v>
      </c>
      <c r="AA95" s="77">
        <f t="shared" si="23"/>
        <v>-1.3043792823217821E-3</v>
      </c>
      <c r="AB95" s="77">
        <f t="shared" si="24"/>
        <v>-1.0196519609439927E-3</v>
      </c>
      <c r="AC95" s="77">
        <f t="shared" si="25"/>
        <v>-3.1053832074801929E-3</v>
      </c>
      <c r="AD95" s="77">
        <f>R95-Dataout[[#This Row],[Atp]]</f>
        <v>-3.6826736382991498E-2</v>
      </c>
      <c r="AE95" s="77">
        <f>S95-Dataout[[#This Row],[Btp]]</f>
        <v>-4.9985845959099606E-3</v>
      </c>
      <c r="AF95" s="77">
        <f>T95-Dataout[[#This Row],[Ctp]]</f>
        <v>-0.18058154988280251</v>
      </c>
      <c r="AG95" s="77">
        <f t="shared" si="26"/>
        <v>3.5191618744961402E-3</v>
      </c>
      <c r="AH95" s="134">
        <f t="shared" si="27"/>
        <v>0.18436618594161974</v>
      </c>
    </row>
    <row r="96" spans="1:34" x14ac:dyDescent="0.2">
      <c r="A96" s="6" t="s">
        <v>1223</v>
      </c>
      <c r="F96" s="31" t="str">
        <f t="shared" si="28"/>
        <v>P2</v>
      </c>
      <c r="G96" s="21">
        <v>94</v>
      </c>
      <c r="H96">
        <v>19.757082557678199</v>
      </c>
      <c r="I96">
        <v>-50.252222824096599</v>
      </c>
      <c r="J96">
        <v>119.220181655883</v>
      </c>
      <c r="K96">
        <v>20.144704914093001</v>
      </c>
      <c r="L96">
        <v>-66.950550079345703</v>
      </c>
      <c r="M96">
        <v>-7.5116165161132802</v>
      </c>
      <c r="N96">
        <v>10</v>
      </c>
      <c r="O96">
        <v>880.47190487873502</v>
      </c>
      <c r="P96">
        <v>-320.58271803543499</v>
      </c>
      <c r="Q96">
        <v>816.73193343955404</v>
      </c>
      <c r="R96">
        <v>93.060162276046398</v>
      </c>
      <c r="S96">
        <v>3.4978625724483301</v>
      </c>
      <c r="T96">
        <v>-90.048884137676197</v>
      </c>
      <c r="U96" s="77">
        <v>880.42740000000003</v>
      </c>
      <c r="V96" s="77">
        <v>-320.56560000000002</v>
      </c>
      <c r="W96" s="77">
        <v>816.81129999999996</v>
      </c>
      <c r="X96" s="77">
        <v>93.0946</v>
      </c>
      <c r="Y96" s="77">
        <v>3.5095000000000001</v>
      </c>
      <c r="Z96" s="77">
        <v>-89.869</v>
      </c>
      <c r="AA96" s="77">
        <f t="shared" si="23"/>
        <v>1.7521605801174536E-3</v>
      </c>
      <c r="AB96" s="77">
        <f t="shared" si="24"/>
        <v>-6.7393840295180345E-4</v>
      </c>
      <c r="AC96" s="77">
        <f t="shared" si="25"/>
        <v>-3.1246677340913101E-3</v>
      </c>
      <c r="AD96" s="77">
        <f>R96-Dataout[[#This Row],[Atp]]</f>
        <v>-3.4437723953601562E-2</v>
      </c>
      <c r="AE96" s="77">
        <f>S96-Dataout[[#This Row],[Btp]]</f>
        <v>-1.1637427551669965E-2</v>
      </c>
      <c r="AF96" s="77">
        <f>T96-Dataout[[#This Row],[Ctp]]</f>
        <v>-0.17988413767619704</v>
      </c>
      <c r="AG96" s="77">
        <f t="shared" si="26"/>
        <v>3.6452445895936918E-3</v>
      </c>
      <c r="AH96" s="134">
        <f t="shared" si="27"/>
        <v>0.18352027010287947</v>
      </c>
    </row>
    <row r="97" spans="1:34" x14ac:dyDescent="0.2">
      <c r="A97" s="6" t="s">
        <v>1223</v>
      </c>
      <c r="F97" s="31" t="str">
        <f t="shared" si="28"/>
        <v>P2</v>
      </c>
      <c r="G97" s="21">
        <v>95</v>
      </c>
      <c r="H97">
        <v>24.7975717544555</v>
      </c>
      <c r="I97">
        <v>-46.702282714843697</v>
      </c>
      <c r="J97">
        <v>125.28422012329101</v>
      </c>
      <c r="K97">
        <v>38.693571662902798</v>
      </c>
      <c r="L97">
        <v>-77.9710693359375</v>
      </c>
      <c r="M97">
        <v>-8.2346184253692591</v>
      </c>
      <c r="N97">
        <v>10</v>
      </c>
      <c r="O97">
        <v>875.56479110325301</v>
      </c>
      <c r="P97">
        <v>-190.31608552550301</v>
      </c>
      <c r="Q97">
        <v>721.03882737508502</v>
      </c>
      <c r="R97">
        <v>93.071261612034505</v>
      </c>
      <c r="S97">
        <v>17.659089326713701</v>
      </c>
      <c r="T97">
        <v>-90.044132200558494</v>
      </c>
      <c r="U97" s="77">
        <v>875.68020000000001</v>
      </c>
      <c r="V97" s="77">
        <v>-190.28649999999999</v>
      </c>
      <c r="W97" s="77">
        <v>721.05780000000004</v>
      </c>
      <c r="X97" s="77">
        <v>93.123400000000004</v>
      </c>
      <c r="Y97" s="77">
        <v>17.699300000000001</v>
      </c>
      <c r="Z97" s="77">
        <v>-89.87</v>
      </c>
      <c r="AA97" s="77">
        <f t="shared" si="23"/>
        <v>-4.5436573522440486E-3</v>
      </c>
      <c r="AB97" s="77">
        <f t="shared" si="24"/>
        <v>-1.1647844686229643E-3</v>
      </c>
      <c r="AC97" s="77">
        <f t="shared" si="25"/>
        <v>-7.4695373681191364E-4</v>
      </c>
      <c r="AD97" s="77">
        <f>R97-Dataout[[#This Row],[Atp]]</f>
        <v>-5.2138387965499078E-2</v>
      </c>
      <c r="AE97" s="77">
        <f>S97-Dataout[[#This Row],[Btp]]</f>
        <v>-4.0210673286299681E-2</v>
      </c>
      <c r="AF97" s="77">
        <f>T97-Dataout[[#This Row],[Ctp]]</f>
        <v>-0.1741322005584891</v>
      </c>
      <c r="AG97" s="77">
        <f t="shared" si="26"/>
        <v>4.7496826081206691E-3</v>
      </c>
      <c r="AH97" s="134">
        <f t="shared" si="27"/>
        <v>0.18616480069315011</v>
      </c>
    </row>
    <row r="98" spans="1:34" x14ac:dyDescent="0.2">
      <c r="A98" s="6" t="s">
        <v>1223</v>
      </c>
      <c r="F98" s="31" t="str">
        <f t="shared" si="28"/>
        <v>P2</v>
      </c>
      <c r="G98" s="21">
        <v>96</v>
      </c>
      <c r="H98">
        <v>14.9812403202056</v>
      </c>
      <c r="I98">
        <v>-41.841528129577597</v>
      </c>
      <c r="J98">
        <v>113.574098968505</v>
      </c>
      <c r="K98">
        <v>29.6584700584411</v>
      </c>
      <c r="L98">
        <v>-70.927994155883795</v>
      </c>
      <c r="M98">
        <v>-10.049695444107</v>
      </c>
      <c r="N98">
        <v>10</v>
      </c>
      <c r="O98">
        <v>1055.1774287698399</v>
      </c>
      <c r="P98">
        <v>-383.92994663600899</v>
      </c>
      <c r="Q98">
        <v>710.52247330683701</v>
      </c>
      <c r="R98">
        <v>93.071221295793507</v>
      </c>
      <c r="S98">
        <v>17.676259576308599</v>
      </c>
      <c r="T98">
        <v>-90.089650008190404</v>
      </c>
      <c r="U98" s="77">
        <v>1055.2163</v>
      </c>
      <c r="V98" s="77">
        <v>-383.92540000000002</v>
      </c>
      <c r="W98" s="77">
        <v>710.56020000000001</v>
      </c>
      <c r="X98" s="77">
        <v>93.1126</v>
      </c>
      <c r="Y98" s="77">
        <v>17.693999999999999</v>
      </c>
      <c r="Z98" s="77">
        <v>-89.876400000000004</v>
      </c>
      <c r="AA98" s="77">
        <f t="shared" si="23"/>
        <v>-1.5303633921303834E-3</v>
      </c>
      <c r="AB98" s="77">
        <f t="shared" si="24"/>
        <v>-1.7900141767589184E-4</v>
      </c>
      <c r="AC98" s="77">
        <f t="shared" si="25"/>
        <v>-1.4853028804328624E-3</v>
      </c>
      <c r="AD98" s="77">
        <f>R98-Dataout[[#This Row],[Atp]]</f>
        <v>-4.1378704206493921E-2</v>
      </c>
      <c r="AE98" s="77">
        <f>S98-Dataout[[#This Row],[Btp]]</f>
        <v>-1.7740423691400053E-2</v>
      </c>
      <c r="AF98" s="77">
        <f>T98-Dataout[[#This Row],[Ctp]]</f>
        <v>-0.21325000819039985</v>
      </c>
      <c r="AG98" s="77">
        <f t="shared" si="26"/>
        <v>2.1401351046429172E-3</v>
      </c>
      <c r="AH98" s="134">
        <f t="shared" si="27"/>
        <v>0.21795064989066792</v>
      </c>
    </row>
    <row r="99" spans="1:34" x14ac:dyDescent="0.2">
      <c r="A99" s="6" t="s">
        <v>1223</v>
      </c>
      <c r="F99" s="31" t="str">
        <f t="shared" si="28"/>
        <v>P2</v>
      </c>
      <c r="G99" s="21">
        <v>97</v>
      </c>
      <c r="H99">
        <v>4.90643591880798</v>
      </c>
      <c r="I99">
        <v>-34.286264038085903</v>
      </c>
      <c r="J99">
        <v>115.159991455078</v>
      </c>
      <c r="K99">
        <v>3.2934328913688602</v>
      </c>
      <c r="L99">
        <v>-77.717019653320307</v>
      </c>
      <c r="M99">
        <v>-0.899966669082641</v>
      </c>
      <c r="N99">
        <v>10</v>
      </c>
      <c r="O99">
        <v>1216.54435804332</v>
      </c>
      <c r="P99">
        <v>-367.78277351991102</v>
      </c>
      <c r="Q99">
        <v>567.79154690775601</v>
      </c>
      <c r="R99">
        <v>93.058494848085999</v>
      </c>
      <c r="S99">
        <v>3.0063924523288801</v>
      </c>
      <c r="T99">
        <v>-90.046315919064995</v>
      </c>
      <c r="U99" s="77">
        <v>1216.5985000000001</v>
      </c>
      <c r="V99" s="77">
        <v>-367.78649999999999</v>
      </c>
      <c r="W99" s="77">
        <v>567.76570000000004</v>
      </c>
      <c r="X99" s="77">
        <v>93.096900000000005</v>
      </c>
      <c r="Y99" s="77">
        <v>3.0358000000000001</v>
      </c>
      <c r="Z99" s="77">
        <v>-89.870800000000003</v>
      </c>
      <c r="AA99" s="77">
        <f t="shared" si="23"/>
        <v>-2.1315730976394251E-3</v>
      </c>
      <c r="AB99" s="77">
        <f t="shared" si="24"/>
        <v>1.4671181452644033E-4</v>
      </c>
      <c r="AC99" s="77">
        <f t="shared" si="25"/>
        <v>1.0175947935423875E-3</v>
      </c>
      <c r="AD99" s="77">
        <f>R99-Dataout[[#This Row],[Atp]]</f>
        <v>-3.8405151914005842E-2</v>
      </c>
      <c r="AE99" s="77">
        <f>S99-Dataout[[#This Row],[Btp]]</f>
        <v>-2.9407547671119971E-2</v>
      </c>
      <c r="AF99" s="77">
        <f>T99-Dataout[[#This Row],[Ctp]]</f>
        <v>-0.17551591906499198</v>
      </c>
      <c r="AG99" s="77">
        <f t="shared" si="26"/>
        <v>2.3665644700591507E-3</v>
      </c>
      <c r="AH99" s="134">
        <f t="shared" si="27"/>
        <v>0.1820593238447179</v>
      </c>
    </row>
    <row r="100" spans="1:34" x14ac:dyDescent="0.2">
      <c r="A100" s="6" t="s">
        <v>1223</v>
      </c>
      <c r="F100" s="31" t="str">
        <f t="shared" si="28"/>
        <v>P2</v>
      </c>
      <c r="G100" s="21">
        <v>98</v>
      </c>
      <c r="H100">
        <v>-14.4958346843719</v>
      </c>
      <c r="I100">
        <v>-33.093097305297803</v>
      </c>
      <c r="J100">
        <v>110.799879455566</v>
      </c>
      <c r="K100">
        <v>-16.716701889037999</v>
      </c>
      <c r="L100">
        <v>-75.0404964447021</v>
      </c>
      <c r="M100">
        <v>3.1254958868026699</v>
      </c>
      <c r="N100">
        <v>10</v>
      </c>
      <c r="O100">
        <v>1674.7515019493601</v>
      </c>
      <c r="P100">
        <v>-343.60727578258297</v>
      </c>
      <c r="Q100">
        <v>568.59096390081095</v>
      </c>
      <c r="R100">
        <v>93.056620357596302</v>
      </c>
      <c r="S100">
        <v>3.0097220921123</v>
      </c>
      <c r="T100">
        <v>-90.045391847272796</v>
      </c>
      <c r="U100" s="77">
        <v>1674.787</v>
      </c>
      <c r="V100" s="77">
        <v>-343.61680000000001</v>
      </c>
      <c r="W100" s="77">
        <v>568.54169999999999</v>
      </c>
      <c r="X100" s="77">
        <v>93.092299999999994</v>
      </c>
      <c r="Y100" s="77">
        <v>3.0318000000000001</v>
      </c>
      <c r="Z100" s="77">
        <v>-89.873500000000007</v>
      </c>
      <c r="AA100" s="77">
        <f t="shared" si="23"/>
        <v>-1.3975610488167034E-3</v>
      </c>
      <c r="AB100" s="77">
        <f t="shared" si="24"/>
        <v>3.7496918964716603E-4</v>
      </c>
      <c r="AC100" s="77">
        <f t="shared" si="25"/>
        <v>1.9395236539746586E-3</v>
      </c>
      <c r="AD100" s="77">
        <f>R100-Dataout[[#This Row],[Atp]]</f>
        <v>-3.5679642403692924E-2</v>
      </c>
      <c r="AE100" s="77">
        <f>S100-Dataout[[#This Row],[Btp]]</f>
        <v>-2.2077907887700032E-2</v>
      </c>
      <c r="AF100" s="77">
        <f>T100-Dataout[[#This Row],[Ctp]]</f>
        <v>-0.17189184727278928</v>
      </c>
      <c r="AG100" s="77">
        <f t="shared" si="26"/>
        <v>2.4198204029806649E-3</v>
      </c>
      <c r="AH100" s="134">
        <f t="shared" si="27"/>
        <v>0.1769386279408911</v>
      </c>
    </row>
    <row r="101" spans="1:34" x14ac:dyDescent="0.2">
      <c r="A101" s="6" t="s">
        <v>1223</v>
      </c>
      <c r="F101" s="31" t="str">
        <f t="shared" si="28"/>
        <v>P2</v>
      </c>
      <c r="G101" s="21">
        <v>99</v>
      </c>
      <c r="H101">
        <v>-17.314253234863202</v>
      </c>
      <c r="I101">
        <v>-41.103735923766997</v>
      </c>
      <c r="J101">
        <v>110.20088577270501</v>
      </c>
      <c r="K101">
        <v>-35.715184783935499</v>
      </c>
      <c r="L101">
        <v>-69.580245590209898</v>
      </c>
      <c r="M101">
        <v>12.371803283691399</v>
      </c>
      <c r="N101">
        <v>10</v>
      </c>
      <c r="O101">
        <v>1674.99177880051</v>
      </c>
      <c r="P101">
        <v>-351.66172305602601</v>
      </c>
      <c r="Q101">
        <v>719.61111607506996</v>
      </c>
      <c r="R101">
        <v>93.048720693270198</v>
      </c>
      <c r="S101">
        <v>-11.2514179329896</v>
      </c>
      <c r="T101">
        <v>-90.048675172526799</v>
      </c>
      <c r="U101" s="77">
        <v>1674.9657999999999</v>
      </c>
      <c r="V101" s="77">
        <v>-351.67439999999999</v>
      </c>
      <c r="W101" s="77">
        <v>719.70709999999997</v>
      </c>
      <c r="X101" s="77">
        <v>93.075800000000001</v>
      </c>
      <c r="Y101" s="77">
        <v>-11.228</v>
      </c>
      <c r="Z101" s="77">
        <v>-89.868700000000004</v>
      </c>
      <c r="AA101" s="77">
        <f t="shared" si="23"/>
        <v>1.0227874216564767E-3</v>
      </c>
      <c r="AB101" s="77">
        <f t="shared" si="24"/>
        <v>4.9909228244039369E-4</v>
      </c>
      <c r="AC101" s="77">
        <f t="shared" si="25"/>
        <v>-3.7788946822838697E-3</v>
      </c>
      <c r="AD101" s="77">
        <f>R101-Dataout[[#This Row],[Atp]]</f>
        <v>-2.7079306729802965E-2</v>
      </c>
      <c r="AE101" s="77">
        <f>S101-Dataout[[#This Row],[Btp]]</f>
        <v>-2.3417932989600487E-2</v>
      </c>
      <c r="AF101" s="77">
        <f>T101-Dataout[[#This Row],[Ctp]]</f>
        <v>-0.17997517252679529</v>
      </c>
      <c r="AG101" s="77">
        <f t="shared" si="26"/>
        <v>3.946546874938086E-3</v>
      </c>
      <c r="AH101" s="134">
        <f t="shared" si="27"/>
        <v>0.18350136556582325</v>
      </c>
    </row>
    <row r="102" spans="1:34" x14ac:dyDescent="0.2">
      <c r="A102" s="6" t="s">
        <v>1223</v>
      </c>
      <c r="F102" s="31" t="str">
        <f t="shared" si="28"/>
        <v>P2</v>
      </c>
      <c r="G102" s="21">
        <v>100</v>
      </c>
      <c r="H102">
        <v>-8.0839439868927006</v>
      </c>
      <c r="I102">
        <v>-47.519961547851501</v>
      </c>
      <c r="J102">
        <v>120.90804023742599</v>
      </c>
      <c r="K102">
        <v>-26.267746067047099</v>
      </c>
      <c r="L102">
        <v>-65.389358901977502</v>
      </c>
      <c r="M102">
        <v>7.7132288455963103</v>
      </c>
      <c r="N102">
        <v>10</v>
      </c>
      <c r="O102">
        <v>1429.69645189059</v>
      </c>
      <c r="P102">
        <v>-302.96854021686897</v>
      </c>
      <c r="Q102">
        <v>722.44808794429503</v>
      </c>
      <c r="R102">
        <v>99.597811401937307</v>
      </c>
      <c r="S102">
        <v>-11.199057612871799</v>
      </c>
      <c r="T102">
        <v>-88.814380452570404</v>
      </c>
      <c r="U102" s="77">
        <v>1429.6790000000001</v>
      </c>
      <c r="V102" s="77">
        <v>-302.97579999999999</v>
      </c>
      <c r="W102" s="77">
        <v>722.56320000000005</v>
      </c>
      <c r="X102" s="77">
        <v>99.626599999999996</v>
      </c>
      <c r="Y102" s="77">
        <v>-11.165900000000001</v>
      </c>
      <c r="Z102" s="77">
        <v>-88.596900000000005</v>
      </c>
      <c r="AA102" s="77">
        <f t="shared" si="23"/>
        <v>6.8708230668827438E-4</v>
      </c>
      <c r="AB102" s="77">
        <f t="shared" si="24"/>
        <v>2.8581823350468696E-4</v>
      </c>
      <c r="AC102" s="77">
        <f t="shared" si="25"/>
        <v>-4.5319706970482774E-3</v>
      </c>
      <c r="AD102" s="77">
        <f>R102-Dataout[[#This Row],[Atp]]</f>
        <v>-2.878859806268963E-2</v>
      </c>
      <c r="AE102" s="77">
        <f>S102-Dataout[[#This Row],[Btp]]</f>
        <v>-3.3157612871798747E-2</v>
      </c>
      <c r="AF102" s="77">
        <f>T102-Dataout[[#This Row],[Ctp]]</f>
        <v>-0.21748045257039905</v>
      </c>
      <c r="AG102" s="77">
        <f t="shared" si="26"/>
        <v>4.592660727472918E-3</v>
      </c>
      <c r="AH102" s="134">
        <f t="shared" si="27"/>
        <v>0.22186923608287104</v>
      </c>
    </row>
    <row r="103" spans="1:34" x14ac:dyDescent="0.2">
      <c r="A103" s="6" t="s">
        <v>1223</v>
      </c>
      <c r="F103" s="31" t="str">
        <f t="shared" si="28"/>
        <v>P2</v>
      </c>
      <c r="G103" s="21">
        <v>101</v>
      </c>
      <c r="H103">
        <v>-7.0441500425338699</v>
      </c>
      <c r="I103">
        <v>-60.699806785583498</v>
      </c>
      <c r="J103">
        <v>116.71135292053199</v>
      </c>
      <c r="K103">
        <v>-27.290118980407701</v>
      </c>
      <c r="L103">
        <v>-58.134827613830502</v>
      </c>
      <c r="M103">
        <v>22.812096214294399</v>
      </c>
      <c r="N103">
        <v>10</v>
      </c>
      <c r="O103">
        <v>1423.2783547884601</v>
      </c>
      <c r="P103">
        <v>-353.74602898075898</v>
      </c>
      <c r="Q103">
        <v>1030.3763424010899</v>
      </c>
      <c r="R103">
        <v>90.769756497742506</v>
      </c>
      <c r="S103">
        <v>-11.2408065295601</v>
      </c>
      <c r="T103">
        <v>-98.115031512383496</v>
      </c>
      <c r="U103" s="77">
        <v>1423.2535</v>
      </c>
      <c r="V103" s="77">
        <v>-353.7321</v>
      </c>
      <c r="W103" s="77">
        <v>1030.4601</v>
      </c>
      <c r="X103" s="77">
        <v>90.811000000000007</v>
      </c>
      <c r="Y103" s="77">
        <v>-11.202999999999999</v>
      </c>
      <c r="Z103" s="77">
        <v>-97.931700000000006</v>
      </c>
      <c r="AA103" s="77">
        <f t="shared" si="23"/>
        <v>9.7853497874256581E-4</v>
      </c>
      <c r="AB103" s="77">
        <f t="shared" si="24"/>
        <v>-5.4838506925103132E-4</v>
      </c>
      <c r="AC103" s="77">
        <f t="shared" si="25"/>
        <v>-3.2975432641770444E-3</v>
      </c>
      <c r="AD103" s="77">
        <f>R103-Dataout[[#This Row],[Atp]]</f>
        <v>-4.1243502257501063E-2</v>
      </c>
      <c r="AE103" s="77">
        <f>S103-Dataout[[#This Row],[Btp]]</f>
        <v>-3.7806529560100444E-2</v>
      </c>
      <c r="AF103" s="77">
        <f>T103-Dataout[[#This Row],[Ctp]]</f>
        <v>-0.18333151238348933</v>
      </c>
      <c r="AG103" s="77">
        <f t="shared" si="26"/>
        <v>3.4831090232606229E-3</v>
      </c>
      <c r="AH103" s="134">
        <f t="shared" si="27"/>
        <v>0.19167890752156522</v>
      </c>
    </row>
    <row r="104" spans="1:34" x14ac:dyDescent="0.2">
      <c r="A104" s="6" t="s">
        <v>1223</v>
      </c>
      <c r="F104" s="31" t="str">
        <f t="shared" si="28"/>
        <v>P2</v>
      </c>
      <c r="G104" s="21">
        <v>102</v>
      </c>
      <c r="H104">
        <v>-25.409326934814398</v>
      </c>
      <c r="I104">
        <v>-65.023278427123998</v>
      </c>
      <c r="J104">
        <v>127.92195777892999</v>
      </c>
      <c r="K104">
        <v>-44.890480232238701</v>
      </c>
      <c r="L104">
        <v>-69.112988281249997</v>
      </c>
      <c r="M104">
        <v>26.720832729339499</v>
      </c>
      <c r="N104">
        <v>10</v>
      </c>
      <c r="O104">
        <v>1757.34408129758</v>
      </c>
      <c r="P104">
        <v>-84.997756150088193</v>
      </c>
      <c r="Q104">
        <v>994.49297029714398</v>
      </c>
      <c r="R104">
        <v>90.778255231114301</v>
      </c>
      <c r="S104">
        <v>-11.239608166789701</v>
      </c>
      <c r="T104">
        <v>-98.121831482026096</v>
      </c>
      <c r="U104" s="77">
        <v>1757.3658</v>
      </c>
      <c r="V104" s="77">
        <v>-84.973600000000005</v>
      </c>
      <c r="W104" s="77">
        <v>994.54750000000001</v>
      </c>
      <c r="X104" s="77">
        <v>90.818399999999997</v>
      </c>
      <c r="Y104" s="77">
        <v>-11.207100000000001</v>
      </c>
      <c r="Z104" s="77">
        <v>-97.934600000000003</v>
      </c>
      <c r="AA104" s="77">
        <f t="shared" si="23"/>
        <v>-8.5506702440956513E-4</v>
      </c>
      <c r="AB104" s="77">
        <f t="shared" si="24"/>
        <v>-9.5102953103104763E-4</v>
      </c>
      <c r="AC104" s="77">
        <f t="shared" si="25"/>
        <v>-2.1468386951192862E-3</v>
      </c>
      <c r="AD104" s="77">
        <f>R104-Dataout[[#This Row],[Atp]]</f>
        <v>-4.014476888569618E-2</v>
      </c>
      <c r="AE104" s="77">
        <f>S104-Dataout[[#This Row],[Btp]]</f>
        <v>-3.2508166789700255E-2</v>
      </c>
      <c r="AF104" s="77">
        <f>T104-Dataout[[#This Row],[Ctp]]</f>
        <v>-0.18723148202609252</v>
      </c>
      <c r="AG104" s="77">
        <f t="shared" si="26"/>
        <v>2.498902392649069E-3</v>
      </c>
      <c r="AH104" s="134">
        <f t="shared" si="27"/>
        <v>0.19422670063253386</v>
      </c>
    </row>
    <row r="105" spans="1:34" x14ac:dyDescent="0.2">
      <c r="A105" s="6" t="s">
        <v>1223</v>
      </c>
      <c r="F105" s="31" t="str">
        <f t="shared" si="28"/>
        <v>P2</v>
      </c>
      <c r="G105" s="21">
        <v>103</v>
      </c>
      <c r="H105">
        <v>-25.8209254264831</v>
      </c>
      <c r="I105">
        <v>-51.797151184081997</v>
      </c>
      <c r="J105">
        <v>125.544077301025</v>
      </c>
      <c r="K105">
        <v>-43.049168968200597</v>
      </c>
      <c r="L105">
        <v>-77.069934844970703</v>
      </c>
      <c r="M105">
        <v>5.2113825082778904</v>
      </c>
      <c r="N105">
        <v>10</v>
      </c>
      <c r="O105">
        <v>1771.2024399617001</v>
      </c>
      <c r="P105">
        <v>-106.53620319317599</v>
      </c>
      <c r="Q105">
        <v>809.270966659706</v>
      </c>
      <c r="R105">
        <v>90.769428595833404</v>
      </c>
      <c r="S105">
        <v>-11.252036481081101</v>
      </c>
      <c r="T105">
        <v>-84.392831575930799</v>
      </c>
      <c r="U105" s="77">
        <v>1771.2230999999999</v>
      </c>
      <c r="V105" s="77">
        <v>-106.5205</v>
      </c>
      <c r="W105" s="77">
        <v>809.25450000000001</v>
      </c>
      <c r="X105" s="77">
        <v>90.792199999999994</v>
      </c>
      <c r="Y105" s="77">
        <v>-11.2277</v>
      </c>
      <c r="Z105" s="77">
        <v>-84.172200000000004</v>
      </c>
      <c r="AA105" s="77">
        <f t="shared" si="23"/>
        <v>-8.1338733464038761E-4</v>
      </c>
      <c r="AB105" s="77">
        <f t="shared" si="24"/>
        <v>-6.1823595181080928E-4</v>
      </c>
      <c r="AC105" s="77">
        <f t="shared" si="25"/>
        <v>6.4829368921250779E-4</v>
      </c>
      <c r="AD105" s="77">
        <f>R105-Dataout[[#This Row],[Atp]]</f>
        <v>-2.2771404166590514E-2</v>
      </c>
      <c r="AE105" s="77">
        <f>S105-Dataout[[#This Row],[Btp]]</f>
        <v>-2.4336481081100203E-2</v>
      </c>
      <c r="AF105" s="77">
        <f>T105-Dataout[[#This Row],[Ctp]]</f>
        <v>-0.22063157593079552</v>
      </c>
      <c r="AG105" s="77">
        <f t="shared" si="26"/>
        <v>1.2099997337758281E-3</v>
      </c>
      <c r="AH105" s="134">
        <f t="shared" si="27"/>
        <v>0.22313469801184072</v>
      </c>
    </row>
    <row r="106" spans="1:34" x14ac:dyDescent="0.2">
      <c r="A106" s="6" t="s">
        <v>1223</v>
      </c>
      <c r="F106" s="31" t="str">
        <f t="shared" si="28"/>
        <v>P2</v>
      </c>
      <c r="G106" s="21">
        <v>104</v>
      </c>
      <c r="H106">
        <v>-33.880633735656701</v>
      </c>
      <c r="I106">
        <v>-41.250611686706499</v>
      </c>
      <c r="J106">
        <v>97.754492950439399</v>
      </c>
      <c r="K106">
        <v>-55.146435546874997</v>
      </c>
      <c r="L106">
        <v>-68.319271850585906</v>
      </c>
      <c r="M106">
        <v>21.1009271621704</v>
      </c>
      <c r="N106">
        <v>10</v>
      </c>
      <c r="O106">
        <v>2113.8647113362599</v>
      </c>
      <c r="P106">
        <v>-255.74389189483401</v>
      </c>
      <c r="Q106">
        <v>843.34009586466505</v>
      </c>
      <c r="R106">
        <v>90.773136255588597</v>
      </c>
      <c r="S106">
        <v>-11.244544239036401</v>
      </c>
      <c r="T106">
        <v>-84.349052092919905</v>
      </c>
      <c r="U106" s="77">
        <v>2113.8742999999999</v>
      </c>
      <c r="V106" s="77">
        <v>-255.72370000000001</v>
      </c>
      <c r="W106" s="77">
        <v>843.46119999999996</v>
      </c>
      <c r="X106" s="77">
        <v>90.790400000000005</v>
      </c>
      <c r="Y106" s="77">
        <v>-11.2081</v>
      </c>
      <c r="Z106" s="77">
        <v>-84.159599999999998</v>
      </c>
      <c r="AA106" s="77">
        <f t="shared" si="23"/>
        <v>-3.7750644645797806E-4</v>
      </c>
      <c r="AB106" s="77">
        <f t="shared" si="24"/>
        <v>-7.9495648952753589E-4</v>
      </c>
      <c r="AC106" s="77">
        <f t="shared" si="25"/>
        <v>-4.7678793438943844E-3</v>
      </c>
      <c r="AD106" s="77">
        <f>R106-Dataout[[#This Row],[Atp]]</f>
        <v>-1.7263744411408766E-2</v>
      </c>
      <c r="AE106" s="77">
        <f>S106-Dataout[[#This Row],[Btp]]</f>
        <v>-3.6444239036400816E-2</v>
      </c>
      <c r="AF106" s="77">
        <f>T106-Dataout[[#This Row],[Ctp]]</f>
        <v>-0.1894520929199075</v>
      </c>
      <c r="AG106" s="77">
        <f t="shared" si="26"/>
        <v>4.8484162749596925E-3</v>
      </c>
      <c r="AH106" s="134">
        <f t="shared" si="27"/>
        <v>0.19369645051414347</v>
      </c>
    </row>
    <row r="107" spans="1:34" x14ac:dyDescent="0.2">
      <c r="A107" s="6" t="s">
        <v>1223</v>
      </c>
      <c r="F107" s="31" t="str">
        <f t="shared" si="28"/>
        <v>P2</v>
      </c>
      <c r="G107" s="21">
        <v>105</v>
      </c>
      <c r="H107">
        <v>-32.987724876403803</v>
      </c>
      <c r="I107">
        <v>-60.521581649780202</v>
      </c>
      <c r="J107">
        <v>92.103013992309499</v>
      </c>
      <c r="K107">
        <v>-66.064791870117105</v>
      </c>
      <c r="L107">
        <v>-55.274157714843703</v>
      </c>
      <c r="M107">
        <v>47.444709777832003</v>
      </c>
      <c r="N107">
        <v>10</v>
      </c>
      <c r="O107">
        <v>2085.2107914025401</v>
      </c>
      <c r="P107">
        <v>-256.30526916567499</v>
      </c>
      <c r="Q107">
        <v>1321.2779305264601</v>
      </c>
      <c r="R107">
        <v>90.786457647827007</v>
      </c>
      <c r="S107">
        <v>-11.2288022769129</v>
      </c>
      <c r="T107">
        <v>-86.473354816050303</v>
      </c>
      <c r="U107" s="77">
        <v>2085.0754999999999</v>
      </c>
      <c r="V107" s="77">
        <v>-256.37430000000001</v>
      </c>
      <c r="W107" s="77">
        <v>1321.3749</v>
      </c>
      <c r="X107" s="77">
        <v>90.806100000000001</v>
      </c>
      <c r="Y107" s="77">
        <v>-11.169499999999999</v>
      </c>
      <c r="Z107" s="77">
        <v>-86.29</v>
      </c>
      <c r="AA107" s="77">
        <f t="shared" si="23"/>
        <v>5.3264331708713884E-3</v>
      </c>
      <c r="AB107" s="77">
        <f t="shared" si="24"/>
        <v>2.7177493828747811E-3</v>
      </c>
      <c r="AC107" s="77">
        <f t="shared" si="25"/>
        <v>-3.8176958086597284E-3</v>
      </c>
      <c r="AD107" s="77">
        <f>R107-Dataout[[#This Row],[Atp]]</f>
        <v>-1.9642352172994038E-2</v>
      </c>
      <c r="AE107" s="77">
        <f>S107-Dataout[[#This Row],[Btp]]</f>
        <v>-5.9302276912900354E-2</v>
      </c>
      <c r="AF107" s="77">
        <f>T107-Dataout[[#This Row],[Ctp]]</f>
        <v>-0.18335481605029713</v>
      </c>
      <c r="AG107" s="77">
        <f t="shared" si="26"/>
        <v>7.0944945781453196E-3</v>
      </c>
      <c r="AH107" s="134">
        <f t="shared" si="27"/>
        <v>0.19370485439136659</v>
      </c>
    </row>
    <row r="108" spans="1:34" x14ac:dyDescent="0.2">
      <c r="A108" s="6" t="s">
        <v>1223</v>
      </c>
      <c r="F108" s="31" t="str">
        <f t="shared" si="28"/>
        <v>P2</v>
      </c>
      <c r="G108" s="21">
        <v>106</v>
      </c>
      <c r="H108">
        <v>-26.247565841674799</v>
      </c>
      <c r="I108">
        <v>-70.732236099243096</v>
      </c>
      <c r="J108">
        <v>108.181672668457</v>
      </c>
      <c r="K108">
        <v>-50.938683509826603</v>
      </c>
      <c r="L108">
        <v>-49.889795112609796</v>
      </c>
      <c r="M108">
        <v>34.323065376281697</v>
      </c>
      <c r="N108">
        <v>10</v>
      </c>
      <c r="O108">
        <v>1876.71970567772</v>
      </c>
      <c r="P108">
        <v>-214.79635339831401</v>
      </c>
      <c r="Q108">
        <v>1308.85685817534</v>
      </c>
      <c r="R108">
        <v>90.433197314587602</v>
      </c>
      <c r="S108">
        <v>-5.6491875371446296</v>
      </c>
      <c r="T108">
        <v>-86.568480613565697</v>
      </c>
      <c r="U108" s="77">
        <v>1876.6732999999999</v>
      </c>
      <c r="V108" s="77">
        <v>-214.82159999999999</v>
      </c>
      <c r="W108" s="77">
        <v>1308.8526999999999</v>
      </c>
      <c r="X108" s="77">
        <v>90.465500000000006</v>
      </c>
      <c r="Y108" s="77">
        <v>-5.5983000000000001</v>
      </c>
      <c r="Z108" s="77">
        <v>-86.352000000000004</v>
      </c>
      <c r="AA108" s="77">
        <f t="shared" si="23"/>
        <v>1.8269951858280013E-3</v>
      </c>
      <c r="AB108" s="77">
        <f t="shared" si="24"/>
        <v>9.9396069629836522E-4</v>
      </c>
      <c r="AC108" s="77">
        <f t="shared" si="25"/>
        <v>1.6370769055435279E-4</v>
      </c>
      <c r="AD108" s="77">
        <f>R108-Dataout[[#This Row],[Atp]]</f>
        <v>-3.2302685412403775E-2</v>
      </c>
      <c r="AE108" s="77">
        <f>S108-Dataout[[#This Row],[Btp]]</f>
        <v>-5.0887537144629569E-2</v>
      </c>
      <c r="AF108" s="77">
        <f>T108-Dataout[[#This Row],[Ctp]]</f>
        <v>-0.21648061356569315</v>
      </c>
      <c r="AG108" s="77">
        <f t="shared" si="26"/>
        <v>2.0863052228212594E-3</v>
      </c>
      <c r="AH108" s="134">
        <f t="shared" si="27"/>
        <v>0.22471506618666615</v>
      </c>
    </row>
    <row r="109" spans="1:34" x14ac:dyDescent="0.2">
      <c r="A109" s="6" t="s">
        <v>1223</v>
      </c>
      <c r="F109" s="31" t="str">
        <f t="shared" si="28"/>
        <v>P2</v>
      </c>
      <c r="G109" s="21">
        <v>107</v>
      </c>
      <c r="H109">
        <v>-19.4483234405517</v>
      </c>
      <c r="I109">
        <v>-58.222947311401299</v>
      </c>
      <c r="J109">
        <v>89.884905242919899</v>
      </c>
      <c r="K109">
        <v>-47.774908828735299</v>
      </c>
      <c r="L109">
        <v>-41.886845397949202</v>
      </c>
      <c r="M109">
        <v>35.3265064239501</v>
      </c>
      <c r="N109">
        <v>10</v>
      </c>
      <c r="O109">
        <v>1815.4001133146601</v>
      </c>
      <c r="P109">
        <v>-474.47471923274202</v>
      </c>
      <c r="Q109">
        <v>1304.75966494565</v>
      </c>
      <c r="R109">
        <v>90.433655921785501</v>
      </c>
      <c r="S109">
        <v>-5.6510413087830598</v>
      </c>
      <c r="T109">
        <v>-86.524921275034103</v>
      </c>
      <c r="U109" s="77">
        <v>1815.3875</v>
      </c>
      <c r="V109" s="77">
        <v>-474.41489999999999</v>
      </c>
      <c r="W109" s="77">
        <v>1304.9575</v>
      </c>
      <c r="X109" s="77">
        <v>90.454400000000007</v>
      </c>
      <c r="Y109" s="77">
        <v>-5.5959000000000003</v>
      </c>
      <c r="Z109" s="77">
        <v>-86.347800000000007</v>
      </c>
      <c r="AA109" s="77">
        <f t="shared" si="23"/>
        <v>4.9658719133974694E-4</v>
      </c>
      <c r="AB109" s="77">
        <f t="shared" si="24"/>
        <v>-2.3550879032294986E-3</v>
      </c>
      <c r="AC109" s="77">
        <f t="shared" si="25"/>
        <v>-7.788781667322049E-3</v>
      </c>
      <c r="AD109" s="77">
        <f>R109-Dataout[[#This Row],[Atp]]</f>
        <v>-2.0744078214505635E-2</v>
      </c>
      <c r="AE109" s="77">
        <f>S109-Dataout[[#This Row],[Btp]]</f>
        <v>-5.5141308783059451E-2</v>
      </c>
      <c r="AF109" s="77">
        <f>T109-Dataout[[#This Row],[Ctp]]</f>
        <v>-0.17712127503409647</v>
      </c>
      <c r="AG109" s="77">
        <f t="shared" si="26"/>
        <v>8.1521872973915801E-3</v>
      </c>
      <c r="AH109" s="134">
        <f t="shared" si="27"/>
        <v>0.18666233359995874</v>
      </c>
    </row>
    <row r="110" spans="1:34" x14ac:dyDescent="0.2">
      <c r="A110" s="6" t="s">
        <v>1223</v>
      </c>
      <c r="F110" s="31" t="str">
        <f t="shared" si="28"/>
        <v>P2</v>
      </c>
      <c r="G110" s="21">
        <v>108</v>
      </c>
      <c r="H110">
        <v>-12.072373437881399</v>
      </c>
      <c r="I110">
        <v>-68.942020034790005</v>
      </c>
      <c r="J110">
        <v>100.89113731384199</v>
      </c>
      <c r="K110">
        <v>-53.945381546020499</v>
      </c>
      <c r="L110">
        <v>-25.722050857543898</v>
      </c>
      <c r="M110">
        <v>41.337876892089803</v>
      </c>
      <c r="N110">
        <v>10</v>
      </c>
      <c r="O110">
        <v>1589.256732567</v>
      </c>
      <c r="P110">
        <v>-408.13933224143398</v>
      </c>
      <c r="Q110">
        <v>1291.2414286251999</v>
      </c>
      <c r="R110">
        <v>105.04515373168699</v>
      </c>
      <c r="S110">
        <v>-4.5971698810235004</v>
      </c>
      <c r="T110">
        <v>-85.215121409516499</v>
      </c>
      <c r="U110" s="77">
        <v>1589.2104999999999</v>
      </c>
      <c r="V110" s="77">
        <v>-408.10199999999998</v>
      </c>
      <c r="W110" s="77">
        <v>1291.3344</v>
      </c>
      <c r="X110" s="77">
        <v>105.0694</v>
      </c>
      <c r="Y110" s="77">
        <v>-4.5377999999999998</v>
      </c>
      <c r="Z110" s="77">
        <v>-85.0381</v>
      </c>
      <c r="AA110" s="77">
        <f t="shared" si="23"/>
        <v>1.820179803152006E-3</v>
      </c>
      <c r="AB110" s="77">
        <f t="shared" si="24"/>
        <v>-1.4697732848031864E-3</v>
      </c>
      <c r="AC110" s="77">
        <f t="shared" si="25"/>
        <v>-3.6602903464595365E-3</v>
      </c>
      <c r="AD110" s="77">
        <f>R110-Dataout[[#This Row],[Atp]]</f>
        <v>-2.4246268313007135E-2</v>
      </c>
      <c r="AE110" s="77">
        <f>S110-Dataout[[#This Row],[Btp]]</f>
        <v>-5.9369881023500604E-2</v>
      </c>
      <c r="AF110" s="77">
        <f>T110-Dataout[[#This Row],[Ctp]]</f>
        <v>-0.17702140951649881</v>
      </c>
      <c r="AG110" s="77">
        <f t="shared" si="26"/>
        <v>4.3440779740824753E-3</v>
      </c>
      <c r="AH110" s="134">
        <f t="shared" si="27"/>
        <v>0.18827969547207932</v>
      </c>
    </row>
    <row r="111" spans="1:34" x14ac:dyDescent="0.2">
      <c r="A111" s="6" t="s">
        <v>1223</v>
      </c>
      <c r="F111" s="31" t="str">
        <f t="shared" si="28"/>
        <v>P2</v>
      </c>
      <c r="G111" s="21">
        <v>109</v>
      </c>
      <c r="H111">
        <v>-2.1778193950653</v>
      </c>
      <c r="I111">
        <v>-66.103631973266602</v>
      </c>
      <c r="J111">
        <v>99.930710220336906</v>
      </c>
      <c r="K111">
        <v>-31.827692890167199</v>
      </c>
      <c r="L111">
        <v>-21.4161876678466</v>
      </c>
      <c r="M111">
        <v>23.076612663269</v>
      </c>
      <c r="N111">
        <v>10</v>
      </c>
      <c r="O111">
        <v>1351.4064501157</v>
      </c>
      <c r="P111">
        <v>-486.85567009792697</v>
      </c>
      <c r="Q111">
        <v>1250.1730315305599</v>
      </c>
      <c r="R111">
        <v>105.04048323972999</v>
      </c>
      <c r="S111">
        <v>-4.6042254804822598</v>
      </c>
      <c r="T111">
        <v>-85.246249976710303</v>
      </c>
      <c r="U111" s="77">
        <v>1351.3927000000001</v>
      </c>
      <c r="V111" s="77">
        <v>-486.80500000000001</v>
      </c>
      <c r="W111" s="77">
        <v>1250.3924999999999</v>
      </c>
      <c r="X111" s="77">
        <v>105.0587</v>
      </c>
      <c r="Y111" s="77">
        <v>-4.5583999999999998</v>
      </c>
      <c r="Z111" s="77">
        <v>-85.0441</v>
      </c>
      <c r="AA111" s="77">
        <f t="shared" si="23"/>
        <v>5.4134313778935546E-4</v>
      </c>
      <c r="AB111" s="77">
        <f t="shared" si="24"/>
        <v>-1.9948857451562237E-3</v>
      </c>
      <c r="AC111" s="77">
        <f t="shared" si="25"/>
        <v>-8.6404909228353002E-3</v>
      </c>
      <c r="AD111" s="77">
        <f>R111-Dataout[[#This Row],[Atp]]</f>
        <v>-1.8216760270007626E-2</v>
      </c>
      <c r="AE111" s="77">
        <f>S111-Dataout[[#This Row],[Btp]]</f>
        <v>-4.5825480482259984E-2</v>
      </c>
      <c r="AF111" s="77">
        <f>T111-Dataout[[#This Row],[Ctp]]</f>
        <v>-0.20214997671030233</v>
      </c>
      <c r="AG111" s="77">
        <f t="shared" si="26"/>
        <v>8.8842954091283097E-3</v>
      </c>
      <c r="AH111" s="134">
        <f t="shared" si="27"/>
        <v>0.20807796159166086</v>
      </c>
    </row>
    <row r="112" spans="1:34" x14ac:dyDescent="0.2">
      <c r="A112" s="6" t="s">
        <v>1223</v>
      </c>
      <c r="F112" s="31" t="str">
        <f t="shared" si="28"/>
        <v>P2</v>
      </c>
      <c r="G112" s="21">
        <v>110</v>
      </c>
      <c r="H112">
        <v>-3.4073578119277901</v>
      </c>
      <c r="I112">
        <v>-72.8526920318603</v>
      </c>
      <c r="J112">
        <v>111.088580703735</v>
      </c>
      <c r="K112">
        <v>-23.629252052307098</v>
      </c>
      <c r="L112">
        <v>-35.170315933227499</v>
      </c>
      <c r="M112">
        <v>14.6696604251861</v>
      </c>
      <c r="N112">
        <v>10</v>
      </c>
      <c r="O112">
        <v>1361.5700903135601</v>
      </c>
      <c r="P112">
        <v>-364.10737644923103</v>
      </c>
      <c r="Q112">
        <v>1283.1521260877701</v>
      </c>
      <c r="R112">
        <v>95.137783145288907</v>
      </c>
      <c r="S112">
        <v>-5.3576164384240004</v>
      </c>
      <c r="T112">
        <v>-86.105552437673197</v>
      </c>
      <c r="U112" s="77">
        <v>1361.6170999999999</v>
      </c>
      <c r="V112" s="77">
        <v>-364.04840000000002</v>
      </c>
      <c r="W112" s="77">
        <v>1283.2824000000001</v>
      </c>
      <c r="X112" s="77">
        <v>95.162999999999997</v>
      </c>
      <c r="Y112" s="77">
        <v>-5.3150000000000004</v>
      </c>
      <c r="Z112" s="77">
        <v>-85.903099999999995</v>
      </c>
      <c r="AA112" s="77">
        <f t="shared" si="23"/>
        <v>-1.8507750566881241E-3</v>
      </c>
      <c r="AB112" s="77">
        <f t="shared" si="24"/>
        <v>-2.3219074500398021E-3</v>
      </c>
      <c r="AC112" s="77">
        <f t="shared" si="25"/>
        <v>-5.1288941822832832E-3</v>
      </c>
      <c r="AD112" s="77">
        <f>R112-Dataout[[#This Row],[Atp]]</f>
        <v>-2.5216854711089809E-2</v>
      </c>
      <c r="AE112" s="77">
        <f>S112-Dataout[[#This Row],[Btp]]</f>
        <v>-4.2616438423999981E-2</v>
      </c>
      <c r="AF112" s="77">
        <f>T112-Dataout[[#This Row],[Ctp]]</f>
        <v>-0.20245243767320176</v>
      </c>
      <c r="AG112" s="77">
        <f t="shared" si="26"/>
        <v>5.9263967172362474E-3</v>
      </c>
      <c r="AH112" s="134">
        <f t="shared" si="27"/>
        <v>0.20842034474899143</v>
      </c>
    </row>
    <row r="113" spans="1:34" x14ac:dyDescent="0.2">
      <c r="A113" s="6" t="s">
        <v>1223</v>
      </c>
      <c r="F113" s="31" t="str">
        <f t="shared" si="28"/>
        <v>P2</v>
      </c>
      <c r="G113" s="21">
        <v>111</v>
      </c>
      <c r="H113">
        <v>10.635379886627099</v>
      </c>
      <c r="I113">
        <v>-74.307291030883704</v>
      </c>
      <c r="J113">
        <v>114.625650024414</v>
      </c>
      <c r="K113">
        <v>14.2701011180877</v>
      </c>
      <c r="L113">
        <v>-36.423245620727499</v>
      </c>
      <c r="M113">
        <v>-15.2784554004669</v>
      </c>
      <c r="N113">
        <v>10</v>
      </c>
      <c r="O113">
        <v>1082.7733542516</v>
      </c>
      <c r="P113">
        <v>-336.42177721477202</v>
      </c>
      <c r="Q113">
        <v>1266.4234607303099</v>
      </c>
      <c r="R113">
        <v>94.579265947685002</v>
      </c>
      <c r="S113">
        <v>2.5768439165613102</v>
      </c>
      <c r="T113">
        <v>-86.120324904076696</v>
      </c>
      <c r="U113" s="77">
        <v>1082.7617</v>
      </c>
      <c r="V113" s="77">
        <v>-336.3467</v>
      </c>
      <c r="W113" s="77">
        <v>1266.5018</v>
      </c>
      <c r="X113" s="77">
        <v>94.608199999999997</v>
      </c>
      <c r="Y113" s="77">
        <v>2.5926</v>
      </c>
      <c r="Z113" s="77">
        <v>-85.916700000000006</v>
      </c>
      <c r="AA113" s="77">
        <f t="shared" ref="AA113:AA115" si="29">IF(F113&lt;&gt;"bad",(O113-U113)*UnitsErr,0)</f>
        <v>4.5882880315042799E-4</v>
      </c>
      <c r="AB113" s="77">
        <f t="shared" ref="AB113:AB115" si="30">IF(F113&lt;&gt;"bad",(P113-V113)*UnitsErr,0)</f>
        <v>-2.955795857166247E-3</v>
      </c>
      <c r="AC113" s="77">
        <f t="shared" ref="AC113:AC115" si="31">IF(F113&lt;&gt;"bad",(Q113-W113)*UnitsErr,0)</f>
        <v>-3.0842232161458513E-3</v>
      </c>
      <c r="AD113" s="77">
        <f>R113-Dataout[[#This Row],[Atp]]</f>
        <v>-2.8934052314994574E-2</v>
      </c>
      <c r="AE113" s="77">
        <f>S113-Dataout[[#This Row],[Btp]]</f>
        <v>-1.5756083438689839E-2</v>
      </c>
      <c r="AF113" s="77">
        <f>T113-Dataout[[#This Row],[Ctp]]</f>
        <v>-0.20362490407669043</v>
      </c>
      <c r="AG113" s="77">
        <f t="shared" ref="AG113:AG115" si="32">IF(F113&lt;&gt;"bad",SQRT(SUMSQ(AA113:AC113)),0)</f>
        <v>4.2964736548540203E-3</v>
      </c>
      <c r="AH113" s="134">
        <f t="shared" ref="AH113:AH115" si="33">SQRT(SUMSQ(AD113:AF113))</f>
        <v>0.20627296262218947</v>
      </c>
    </row>
    <row r="114" spans="1:34" x14ac:dyDescent="0.2">
      <c r="A114" s="6" t="s">
        <v>1223</v>
      </c>
      <c r="F114" s="31" t="str">
        <f t="shared" si="28"/>
        <v>P2</v>
      </c>
      <c r="G114" s="21">
        <v>112</v>
      </c>
      <c r="H114">
        <v>12.8712082862854</v>
      </c>
      <c r="I114">
        <v>-64.134350204467694</v>
      </c>
      <c r="J114">
        <v>111.62784881591701</v>
      </c>
      <c r="K114">
        <v>37.8930200576782</v>
      </c>
      <c r="L114">
        <v>-50.640559768676702</v>
      </c>
      <c r="M114">
        <v>-30.121971416473301</v>
      </c>
      <c r="N114">
        <v>10</v>
      </c>
      <c r="O114">
        <v>1116.5270528405799</v>
      </c>
      <c r="P114">
        <v>-392.96276131101803</v>
      </c>
      <c r="Q114">
        <v>1134.26378375678</v>
      </c>
      <c r="R114">
        <v>93.2987906534172</v>
      </c>
      <c r="S114">
        <v>20.345553702903</v>
      </c>
      <c r="T114">
        <v>-85.866567658022106</v>
      </c>
      <c r="U114" s="77">
        <v>1116.4789000000001</v>
      </c>
      <c r="V114" s="77">
        <v>-392.86950000000002</v>
      </c>
      <c r="W114" s="77">
        <v>1134.3793000000001</v>
      </c>
      <c r="X114" s="77">
        <v>93.327100000000002</v>
      </c>
      <c r="Y114" s="77">
        <v>20.3432</v>
      </c>
      <c r="Z114" s="77">
        <v>-85.653499999999994</v>
      </c>
      <c r="AA114" s="77">
        <f t="shared" si="29"/>
        <v>1.8957811251913352E-3</v>
      </c>
      <c r="AB114" s="77">
        <f t="shared" si="30"/>
        <v>-3.6717051581894246E-3</v>
      </c>
      <c r="AC114" s="77">
        <f t="shared" si="31"/>
        <v>-4.5478835913425027E-3</v>
      </c>
      <c r="AD114" s="77">
        <f>R114-Dataout[[#This Row],[Atp]]</f>
        <v>-2.8309346582801709E-2</v>
      </c>
      <c r="AE114" s="77">
        <f>S114-Dataout[[#This Row],[Btp]]</f>
        <v>2.3537029030009649E-3</v>
      </c>
      <c r="AF114" s="77">
        <f>T114-Dataout[[#This Row],[Ctp]]</f>
        <v>-0.21306765802211203</v>
      </c>
      <c r="AG114" s="77">
        <f t="shared" si="32"/>
        <v>6.1448067507212083E-3</v>
      </c>
      <c r="AH114" s="134">
        <f t="shared" si="33"/>
        <v>0.21495298536267987</v>
      </c>
    </row>
    <row r="115" spans="1:34" x14ac:dyDescent="0.2">
      <c r="A115" s="6" t="s">
        <v>1223</v>
      </c>
      <c r="F115" s="31" t="str">
        <f t="shared" si="28"/>
        <v>P2</v>
      </c>
      <c r="G115" s="21">
        <v>113</v>
      </c>
      <c r="H115">
        <v>1.1652792215347201</v>
      </c>
      <c r="I115">
        <v>-63.6106861114501</v>
      </c>
      <c r="J115">
        <v>109.34153594970699</v>
      </c>
      <c r="K115">
        <v>-4.21473908424377</v>
      </c>
      <c r="L115">
        <v>-40.9724466323852</v>
      </c>
      <c r="M115">
        <v>-1.31514396071434</v>
      </c>
      <c r="N115">
        <v>10</v>
      </c>
      <c r="O115">
        <v>1293.5813761214699</v>
      </c>
      <c r="P115">
        <v>-445.72162087076799</v>
      </c>
      <c r="Q115">
        <v>1142.0332562050701</v>
      </c>
      <c r="R115">
        <v>94.7015317533467</v>
      </c>
      <c r="S115">
        <v>0.76785513531289495</v>
      </c>
      <c r="T115">
        <v>-86.087800710237602</v>
      </c>
      <c r="U115" s="77">
        <v>1293.6166000000001</v>
      </c>
      <c r="V115" s="77">
        <v>-445.67219999999998</v>
      </c>
      <c r="W115" s="77">
        <v>1142.1831999999999</v>
      </c>
      <c r="X115" s="77">
        <v>94.731899999999996</v>
      </c>
      <c r="Y115" s="77">
        <v>0.78869999999999996</v>
      </c>
      <c r="Z115" s="77">
        <v>-85.9208</v>
      </c>
      <c r="AA115" s="77">
        <f t="shared" si="29"/>
        <v>-1.386766871265056E-3</v>
      </c>
      <c r="AB115" s="77">
        <f t="shared" si="30"/>
        <v>-1.9457035735439868E-3</v>
      </c>
      <c r="AC115" s="77">
        <f t="shared" si="31"/>
        <v>-5.9032990129869326E-3</v>
      </c>
      <c r="AD115" s="77">
        <f>R115-Dataout[[#This Row],[Atp]]</f>
        <v>-3.0368246653296183E-2</v>
      </c>
      <c r="AE115" s="77">
        <f>S115-Dataout[[#This Row],[Btp]]</f>
        <v>-2.0844864687105003E-2</v>
      </c>
      <c r="AF115" s="77">
        <f>T115-Dataout[[#This Row],[Ctp]]</f>
        <v>-0.16700071023760188</v>
      </c>
      <c r="AG115" s="77">
        <f t="shared" si="32"/>
        <v>6.3685024918007692E-3</v>
      </c>
      <c r="AH115" s="134">
        <f t="shared" si="33"/>
        <v>0.17101454911346758</v>
      </c>
    </row>
    <row r="116" spans="1:34" x14ac:dyDescent="0.2">
      <c r="U116" s="142"/>
      <c r="V116" s="142"/>
      <c r="W116" s="142"/>
      <c r="X116" s="142"/>
      <c r="Y116" s="142"/>
      <c r="Z116" s="142"/>
    </row>
    <row r="117" spans="1:34" x14ac:dyDescent="0.2">
      <c r="U117" s="142"/>
      <c r="V117" s="142"/>
      <c r="W117" s="142"/>
      <c r="X117" s="142"/>
      <c r="Y117" s="142"/>
      <c r="Z117" s="142"/>
    </row>
    <row r="118" spans="1:34" x14ac:dyDescent="0.2">
      <c r="U118" s="142"/>
      <c r="V118" s="142"/>
      <c r="W118" s="142"/>
      <c r="X118" s="142"/>
      <c r="Y118" s="142"/>
      <c r="Z118" s="142"/>
    </row>
    <row r="119" spans="1:34" x14ac:dyDescent="0.2">
      <c r="U119" s="142"/>
      <c r="V119" s="142"/>
      <c r="W119" s="142"/>
      <c r="X119" s="142"/>
      <c r="Y119" s="142"/>
      <c r="Z119" s="142"/>
    </row>
    <row r="120" spans="1:34" x14ac:dyDescent="0.2">
      <c r="U120" s="142"/>
      <c r="V120" s="142"/>
      <c r="W120" s="142"/>
      <c r="X120" s="142"/>
      <c r="Y120" s="142"/>
      <c r="Z120" s="142"/>
    </row>
    <row r="121" spans="1:34" x14ac:dyDescent="0.2">
      <c r="U121" s="142"/>
      <c r="V121" s="142"/>
      <c r="W121" s="142"/>
      <c r="X121" s="142"/>
      <c r="Y121" s="142"/>
      <c r="Z121" s="142"/>
    </row>
    <row r="122" spans="1:34" x14ac:dyDescent="0.2">
      <c r="U122" s="142"/>
      <c r="V122" s="142"/>
      <c r="W122" s="142"/>
      <c r="X122" s="142"/>
      <c r="Y122" s="142"/>
      <c r="Z122" s="142"/>
    </row>
    <row r="123" spans="1:34" x14ac:dyDescent="0.2">
      <c r="U123" s="142"/>
      <c r="V123" s="142"/>
      <c r="W123" s="142"/>
      <c r="X123" s="142"/>
      <c r="Y123" s="142"/>
      <c r="Z123" s="142"/>
    </row>
    <row r="124" spans="1:34" x14ac:dyDescent="0.2">
      <c r="U124" s="142"/>
      <c r="V124" s="142"/>
      <c r="W124" s="142"/>
      <c r="X124" s="142"/>
      <c r="Y124" s="142"/>
      <c r="Z124" s="142"/>
    </row>
    <row r="125" spans="1:34" x14ac:dyDescent="0.2">
      <c r="U125" s="142"/>
      <c r="V125" s="142"/>
      <c r="W125" s="142"/>
      <c r="X125" s="142"/>
      <c r="Y125" s="142"/>
      <c r="Z125" s="142"/>
    </row>
    <row r="126" spans="1:34" x14ac:dyDescent="0.2">
      <c r="U126" s="142"/>
      <c r="V126" s="142"/>
      <c r="W126" s="142"/>
      <c r="X126" s="142"/>
      <c r="Y126" s="142"/>
      <c r="Z126" s="142"/>
    </row>
    <row r="127" spans="1:34" x14ac:dyDescent="0.2">
      <c r="U127" s="142"/>
      <c r="V127" s="142"/>
      <c r="W127" s="142"/>
      <c r="X127" s="142"/>
      <c r="Y127" s="142"/>
      <c r="Z127" s="142"/>
    </row>
    <row r="128" spans="1:34" x14ac:dyDescent="0.2">
      <c r="U128" s="142"/>
      <c r="V128" s="142"/>
      <c r="W128" s="142"/>
      <c r="X128" s="142"/>
      <c r="Y128" s="142"/>
      <c r="Z128" s="142"/>
    </row>
    <row r="129" spans="21:26" x14ac:dyDescent="0.2">
      <c r="U129" s="142"/>
      <c r="V129" s="142"/>
      <c r="W129" s="142"/>
      <c r="X129" s="142"/>
      <c r="Y129" s="142"/>
      <c r="Z129" s="142"/>
    </row>
    <row r="130" spans="21:26" x14ac:dyDescent="0.2">
      <c r="U130" s="142"/>
      <c r="V130" s="142"/>
      <c r="W130" s="142"/>
      <c r="X130" s="142"/>
      <c r="Y130" s="142"/>
      <c r="Z130" s="142"/>
    </row>
    <row r="131" spans="21:26" x14ac:dyDescent="0.2">
      <c r="U131" s="142"/>
      <c r="V131" s="142"/>
      <c r="W131" s="142"/>
      <c r="X131" s="142"/>
      <c r="Y131" s="142"/>
      <c r="Z131" s="142"/>
    </row>
    <row r="132" spans="21:26" x14ac:dyDescent="0.2">
      <c r="U132" s="142"/>
      <c r="V132" s="142"/>
      <c r="W132" s="142"/>
      <c r="X132" s="142"/>
      <c r="Y132" s="142"/>
      <c r="Z132" s="142"/>
    </row>
    <row r="133" spans="21:26" x14ac:dyDescent="0.2">
      <c r="U133" s="142"/>
      <c r="V133" s="142"/>
      <c r="W133" s="142"/>
      <c r="X133" s="142"/>
      <c r="Y133" s="142"/>
      <c r="Z133" s="142"/>
    </row>
    <row r="134" spans="21:26" x14ac:dyDescent="0.2">
      <c r="U134" s="142"/>
      <c r="V134" s="142"/>
      <c r="W134" s="142"/>
      <c r="X134" s="142"/>
      <c r="Y134" s="142"/>
      <c r="Z134" s="142"/>
    </row>
    <row r="135" spans="21:26" x14ac:dyDescent="0.2">
      <c r="U135" s="142"/>
      <c r="V135" s="142"/>
      <c r="W135" s="142"/>
      <c r="X135" s="142"/>
      <c r="Y135" s="142"/>
      <c r="Z135" s="142"/>
    </row>
    <row r="136" spans="21:26" x14ac:dyDescent="0.2">
      <c r="U136" s="142"/>
      <c r="V136" s="142"/>
      <c r="W136" s="142"/>
      <c r="X136" s="142"/>
      <c r="Y136" s="142"/>
      <c r="Z136" s="142"/>
    </row>
    <row r="137" spans="21:26" x14ac:dyDescent="0.2">
      <c r="U137" s="142"/>
      <c r="V137" s="142"/>
      <c r="W137" s="142"/>
      <c r="X137" s="142"/>
      <c r="Y137" s="142"/>
      <c r="Z137" s="142"/>
    </row>
    <row r="138" spans="21:26" x14ac:dyDescent="0.2">
      <c r="U138" s="142"/>
      <c r="V138" s="142"/>
      <c r="W138" s="142"/>
      <c r="X138" s="142"/>
      <c r="Y138" s="142"/>
      <c r="Z138" s="142"/>
    </row>
    <row r="139" spans="21:26" x14ac:dyDescent="0.2">
      <c r="U139" s="142"/>
      <c r="V139" s="142"/>
      <c r="W139" s="142"/>
      <c r="X139" s="142"/>
      <c r="Y139" s="142"/>
      <c r="Z139" s="142"/>
    </row>
    <row r="140" spans="21:26" x14ac:dyDescent="0.2">
      <c r="U140" s="142"/>
      <c r="V140" s="142"/>
      <c r="W140" s="142"/>
      <c r="X140" s="142"/>
      <c r="Y140" s="142"/>
      <c r="Z140" s="142"/>
    </row>
    <row r="141" spans="21:26" x14ac:dyDescent="0.2">
      <c r="U141" s="142"/>
      <c r="V141" s="142"/>
      <c r="W141" s="142"/>
      <c r="X141" s="142"/>
      <c r="Y141" s="142"/>
      <c r="Z141" s="142"/>
    </row>
    <row r="142" spans="21:26" x14ac:dyDescent="0.2">
      <c r="U142" s="142"/>
      <c r="V142" s="142"/>
      <c r="W142" s="142"/>
      <c r="X142" s="142"/>
      <c r="Y142" s="142"/>
      <c r="Z142" s="142"/>
    </row>
    <row r="143" spans="21:26" x14ac:dyDescent="0.2">
      <c r="U143" s="142"/>
      <c r="V143" s="142"/>
      <c r="W143" s="142"/>
      <c r="X143" s="142"/>
      <c r="Y143" s="142"/>
      <c r="Z143" s="142"/>
    </row>
    <row r="144" spans="21:26" x14ac:dyDescent="0.2">
      <c r="U144" s="142"/>
      <c r="V144" s="142"/>
      <c r="W144" s="142"/>
      <c r="X144" s="142"/>
      <c r="Y144" s="142"/>
      <c r="Z144" s="142"/>
    </row>
    <row r="145" spans="21:26" x14ac:dyDescent="0.2">
      <c r="U145" s="142"/>
      <c r="V145" s="142"/>
      <c r="W145" s="142"/>
      <c r="X145" s="142"/>
      <c r="Y145" s="142"/>
      <c r="Z145" s="142"/>
    </row>
    <row r="146" spans="21:26" x14ac:dyDescent="0.2">
      <c r="U146" s="142"/>
      <c r="V146" s="142"/>
      <c r="W146" s="142"/>
      <c r="X146" s="142"/>
      <c r="Y146" s="142"/>
      <c r="Z146" s="142"/>
    </row>
    <row r="147" spans="21:26" x14ac:dyDescent="0.2">
      <c r="U147" s="142"/>
      <c r="V147" s="142"/>
      <c r="W147" s="142"/>
      <c r="X147" s="142"/>
      <c r="Y147" s="142"/>
      <c r="Z147" s="142"/>
    </row>
    <row r="148" spans="21:26" x14ac:dyDescent="0.2">
      <c r="U148" s="142"/>
      <c r="V148" s="142"/>
      <c r="W148" s="142"/>
      <c r="X148" s="142"/>
      <c r="Y148" s="142"/>
      <c r="Z148" s="142"/>
    </row>
    <row r="149" spans="21:26" x14ac:dyDescent="0.2">
      <c r="U149" s="142"/>
      <c r="V149" s="142"/>
      <c r="W149" s="142"/>
      <c r="X149" s="142"/>
      <c r="Y149" s="142"/>
      <c r="Z149" s="142"/>
    </row>
    <row r="150" spans="21:26" x14ac:dyDescent="0.2">
      <c r="U150" s="142"/>
      <c r="V150" s="142"/>
      <c r="W150" s="142"/>
      <c r="X150" s="142"/>
      <c r="Y150" s="142"/>
      <c r="Z150" s="142"/>
    </row>
    <row r="151" spans="21:26" x14ac:dyDescent="0.2">
      <c r="U151" s="142"/>
      <c r="V151" s="142"/>
      <c r="W151" s="142"/>
      <c r="X151" s="142"/>
      <c r="Y151" s="142"/>
      <c r="Z151" s="142"/>
    </row>
    <row r="152" spans="21:26" x14ac:dyDescent="0.2">
      <c r="U152" s="142"/>
      <c r="V152" s="142"/>
      <c r="W152" s="142"/>
      <c r="X152" s="142"/>
      <c r="Y152" s="142"/>
      <c r="Z152" s="142"/>
    </row>
    <row r="153" spans="21:26" x14ac:dyDescent="0.2">
      <c r="U153" s="142"/>
      <c r="V153" s="142"/>
      <c r="W153" s="142"/>
      <c r="X153" s="142"/>
      <c r="Y153" s="142"/>
      <c r="Z153" s="142"/>
    </row>
    <row r="154" spans="21:26" x14ac:dyDescent="0.2">
      <c r="U154" s="142"/>
      <c r="V154" s="142"/>
      <c r="W154" s="142"/>
      <c r="X154" s="142"/>
      <c r="Y154" s="142"/>
      <c r="Z154" s="142"/>
    </row>
    <row r="155" spans="21:26" x14ac:dyDescent="0.2">
      <c r="U155" s="142"/>
      <c r="V155" s="142"/>
      <c r="W155" s="142"/>
      <c r="X155" s="142"/>
      <c r="Y155" s="142"/>
      <c r="Z155" s="142"/>
    </row>
    <row r="156" spans="21:26" x14ac:dyDescent="0.2">
      <c r="U156" s="142"/>
      <c r="V156" s="142"/>
      <c r="W156" s="142"/>
      <c r="X156" s="142"/>
      <c r="Y156" s="142"/>
      <c r="Z156" s="142"/>
    </row>
    <row r="157" spans="21:26" x14ac:dyDescent="0.2">
      <c r="U157" s="142"/>
      <c r="V157" s="142"/>
      <c r="W157" s="142"/>
      <c r="X157" s="142"/>
      <c r="Y157" s="142"/>
      <c r="Z157" s="142"/>
    </row>
    <row r="158" spans="21:26" x14ac:dyDescent="0.2">
      <c r="U158" s="142"/>
      <c r="V158" s="142"/>
      <c r="W158" s="142"/>
      <c r="X158" s="142"/>
      <c r="Y158" s="142"/>
      <c r="Z158" s="142"/>
    </row>
    <row r="159" spans="21:26" x14ac:dyDescent="0.2">
      <c r="U159" s="142"/>
      <c r="V159" s="142"/>
      <c r="W159" s="142"/>
      <c r="X159" s="142"/>
      <c r="Y159" s="142"/>
      <c r="Z159" s="142"/>
    </row>
    <row r="160" spans="21:26" x14ac:dyDescent="0.2">
      <c r="U160" s="142"/>
      <c r="V160" s="142"/>
      <c r="W160" s="142"/>
      <c r="X160" s="142"/>
      <c r="Y160" s="142"/>
      <c r="Z160" s="142"/>
    </row>
    <row r="161" spans="21:26" x14ac:dyDescent="0.2">
      <c r="U161" s="142"/>
      <c r="V161" s="142"/>
      <c r="W161" s="142"/>
      <c r="X161" s="142"/>
      <c r="Y161" s="142"/>
      <c r="Z161" s="142"/>
    </row>
    <row r="162" spans="21:26" x14ac:dyDescent="0.2">
      <c r="U162" s="142"/>
      <c r="V162" s="142"/>
      <c r="W162" s="142"/>
      <c r="X162" s="142"/>
      <c r="Y162" s="142"/>
      <c r="Z162" s="142"/>
    </row>
    <row r="163" spans="21:26" x14ac:dyDescent="0.2">
      <c r="U163" s="142"/>
      <c r="V163" s="142"/>
      <c r="W163" s="142"/>
      <c r="X163" s="142"/>
      <c r="Y163" s="142"/>
      <c r="Z163" s="142"/>
    </row>
    <row r="164" spans="21:26" x14ac:dyDescent="0.2">
      <c r="U164" s="142"/>
      <c r="V164" s="142"/>
      <c r="W164" s="142"/>
      <c r="X164" s="142"/>
      <c r="Y164" s="142"/>
      <c r="Z164" s="142"/>
    </row>
    <row r="165" spans="21:26" x14ac:dyDescent="0.2">
      <c r="U165" s="142"/>
      <c r="V165" s="142"/>
      <c r="W165" s="142"/>
      <c r="X165" s="142"/>
      <c r="Y165" s="142"/>
      <c r="Z165" s="142"/>
    </row>
    <row r="166" spans="21:26" x14ac:dyDescent="0.2">
      <c r="U166" s="142"/>
      <c r="V166" s="142"/>
      <c r="W166" s="142"/>
      <c r="X166" s="142"/>
      <c r="Y166" s="142"/>
      <c r="Z166" s="142"/>
    </row>
    <row r="167" spans="21:26" x14ac:dyDescent="0.2">
      <c r="U167" s="142"/>
      <c r="V167" s="142"/>
      <c r="W167" s="142"/>
      <c r="X167" s="142"/>
      <c r="Y167" s="142"/>
      <c r="Z167" s="142"/>
    </row>
    <row r="168" spans="21:26" x14ac:dyDescent="0.2">
      <c r="U168" s="142"/>
      <c r="V168" s="142"/>
      <c r="W168" s="142"/>
      <c r="X168" s="142"/>
      <c r="Y168" s="142"/>
      <c r="Z168" s="142"/>
    </row>
    <row r="169" spans="21:26" x14ac:dyDescent="0.2">
      <c r="U169" s="142"/>
      <c r="V169" s="142"/>
      <c r="W169" s="142"/>
      <c r="X169" s="142"/>
      <c r="Y169" s="142"/>
      <c r="Z169" s="142"/>
    </row>
    <row r="170" spans="21:26" x14ac:dyDescent="0.2">
      <c r="U170" s="142"/>
      <c r="V170" s="142"/>
      <c r="W170" s="142"/>
      <c r="X170" s="142"/>
      <c r="Y170" s="142"/>
      <c r="Z170" s="142"/>
    </row>
    <row r="171" spans="21:26" x14ac:dyDescent="0.2">
      <c r="U171" s="142"/>
      <c r="V171" s="142"/>
      <c r="W171" s="142"/>
      <c r="X171" s="142"/>
      <c r="Y171" s="142"/>
      <c r="Z171" s="142"/>
    </row>
    <row r="172" spans="21:26" x14ac:dyDescent="0.2">
      <c r="U172" s="142"/>
      <c r="V172" s="142"/>
      <c r="W172" s="142"/>
      <c r="X172" s="142"/>
      <c r="Y172" s="142"/>
      <c r="Z172" s="142"/>
    </row>
    <row r="173" spans="21:26" x14ac:dyDescent="0.2">
      <c r="U173" s="142"/>
      <c r="V173" s="142"/>
      <c r="W173" s="142"/>
      <c r="X173" s="142"/>
      <c r="Y173" s="142"/>
      <c r="Z173" s="142"/>
    </row>
    <row r="174" spans="21:26" x14ac:dyDescent="0.2">
      <c r="U174" s="142"/>
      <c r="V174" s="142"/>
      <c r="W174" s="142"/>
      <c r="X174" s="142"/>
      <c r="Y174" s="142"/>
      <c r="Z174" s="142"/>
    </row>
    <row r="175" spans="21:26" x14ac:dyDescent="0.2">
      <c r="U175" s="142"/>
      <c r="V175" s="142"/>
      <c r="W175" s="142"/>
      <c r="X175" s="142"/>
      <c r="Y175" s="142"/>
      <c r="Z175" s="142"/>
    </row>
    <row r="176" spans="21:26" x14ac:dyDescent="0.2">
      <c r="U176" s="142"/>
      <c r="V176" s="142"/>
      <c r="W176" s="142"/>
      <c r="X176" s="142"/>
      <c r="Y176" s="142"/>
      <c r="Z176" s="142"/>
    </row>
    <row r="177" spans="21:26" x14ac:dyDescent="0.2">
      <c r="U177" s="142"/>
      <c r="V177" s="142"/>
      <c r="W177" s="142"/>
      <c r="X177" s="142"/>
      <c r="Y177" s="142"/>
      <c r="Z177" s="142"/>
    </row>
    <row r="178" spans="21:26" x14ac:dyDescent="0.2">
      <c r="U178" s="142"/>
      <c r="V178" s="142"/>
      <c r="W178" s="142"/>
      <c r="X178" s="142"/>
      <c r="Y178" s="142"/>
      <c r="Z178" s="142"/>
    </row>
    <row r="179" spans="21:26" x14ac:dyDescent="0.2">
      <c r="U179" s="142"/>
      <c r="V179" s="142"/>
      <c r="W179" s="142"/>
      <c r="X179" s="142"/>
      <c r="Y179" s="142"/>
      <c r="Z179" s="142"/>
    </row>
    <row r="180" spans="21:26" x14ac:dyDescent="0.2">
      <c r="U180" s="142"/>
      <c r="V180" s="142"/>
      <c r="W180" s="142"/>
      <c r="X180" s="142"/>
      <c r="Y180" s="142"/>
      <c r="Z180" s="142"/>
    </row>
    <row r="181" spans="21:26" x14ac:dyDescent="0.2">
      <c r="U181" s="142"/>
      <c r="V181" s="142"/>
      <c r="W181" s="142"/>
      <c r="X181" s="142"/>
      <c r="Y181" s="142"/>
      <c r="Z181" s="142"/>
    </row>
    <row r="182" spans="21:26" x14ac:dyDescent="0.2">
      <c r="U182" s="142"/>
      <c r="V182" s="142"/>
      <c r="W182" s="142"/>
      <c r="X182" s="142"/>
      <c r="Y182" s="142"/>
      <c r="Z182" s="142"/>
    </row>
    <row r="183" spans="21:26" x14ac:dyDescent="0.2">
      <c r="U183" s="142"/>
      <c r="V183" s="142"/>
      <c r="W183" s="142"/>
      <c r="X183" s="142"/>
      <c r="Y183" s="142"/>
      <c r="Z183" s="142"/>
    </row>
    <row r="184" spans="21:26" x14ac:dyDescent="0.2">
      <c r="U184" s="142"/>
      <c r="V184" s="142"/>
      <c r="W184" s="142"/>
      <c r="X184" s="142"/>
      <c r="Y184" s="142"/>
      <c r="Z184" s="142"/>
    </row>
    <row r="185" spans="21:26" x14ac:dyDescent="0.2">
      <c r="U185" s="142"/>
      <c r="V185" s="142"/>
      <c r="W185" s="142"/>
      <c r="X185" s="142"/>
      <c r="Y185" s="142"/>
      <c r="Z185" s="142"/>
    </row>
    <row r="186" spans="21:26" x14ac:dyDescent="0.2">
      <c r="U186" s="142"/>
      <c r="V186" s="142"/>
      <c r="W186" s="142"/>
      <c r="X186" s="142"/>
      <c r="Y186" s="142"/>
      <c r="Z186" s="142"/>
    </row>
    <row r="187" spans="21:26" x14ac:dyDescent="0.2">
      <c r="U187" s="142"/>
      <c r="V187" s="142"/>
      <c r="W187" s="142"/>
      <c r="X187" s="142"/>
      <c r="Y187" s="142"/>
      <c r="Z187" s="142"/>
    </row>
    <row r="188" spans="21:26" x14ac:dyDescent="0.2">
      <c r="U188" s="142"/>
      <c r="V188" s="142"/>
      <c r="W188" s="142"/>
      <c r="X188" s="142"/>
      <c r="Y188" s="142"/>
      <c r="Z188" s="142"/>
    </row>
    <row r="189" spans="21:26" x14ac:dyDescent="0.2">
      <c r="U189" s="142"/>
      <c r="V189" s="142"/>
      <c r="W189" s="142"/>
      <c r="X189" s="142"/>
      <c r="Y189" s="142"/>
      <c r="Z189" s="142"/>
    </row>
    <row r="190" spans="21:26" x14ac:dyDescent="0.2">
      <c r="U190" s="142"/>
      <c r="V190" s="142"/>
      <c r="W190" s="142"/>
      <c r="X190" s="142"/>
      <c r="Y190" s="142"/>
      <c r="Z190" s="142"/>
    </row>
    <row r="191" spans="21:26" x14ac:dyDescent="0.2">
      <c r="U191" s="142"/>
      <c r="V191" s="142"/>
      <c r="W191" s="142"/>
      <c r="X191" s="142"/>
      <c r="Y191" s="142"/>
      <c r="Z191" s="142"/>
    </row>
    <row r="192" spans="21:26" x14ac:dyDescent="0.2">
      <c r="U192" s="142"/>
      <c r="V192" s="142"/>
      <c r="W192" s="142"/>
      <c r="X192" s="142"/>
      <c r="Y192" s="142"/>
      <c r="Z192" s="142"/>
    </row>
    <row r="193" spans="21:26" x14ac:dyDescent="0.2">
      <c r="U193" s="142"/>
      <c r="V193" s="142"/>
      <c r="W193" s="142"/>
      <c r="X193" s="142"/>
      <c r="Y193" s="142"/>
      <c r="Z193" s="142"/>
    </row>
    <row r="194" spans="21:26" x14ac:dyDescent="0.2">
      <c r="U194" s="142"/>
      <c r="V194" s="142"/>
      <c r="W194" s="142"/>
      <c r="X194" s="142"/>
      <c r="Y194" s="142"/>
      <c r="Z194" s="142"/>
    </row>
    <row r="195" spans="21:26" x14ac:dyDescent="0.2">
      <c r="U195" s="142"/>
      <c r="V195" s="142"/>
      <c r="W195" s="142"/>
      <c r="X195" s="142"/>
      <c r="Y195" s="142"/>
      <c r="Z195" s="142"/>
    </row>
    <row r="196" spans="21:26" x14ac:dyDescent="0.2">
      <c r="U196" s="142"/>
      <c r="V196" s="142"/>
      <c r="W196" s="142"/>
      <c r="X196" s="142"/>
      <c r="Y196" s="142"/>
      <c r="Z196" s="142"/>
    </row>
    <row r="197" spans="21:26" x14ac:dyDescent="0.2">
      <c r="U197" s="142"/>
      <c r="V197" s="142"/>
      <c r="W197" s="142"/>
      <c r="X197" s="142"/>
      <c r="Y197" s="142"/>
      <c r="Z197" s="142"/>
    </row>
    <row r="198" spans="21:26" x14ac:dyDescent="0.2">
      <c r="U198" s="142"/>
      <c r="V198" s="142"/>
      <c r="W198" s="142"/>
      <c r="X198" s="142"/>
      <c r="Y198" s="142"/>
      <c r="Z198" s="142"/>
    </row>
    <row r="199" spans="21:26" x14ac:dyDescent="0.2">
      <c r="U199" s="142"/>
      <c r="V199" s="142"/>
      <c r="W199" s="142"/>
      <c r="X199" s="142"/>
      <c r="Y199" s="142"/>
      <c r="Z199" s="142"/>
    </row>
    <row r="293" spans="21:26" x14ac:dyDescent="0.2">
      <c r="U293" s="142"/>
      <c r="V293" s="142"/>
      <c r="W293" s="142"/>
      <c r="X293" s="142"/>
      <c r="Y293" s="142"/>
      <c r="Z293" s="142"/>
    </row>
    <row r="294" spans="21:26" x14ac:dyDescent="0.2">
      <c r="U294" s="142"/>
      <c r="V294" s="142"/>
      <c r="W294" s="142"/>
      <c r="X294" s="142"/>
      <c r="Y294" s="142"/>
      <c r="Z294" s="142"/>
    </row>
    <row r="295" spans="21:26" x14ac:dyDescent="0.2">
      <c r="U295" s="142"/>
      <c r="V295" s="142"/>
      <c r="W295" s="142"/>
      <c r="X295" s="142"/>
      <c r="Y295" s="142"/>
      <c r="Z295" s="142"/>
    </row>
    <row r="296" spans="21:26" x14ac:dyDescent="0.2">
      <c r="U296" s="142"/>
      <c r="V296" s="142"/>
      <c r="W296" s="142"/>
      <c r="X296" s="142"/>
      <c r="Y296" s="142"/>
      <c r="Z296" s="142"/>
    </row>
    <row r="297" spans="21:26" x14ac:dyDescent="0.2">
      <c r="U297" s="142"/>
      <c r="V297" s="142"/>
      <c r="W297" s="142"/>
      <c r="X297" s="142"/>
      <c r="Y297" s="142"/>
      <c r="Z297" s="142"/>
    </row>
    <row r="298" spans="21:26" x14ac:dyDescent="0.2">
      <c r="U298" s="142"/>
      <c r="V298" s="142"/>
      <c r="W298" s="142"/>
      <c r="X298" s="142"/>
      <c r="Y298" s="142"/>
      <c r="Z298" s="142"/>
    </row>
    <row r="299" spans="21:26" x14ac:dyDescent="0.2">
      <c r="U299" s="142"/>
      <c r="V299" s="142"/>
      <c r="W299" s="142"/>
      <c r="X299" s="142"/>
      <c r="Y299" s="142"/>
      <c r="Z299" s="142"/>
    </row>
    <row r="300" spans="21:26" x14ac:dyDescent="0.2">
      <c r="U300" s="142"/>
      <c r="V300" s="142"/>
      <c r="W300" s="142"/>
      <c r="X300" s="142"/>
      <c r="Y300" s="142"/>
      <c r="Z300" s="142"/>
    </row>
    <row r="301" spans="21:26" x14ac:dyDescent="0.2">
      <c r="U301" s="142"/>
      <c r="V301" s="142"/>
      <c r="W301" s="142"/>
      <c r="X301" s="142"/>
      <c r="Y301" s="142"/>
      <c r="Z301" s="142"/>
    </row>
    <row r="302" spans="21:26" x14ac:dyDescent="0.2">
      <c r="U302" s="142"/>
      <c r="V302" s="142"/>
      <c r="W302" s="142"/>
      <c r="X302" s="142"/>
      <c r="Y302" s="142"/>
      <c r="Z302" s="142"/>
    </row>
    <row r="303" spans="21:26" x14ac:dyDescent="0.2">
      <c r="U303" s="142"/>
      <c r="V303" s="142"/>
      <c r="W303" s="142"/>
      <c r="X303" s="142"/>
      <c r="Y303" s="142"/>
      <c r="Z303" s="142"/>
    </row>
    <row r="304" spans="21:26" x14ac:dyDescent="0.2">
      <c r="U304" s="142"/>
      <c r="V304" s="142"/>
      <c r="W304" s="142"/>
      <c r="X304" s="142"/>
      <c r="Y304" s="142"/>
      <c r="Z304" s="142"/>
    </row>
    <row r="305" spans="21:26" x14ac:dyDescent="0.2">
      <c r="U305" s="142"/>
      <c r="V305" s="142"/>
      <c r="W305" s="142"/>
      <c r="X305" s="142"/>
      <c r="Y305" s="142"/>
      <c r="Z305" s="142"/>
    </row>
    <row r="306" spans="21:26" x14ac:dyDescent="0.2">
      <c r="U306" s="142"/>
      <c r="V306" s="142"/>
      <c r="W306" s="142"/>
      <c r="X306" s="142"/>
      <c r="Y306" s="142"/>
      <c r="Z306" s="142"/>
    </row>
    <row r="307" spans="21:26" x14ac:dyDescent="0.2">
      <c r="U307" s="142"/>
      <c r="V307" s="142"/>
      <c r="W307" s="142"/>
      <c r="X307" s="142"/>
      <c r="Y307" s="142"/>
      <c r="Z307" s="142"/>
    </row>
    <row r="308" spans="21:26" x14ac:dyDescent="0.2">
      <c r="U308" s="142"/>
      <c r="V308" s="142"/>
      <c r="W308" s="142"/>
      <c r="X308" s="142"/>
      <c r="Y308" s="142"/>
      <c r="Z308" s="142"/>
    </row>
    <row r="309" spans="21:26" x14ac:dyDescent="0.2">
      <c r="U309" s="142"/>
      <c r="V309" s="142"/>
      <c r="W309" s="142"/>
      <c r="X309" s="142"/>
      <c r="Y309" s="142"/>
      <c r="Z309" s="142"/>
    </row>
    <row r="310" spans="21:26" x14ac:dyDescent="0.2">
      <c r="U310" s="142"/>
      <c r="V310" s="142"/>
      <c r="W310" s="142"/>
      <c r="X310" s="142"/>
      <c r="Y310" s="142"/>
      <c r="Z310" s="142"/>
    </row>
    <row r="311" spans="21:26" x14ac:dyDescent="0.2">
      <c r="U311" s="142"/>
      <c r="V311" s="142"/>
      <c r="W311" s="142"/>
      <c r="X311" s="142"/>
      <c r="Y311" s="142"/>
      <c r="Z311" s="142"/>
    </row>
    <row r="312" spans="21:26" x14ac:dyDescent="0.2">
      <c r="U312" s="142"/>
      <c r="V312" s="142"/>
      <c r="W312" s="142"/>
      <c r="X312" s="142"/>
      <c r="Y312" s="142"/>
      <c r="Z312" s="142"/>
    </row>
    <row r="313" spans="21:26" x14ac:dyDescent="0.2">
      <c r="U313" s="142"/>
      <c r="V313" s="142"/>
      <c r="W313" s="142"/>
      <c r="X313" s="142"/>
      <c r="Y313" s="142"/>
      <c r="Z313" s="142"/>
    </row>
    <row r="314" spans="21:26" x14ac:dyDescent="0.2">
      <c r="U314" s="142"/>
      <c r="V314" s="142"/>
      <c r="W314" s="142"/>
      <c r="X314" s="142"/>
      <c r="Y314" s="142"/>
      <c r="Z314" s="142"/>
    </row>
    <row r="315" spans="21:26" x14ac:dyDescent="0.2">
      <c r="U315" s="142"/>
      <c r="V315" s="142"/>
      <c r="W315" s="142"/>
      <c r="X315" s="142"/>
      <c r="Y315" s="142"/>
      <c r="Z315" s="142"/>
    </row>
    <row r="316" spans="21:26" x14ac:dyDescent="0.2">
      <c r="U316" s="142"/>
      <c r="V316" s="142"/>
      <c r="W316" s="142"/>
      <c r="X316" s="142"/>
      <c r="Y316" s="142"/>
      <c r="Z316" s="142"/>
    </row>
    <row r="317" spans="21:26" x14ac:dyDescent="0.2">
      <c r="U317" s="142"/>
      <c r="V317" s="142"/>
      <c r="W317" s="142"/>
      <c r="X317" s="142"/>
      <c r="Y317" s="142"/>
      <c r="Z317" s="142"/>
    </row>
    <row r="318" spans="21:26" x14ac:dyDescent="0.2">
      <c r="U318" s="142"/>
      <c r="V318" s="142"/>
      <c r="W318" s="142"/>
      <c r="X318" s="142"/>
      <c r="Y318" s="142"/>
      <c r="Z318" s="142"/>
    </row>
  </sheetData>
  <phoneticPr fontId="0" type="noConversion"/>
  <conditionalFormatting sqref="H50:M6044">
    <cfRule type="cellIs" dxfId="9" priority="11" operator="notEqual">
      <formula>H49</formula>
    </cfRule>
  </conditionalFormatting>
  <conditionalFormatting sqref="AG1:AG1048576">
    <cfRule type="dataBar" priority="2">
      <dataBar>
        <cfvo type="min"/>
        <cfvo type="max"/>
        <color rgb="FF638EC6"/>
      </dataBar>
      <extLst>
        <ext xmlns:x14="http://schemas.microsoft.com/office/spreadsheetml/2009/9/main" uri="{B025F937-C7B1-47D3-B67F-A62EFF666E3E}">
          <x14:id>{0F7ED601-71CC-4484-B9E0-7ACAD70D4A1D}</x14:id>
        </ext>
      </extLst>
    </cfRule>
  </conditionalFormatting>
  <conditionalFormatting sqref="H49:M49">
    <cfRule type="cellIs" dxfId="8" priority="13" operator="notEqual">
      <formula>#REF!</formula>
    </cfRule>
  </conditionalFormatting>
  <hyperlinks>
    <hyperlink ref="AP25" r:id="rId1" display="ATT_KUKA.data.xml"/>
    <hyperlink ref="AP28" r:id="rId2" display="ATT_KUKA.dataout.xml"/>
  </hyperlinks>
  <pageMargins left="0.75" right="0.75" top="1" bottom="1" header="0.5" footer="0.5"/>
  <pageSetup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056" r:id="rId6" name="Button 32">
              <controlPr defaultSize="0" autoFill="0" autoPict="0" macro="[0]!RedoNamedRanges">
                <anchor moveWithCells="1">
                  <from>
                    <xdr:col>35</xdr:col>
                    <xdr:colOff>571500</xdr:colOff>
                    <xdr:row>18</xdr:row>
                    <xdr:rowOff>104775</xdr:rowOff>
                  </from>
                  <to>
                    <xdr:col>40</xdr:col>
                    <xdr:colOff>352425</xdr:colOff>
                    <xdr:row>20</xdr:row>
                    <xdr:rowOff>57150</xdr:rowOff>
                  </to>
                </anchor>
              </controlPr>
            </control>
          </mc:Choice>
        </mc:AlternateContent>
        <mc:AlternateContent xmlns:mc="http://schemas.openxmlformats.org/markup-compatibility/2006">
          <mc:Choice Requires="x14">
            <control shapeId="1061" r:id="rId7" name="Button 37">
              <controlPr defaultSize="0" autoFill="0" autoPict="0" macro="[0]!SendToDataXML">
                <anchor>
                  <from>
                    <xdr:col>35</xdr:col>
                    <xdr:colOff>571500</xdr:colOff>
                    <xdr:row>23</xdr:row>
                    <xdr:rowOff>142875</xdr:rowOff>
                  </from>
                  <to>
                    <xdr:col>40</xdr:col>
                    <xdr:colOff>352425</xdr:colOff>
                    <xdr:row>25</xdr:row>
                    <xdr:rowOff>95250</xdr:rowOff>
                  </to>
                </anchor>
              </controlPr>
            </control>
          </mc:Choice>
        </mc:AlternateContent>
        <mc:AlternateContent xmlns:mc="http://schemas.openxmlformats.org/markup-compatibility/2006">
          <mc:Choice Requires="x14">
            <control shapeId="1062" r:id="rId8" name="Button 38">
              <controlPr defaultSize="0" autoFill="0" autoPict="0" macro="[0]!RemapXMLDataout">
                <anchor>
                  <from>
                    <xdr:col>35</xdr:col>
                    <xdr:colOff>571500</xdr:colOff>
                    <xdr:row>20</xdr:row>
                    <xdr:rowOff>76200</xdr:rowOff>
                  </from>
                  <to>
                    <xdr:col>40</xdr:col>
                    <xdr:colOff>352425</xdr:colOff>
                    <xdr:row>22</xdr:row>
                    <xdr:rowOff>19050</xdr:rowOff>
                  </to>
                </anchor>
              </controlPr>
            </control>
          </mc:Choice>
        </mc:AlternateContent>
        <mc:AlternateContent xmlns:mc="http://schemas.openxmlformats.org/markup-compatibility/2006">
          <mc:Choice Requires="x14">
            <control shapeId="1063" r:id="rId9" name="Button 39">
              <controlPr defaultSize="0" autoFill="0" autoPict="0" macro="[0]!UpdateXMLDataout">
                <anchor>
                  <from>
                    <xdr:col>35</xdr:col>
                    <xdr:colOff>571500</xdr:colOff>
                    <xdr:row>27</xdr:row>
                    <xdr:rowOff>38100</xdr:rowOff>
                  </from>
                  <to>
                    <xdr:col>40</xdr:col>
                    <xdr:colOff>352425</xdr:colOff>
                    <xdr:row>28</xdr:row>
                    <xdr:rowOff>152400</xdr:rowOff>
                  </to>
                </anchor>
              </controlPr>
            </control>
          </mc:Choice>
        </mc:AlternateContent>
        <mc:AlternateContent xmlns:mc="http://schemas.openxmlformats.org/markup-compatibility/2006">
          <mc:Choice Requires="x14">
            <control shapeId="1065" r:id="rId10" name="Option Button 41">
              <controlPr defaultSize="0" autoFill="0" autoLine="0" autoPict="0" altText="in -&gt; mm">
                <anchor>
                  <from>
                    <xdr:col>35</xdr:col>
                    <xdr:colOff>704850</xdr:colOff>
                    <xdr:row>32</xdr:row>
                    <xdr:rowOff>19050</xdr:rowOff>
                  </from>
                  <to>
                    <xdr:col>36</xdr:col>
                    <xdr:colOff>171450</xdr:colOff>
                    <xdr:row>34</xdr:row>
                    <xdr:rowOff>28575</xdr:rowOff>
                  </to>
                </anchor>
              </controlPr>
            </control>
          </mc:Choice>
        </mc:AlternateContent>
        <mc:AlternateContent xmlns:mc="http://schemas.openxmlformats.org/markup-compatibility/2006">
          <mc:Choice Requires="x14">
            <control shapeId="1066" r:id="rId11" name="Option Button 42">
              <controlPr defaultSize="0" autoFill="0" autoLine="0" autoPict="0">
                <anchor>
                  <from>
                    <xdr:col>35</xdr:col>
                    <xdr:colOff>704850</xdr:colOff>
                    <xdr:row>33</xdr:row>
                    <xdr:rowOff>123825</xdr:rowOff>
                  </from>
                  <to>
                    <xdr:col>36</xdr:col>
                    <xdr:colOff>142875</xdr:colOff>
                    <xdr:row>35</xdr:row>
                    <xdr:rowOff>104775</xdr:rowOff>
                  </to>
                </anchor>
              </controlPr>
            </control>
          </mc:Choice>
        </mc:AlternateContent>
        <mc:AlternateContent xmlns:mc="http://schemas.openxmlformats.org/markup-compatibility/2006">
          <mc:Choice Requires="x14">
            <control shapeId="1069" r:id="rId12" name="Button 45">
              <controlPr defaultSize="0" autoFill="0" autoPict="0" macro="[0]!ClearData">
                <anchor moveWithCells="1">
                  <from>
                    <xdr:col>35</xdr:col>
                    <xdr:colOff>571500</xdr:colOff>
                    <xdr:row>16</xdr:row>
                    <xdr:rowOff>133350</xdr:rowOff>
                  </from>
                  <to>
                    <xdr:col>40</xdr:col>
                    <xdr:colOff>352425</xdr:colOff>
                    <xdr:row>18</xdr:row>
                    <xdr:rowOff>85725</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0F7ED601-71CC-4484-B9E0-7ACAD70D4A1D}">
            <x14:dataBar minLength="0" maxLength="100" border="1" negativeBarBorderColorSameAsPositive="0">
              <x14:cfvo type="autoMin"/>
              <x14:cfvo type="autoMax"/>
              <x14:borderColor rgb="FF638EC6"/>
              <x14:negativeFillColor rgb="FFFF0000"/>
              <x14:negativeBorderColor rgb="FFFF0000"/>
              <x14:axisColor rgb="FF000000"/>
            </x14:dataBar>
          </x14:cfRule>
          <xm:sqref>AG1:AG1048576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Y10"/>
  <sheetViews>
    <sheetView workbookViewId="0">
      <selection activeCell="E12" sqref="E12"/>
    </sheetView>
  </sheetViews>
  <sheetFormatPr defaultRowHeight="12.75" x14ac:dyDescent="0.2"/>
  <cols>
    <col min="12" max="19" width="9.28515625" customWidth="1"/>
  </cols>
  <sheetData>
    <row r="1" spans="2:25" x14ac:dyDescent="0.2">
      <c r="G1" s="2" t="s">
        <v>27</v>
      </c>
      <c r="H1" s="2" t="s">
        <v>1198</v>
      </c>
      <c r="I1" s="2" t="s">
        <v>1199</v>
      </c>
      <c r="J1" s="12" t="s">
        <v>1200</v>
      </c>
    </row>
    <row r="2" spans="2:25" x14ac:dyDescent="0.2">
      <c r="B2" s="2" t="s">
        <v>1171</v>
      </c>
      <c r="C2" s="2" t="s">
        <v>1172</v>
      </c>
      <c r="D2" s="2" t="s">
        <v>1173</v>
      </c>
      <c r="E2" s="2" t="s">
        <v>1174</v>
      </c>
      <c r="F2" s="2" t="s">
        <v>1175</v>
      </c>
      <c r="G2" s="2" t="s">
        <v>1176</v>
      </c>
      <c r="H2" s="2" t="s">
        <v>1180</v>
      </c>
      <c r="I2" s="2" t="s">
        <v>1181</v>
      </c>
      <c r="J2" s="2" t="s">
        <v>1182</v>
      </c>
      <c r="K2" s="2" t="s">
        <v>1183</v>
      </c>
      <c r="L2" s="2" t="s">
        <v>1184</v>
      </c>
      <c r="M2" s="2" t="s">
        <v>1185</v>
      </c>
      <c r="N2" s="2" t="s">
        <v>1192</v>
      </c>
      <c r="O2" s="12" t="s">
        <v>1193</v>
      </c>
      <c r="P2" s="2" t="s">
        <v>1194</v>
      </c>
      <c r="Q2" s="2" t="s">
        <v>1195</v>
      </c>
      <c r="R2" s="2" t="s">
        <v>1196</v>
      </c>
      <c r="S2" s="2" t="s">
        <v>1197</v>
      </c>
      <c r="T2" s="2" t="s">
        <v>1186</v>
      </c>
      <c r="U2" s="2" t="s">
        <v>1187</v>
      </c>
      <c r="V2" s="2" t="s">
        <v>1188</v>
      </c>
      <c r="W2" s="2" t="s">
        <v>1189</v>
      </c>
      <c r="X2" s="2" t="s">
        <v>1190</v>
      </c>
      <c r="Y2" s="2" t="s">
        <v>1191</v>
      </c>
    </row>
    <row r="3" spans="2:25" x14ac:dyDescent="0.2">
      <c r="B3">
        <v>-6.56</v>
      </c>
      <c r="C3">
        <v>-82.06</v>
      </c>
      <c r="D3">
        <v>78.44</v>
      </c>
      <c r="E3">
        <v>22.8</v>
      </c>
      <c r="F3">
        <v>37.67</v>
      </c>
      <c r="G3">
        <v>-15.52</v>
      </c>
      <c r="H3">
        <v>1412.25</v>
      </c>
      <c r="I3">
        <v>121.78</v>
      </c>
      <c r="J3">
        <v>1766.3</v>
      </c>
      <c r="K3">
        <v>-168.24</v>
      </c>
      <c r="L3">
        <v>57.39</v>
      </c>
      <c r="M3">
        <v>-161.9</v>
      </c>
      <c r="N3">
        <v>1559.55</v>
      </c>
      <c r="O3">
        <v>105.88</v>
      </c>
      <c r="P3">
        <v>1726.53</v>
      </c>
      <c r="Q3">
        <v>-167.85</v>
      </c>
      <c r="R3">
        <v>57.3</v>
      </c>
      <c r="S3">
        <v>-161.51</v>
      </c>
      <c r="T3">
        <v>1437.82</v>
      </c>
      <c r="U3">
        <v>-270.14</v>
      </c>
      <c r="V3">
        <v>1736.06</v>
      </c>
      <c r="W3">
        <v>106.91</v>
      </c>
      <c r="X3">
        <v>57.21</v>
      </c>
      <c r="Y3">
        <v>-161.49</v>
      </c>
    </row>
    <row r="4" spans="2:25" x14ac:dyDescent="0.2">
      <c r="H4">
        <v>1559.55</v>
      </c>
      <c r="I4">
        <v>105.88</v>
      </c>
      <c r="J4">
        <v>1726.53</v>
      </c>
    </row>
    <row r="5" spans="2:25" x14ac:dyDescent="0.2">
      <c r="H5">
        <f>H4-H3</f>
        <v>147.29999999999995</v>
      </c>
      <c r="I5">
        <f t="shared" ref="I5:J5" si="0">I4-I3</f>
        <v>-15.900000000000006</v>
      </c>
      <c r="J5">
        <f t="shared" si="0"/>
        <v>-39.769999999999982</v>
      </c>
    </row>
    <row r="7" spans="2:25" x14ac:dyDescent="0.2">
      <c r="H7" s="2" t="s">
        <v>1201</v>
      </c>
      <c r="I7" s="2" t="s">
        <v>1202</v>
      </c>
      <c r="J7" s="2" t="s">
        <v>1203</v>
      </c>
    </row>
    <row r="8" spans="2:25" x14ac:dyDescent="0.2">
      <c r="H8">
        <v>1339.98</v>
      </c>
      <c r="I8">
        <v>0.06</v>
      </c>
      <c r="J8">
        <v>1810.04</v>
      </c>
    </row>
    <row r="9" spans="2:25" x14ac:dyDescent="0.2">
      <c r="H9">
        <v>1487.39</v>
      </c>
      <c r="I9">
        <v>0.3</v>
      </c>
      <c r="J9">
        <v>1852.5</v>
      </c>
    </row>
    <row r="10" spans="2:25" x14ac:dyDescent="0.2">
      <c r="H10">
        <f>H9-H8</f>
        <v>147.41000000000008</v>
      </c>
      <c r="I10">
        <f t="shared" ref="I10:J10" si="1">I9-I8</f>
        <v>0.24</v>
      </c>
      <c r="J10">
        <f t="shared" si="1"/>
        <v>42.460000000000036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tint="0.499984740745262"/>
  </sheetPr>
  <dimension ref="A1:V83"/>
  <sheetViews>
    <sheetView workbookViewId="0">
      <selection activeCell="T3" sqref="T3"/>
    </sheetView>
  </sheetViews>
  <sheetFormatPr defaultRowHeight="12.75" x14ac:dyDescent="0.2"/>
  <sheetData>
    <row r="1" spans="1:22" ht="15" x14ac:dyDescent="0.25">
      <c r="A1" s="138">
        <v>-62.103671570000003</v>
      </c>
      <c r="B1" s="138">
        <v>-41.924131010000004</v>
      </c>
      <c r="C1" s="138">
        <v>78.440049439999996</v>
      </c>
      <c r="D1" s="138">
        <v>95.763628769999997</v>
      </c>
      <c r="E1" s="138">
        <v>73.115722579999996</v>
      </c>
      <c r="F1" s="138">
        <v>-104.86217139999999</v>
      </c>
      <c r="G1" s="138">
        <v>2776.3624110000001</v>
      </c>
      <c r="H1" s="138">
        <v>277.0818984</v>
      </c>
      <c r="I1" s="138">
        <v>1051.454244</v>
      </c>
      <c r="J1" s="138">
        <v>95.857124880000001</v>
      </c>
      <c r="K1" s="138">
        <v>-5.9452423230000004</v>
      </c>
      <c r="L1" s="138">
        <v>-111.4896566</v>
      </c>
      <c r="M1" s="138">
        <v>0.968245837</v>
      </c>
      <c r="N1" s="138">
        <v>0</v>
      </c>
    </row>
    <row r="2" spans="1:22" ht="15" x14ac:dyDescent="0.25">
      <c r="A2" s="138">
        <v>-74.91803444</v>
      </c>
      <c r="B2" s="138">
        <v>-58.200457309999997</v>
      </c>
      <c r="C2" s="138">
        <v>96.739854350000002</v>
      </c>
      <c r="D2" s="138">
        <v>76.095013730000005</v>
      </c>
      <c r="E2" s="138">
        <v>79.872307509999999</v>
      </c>
      <c r="F2" s="138">
        <v>-105.0268475</v>
      </c>
      <c r="G2" s="138">
        <v>2667.7285149999998</v>
      </c>
      <c r="H2" s="138">
        <v>689.46930840000005</v>
      </c>
      <c r="I2" s="138">
        <v>1116.3989899999999</v>
      </c>
      <c r="J2" s="138">
        <v>107.74080910000001</v>
      </c>
      <c r="K2" s="138">
        <v>-10.248122889999999</v>
      </c>
      <c r="L2" s="138">
        <v>-109.4870559</v>
      </c>
      <c r="M2" s="138">
        <v>3.1819805149999998</v>
      </c>
      <c r="N2" s="138">
        <v>0</v>
      </c>
      <c r="Q2" s="2" t="s">
        <v>1179</v>
      </c>
    </row>
    <row r="3" spans="1:22" ht="15" x14ac:dyDescent="0.25">
      <c r="A3" s="138">
        <v>-74.918035739999993</v>
      </c>
      <c r="B3" s="138">
        <v>-134.4548198</v>
      </c>
      <c r="C3" s="138">
        <v>96.739853440000005</v>
      </c>
      <c r="D3" s="138">
        <v>76.094997939999999</v>
      </c>
      <c r="E3" s="138">
        <v>79.872308200000006</v>
      </c>
      <c r="F3" s="138">
        <v>-105.02684170000001</v>
      </c>
      <c r="G3" s="138">
        <v>1515.2617499999999</v>
      </c>
      <c r="H3" s="138">
        <v>898.54077299999994</v>
      </c>
      <c r="I3" s="138">
        <v>2076.0318139999999</v>
      </c>
      <c r="J3" s="138">
        <v>94.550033099999993</v>
      </c>
      <c r="K3" s="138">
        <v>6.4273800259999998</v>
      </c>
      <c r="L3" s="138">
        <v>-36.149482659999997</v>
      </c>
      <c r="M3" s="138">
        <v>2.7041634569999999</v>
      </c>
      <c r="N3" s="138">
        <v>0</v>
      </c>
      <c r="Q3" s="138">
        <v>1174.03</v>
      </c>
      <c r="R3" s="138">
        <v>-1303.77</v>
      </c>
      <c r="S3" s="138">
        <v>-37.86</v>
      </c>
      <c r="T3" s="138">
        <v>85.26</v>
      </c>
      <c r="U3" s="138">
        <v>-0.04</v>
      </c>
      <c r="V3" s="138">
        <v>-0.08</v>
      </c>
    </row>
    <row r="4" spans="1:22" ht="15" x14ac:dyDescent="0.25">
      <c r="A4" s="138">
        <v>-116.7600024</v>
      </c>
      <c r="B4" s="138">
        <v>-129.7200009</v>
      </c>
      <c r="C4" s="138">
        <v>97.609996719999998</v>
      </c>
      <c r="D4" s="138">
        <v>-86.930025409999999</v>
      </c>
      <c r="E4" s="138">
        <v>-88.760001680000002</v>
      </c>
      <c r="F4" s="138">
        <v>136.42998080000001</v>
      </c>
      <c r="G4" s="138">
        <v>1735.9339460000001</v>
      </c>
      <c r="H4" s="138">
        <v>1230.581719</v>
      </c>
      <c r="I4" s="138">
        <v>2123.304533</v>
      </c>
      <c r="J4" s="138">
        <v>86.600565489999994</v>
      </c>
      <c r="K4" s="138">
        <v>30.53843732</v>
      </c>
      <c r="L4" s="138">
        <v>-102.765699</v>
      </c>
      <c r="M4" s="138">
        <v>2</v>
      </c>
      <c r="N4" s="138">
        <v>0</v>
      </c>
    </row>
    <row r="5" spans="1:22" ht="15" x14ac:dyDescent="0.25">
      <c r="A5" s="138">
        <v>-62.250583800000001</v>
      </c>
      <c r="B5" s="138">
        <v>-128.0849786</v>
      </c>
      <c r="C5" s="138">
        <v>56.87321781</v>
      </c>
      <c r="D5" s="138">
        <v>84.42127266</v>
      </c>
      <c r="E5" s="138">
        <v>76.430499420000004</v>
      </c>
      <c r="F5" s="138">
        <v>6.0592368170000004</v>
      </c>
      <c r="G5" s="138">
        <v>1108.6876580000001</v>
      </c>
      <c r="H5" s="138">
        <v>994.0148299</v>
      </c>
      <c r="I5" s="138">
        <v>2444.7242460000002</v>
      </c>
      <c r="J5" s="138">
        <v>78.420525269999999</v>
      </c>
      <c r="K5" s="138">
        <v>-13.0062449</v>
      </c>
      <c r="L5" s="138">
        <v>-118.06238070000001</v>
      </c>
      <c r="M5" s="138">
        <v>2.3717082450000002</v>
      </c>
      <c r="N5" s="138">
        <v>0</v>
      </c>
    </row>
    <row r="6" spans="1:22" ht="15" x14ac:dyDescent="0.25">
      <c r="A6" s="138">
        <v>-98.580689239999998</v>
      </c>
      <c r="B6" s="138">
        <v>-81.158150019999994</v>
      </c>
      <c r="C6" s="138">
        <v>74.156182329999993</v>
      </c>
      <c r="D6" s="138">
        <v>68.437368699999993</v>
      </c>
      <c r="E6" s="138">
        <v>84.637888180000004</v>
      </c>
      <c r="F6" s="138">
        <v>39.171114850000002</v>
      </c>
      <c r="G6" s="138">
        <v>2591.5902759999999</v>
      </c>
      <c r="H6" s="138">
        <v>1315.21632</v>
      </c>
      <c r="I6" s="138">
        <v>1803.1849569999999</v>
      </c>
      <c r="J6" s="138">
        <v>112.0956867</v>
      </c>
      <c r="K6" s="138">
        <v>20.612701909999998</v>
      </c>
      <c r="L6" s="138">
        <v>142.04662160000001</v>
      </c>
      <c r="M6" s="138">
        <v>1.7320508080000001</v>
      </c>
      <c r="N6" s="138">
        <v>0</v>
      </c>
    </row>
    <row r="7" spans="1:22" ht="15" x14ac:dyDescent="0.25">
      <c r="A7" s="138">
        <v>-36.224117130000003</v>
      </c>
      <c r="B7" s="138">
        <v>-81.158145219999994</v>
      </c>
      <c r="C7" s="138">
        <v>74.156174849999999</v>
      </c>
      <c r="D7" s="138">
        <v>72.179199299999993</v>
      </c>
      <c r="E7" s="138">
        <v>42.203372229999999</v>
      </c>
      <c r="F7" s="138">
        <v>39.171120989999999</v>
      </c>
      <c r="G7" s="138">
        <v>2088.9567729999999</v>
      </c>
      <c r="H7" s="138">
        <v>-2.2054624820000002</v>
      </c>
      <c r="I7" s="138">
        <v>1882.234001</v>
      </c>
      <c r="J7" s="138">
        <v>96.498544359999997</v>
      </c>
      <c r="K7" s="138">
        <v>1.199028142</v>
      </c>
      <c r="L7" s="138">
        <v>158.3941183</v>
      </c>
      <c r="M7" s="138">
        <v>0.84779124800000005</v>
      </c>
      <c r="N7" s="138">
        <v>0</v>
      </c>
    </row>
    <row r="8" spans="1:22" ht="15" x14ac:dyDescent="0.25">
      <c r="A8" s="138">
        <v>-24.950873179999999</v>
      </c>
      <c r="B8" s="138">
        <v>-34.776457409999999</v>
      </c>
      <c r="C8" s="138">
        <v>97.468522570000005</v>
      </c>
      <c r="D8" s="138">
        <v>131.3350667</v>
      </c>
      <c r="E8" s="138">
        <v>60.754991070000003</v>
      </c>
      <c r="F8" s="138">
        <v>-63.65155403</v>
      </c>
      <c r="G8" s="138">
        <v>1950.212462</v>
      </c>
      <c r="H8" s="138">
        <v>-386.39620600000001</v>
      </c>
      <c r="I8" s="138">
        <v>610.28820540000004</v>
      </c>
      <c r="J8" s="138">
        <v>100.37847910000001</v>
      </c>
      <c r="K8" s="138">
        <v>-11.71152605</v>
      </c>
      <c r="L8" s="138">
        <v>175.8548797</v>
      </c>
      <c r="M8" s="138">
        <v>0.17677669500000001</v>
      </c>
      <c r="N8" s="138">
        <v>0</v>
      </c>
    </row>
    <row r="9" spans="1:22" ht="15" x14ac:dyDescent="0.25">
      <c r="A9" s="138">
        <v>-52.098889849999999</v>
      </c>
      <c r="B9" s="138">
        <v>-58.53281097</v>
      </c>
      <c r="C9" s="138">
        <v>136.4299326</v>
      </c>
      <c r="D9" s="138">
        <v>108.79009840000001</v>
      </c>
      <c r="E9" s="138">
        <v>76.077056350000007</v>
      </c>
      <c r="F9" s="138">
        <v>-72.49127464</v>
      </c>
      <c r="G9" s="138">
        <v>2108.2725460000001</v>
      </c>
      <c r="H9" s="138">
        <v>357.1193864</v>
      </c>
      <c r="I9" s="138">
        <v>742.84985380000001</v>
      </c>
      <c r="J9" s="138">
        <v>100.3692083</v>
      </c>
      <c r="K9" s="138">
        <v>-11.754432720000001</v>
      </c>
      <c r="L9" s="138">
        <v>175.84651629999999</v>
      </c>
      <c r="M9" s="138">
        <v>0.17677669500000001</v>
      </c>
      <c r="N9" s="138">
        <v>0</v>
      </c>
    </row>
    <row r="10" spans="1:22" ht="15" x14ac:dyDescent="0.25">
      <c r="A10" s="138">
        <v>-60.287089160000001</v>
      </c>
      <c r="B10" s="138">
        <v>-29.628320309999999</v>
      </c>
      <c r="C10" s="138">
        <v>79.63656967</v>
      </c>
      <c r="D10" s="138">
        <v>93.618482740000005</v>
      </c>
      <c r="E10" s="138">
        <v>74.187438200000003</v>
      </c>
      <c r="F10" s="138">
        <v>-43.506267549999997</v>
      </c>
      <c r="G10" s="138">
        <v>2747.3497320000001</v>
      </c>
      <c r="H10" s="138">
        <v>234.08100390000001</v>
      </c>
      <c r="I10" s="138">
        <v>672.26681489999999</v>
      </c>
      <c r="J10" s="138">
        <v>100.2994078</v>
      </c>
      <c r="K10" s="138">
        <v>-11.603976599999999</v>
      </c>
      <c r="L10" s="138">
        <v>175.81719219999999</v>
      </c>
      <c r="M10" s="138">
        <v>1.9685019690000001</v>
      </c>
      <c r="N10" s="138">
        <v>0</v>
      </c>
    </row>
    <row r="11" spans="1:22" ht="15" x14ac:dyDescent="0.25">
      <c r="A11" s="138">
        <v>32.396439970000003</v>
      </c>
      <c r="B11" s="138">
        <v>-79.209368440000006</v>
      </c>
      <c r="C11" s="138">
        <v>127.3138277</v>
      </c>
      <c r="D11" s="138">
        <v>234.38083109999999</v>
      </c>
      <c r="E11" s="138">
        <v>48.938290819999999</v>
      </c>
      <c r="F11" s="138">
        <v>-121.98265910000001</v>
      </c>
      <c r="G11" s="138">
        <v>763.01551589999997</v>
      </c>
      <c r="H11" s="138">
        <v>-53.036529790000003</v>
      </c>
      <c r="I11" s="138">
        <v>1108.0748410000001</v>
      </c>
      <c r="J11" s="138">
        <v>101.8118233</v>
      </c>
      <c r="K11" s="138">
        <v>10.57821268</v>
      </c>
      <c r="L11" s="138">
        <v>175.7846825</v>
      </c>
      <c r="M11" s="138">
        <v>0.5</v>
      </c>
      <c r="N11" s="138">
        <v>0</v>
      </c>
    </row>
    <row r="12" spans="1:22" ht="15" x14ac:dyDescent="0.25">
      <c r="A12" s="138">
        <v>15.845737509999999</v>
      </c>
      <c r="B12" s="138">
        <v>-24.299696040000001</v>
      </c>
      <c r="C12" s="138">
        <v>48.516016389999997</v>
      </c>
      <c r="D12" s="138">
        <v>242.2745961</v>
      </c>
      <c r="E12" s="138">
        <v>24.665929200000001</v>
      </c>
      <c r="F12" s="138">
        <v>-143.77842100000001</v>
      </c>
      <c r="G12" s="138">
        <v>930.92441550000001</v>
      </c>
      <c r="H12" s="138">
        <v>-917.42145570000002</v>
      </c>
      <c r="I12" s="138">
        <v>929.30813169999999</v>
      </c>
      <c r="J12" s="138">
        <v>101.7542155</v>
      </c>
      <c r="K12" s="138">
        <v>10.483185430000001</v>
      </c>
      <c r="L12" s="138">
        <v>175.8121084</v>
      </c>
      <c r="M12" s="138">
        <v>0.125</v>
      </c>
      <c r="N12" s="138">
        <v>0</v>
      </c>
    </row>
    <row r="13" spans="1:22" ht="15" x14ac:dyDescent="0.25">
      <c r="A13" s="138">
        <v>15.84573415</v>
      </c>
      <c r="B13" s="138">
        <v>-24.299712830000001</v>
      </c>
      <c r="C13" s="138">
        <v>48.516001209999999</v>
      </c>
      <c r="D13" s="138">
        <v>104.92055209999999</v>
      </c>
      <c r="E13" s="138">
        <v>-21.695561770000001</v>
      </c>
      <c r="F13" s="138">
        <v>-59.658214340000001</v>
      </c>
      <c r="G13" s="138">
        <v>922.11590509999996</v>
      </c>
      <c r="H13" s="138">
        <v>-903.30447389999995</v>
      </c>
      <c r="I13" s="138">
        <v>875.74425729999996</v>
      </c>
      <c r="J13" s="138">
        <v>118.7262353</v>
      </c>
      <c r="K13" s="138">
        <v>11.448805610000001</v>
      </c>
      <c r="L13" s="138">
        <v>-131.0188488</v>
      </c>
      <c r="M13" s="138">
        <v>0.39528470799999998</v>
      </c>
      <c r="N13" s="138">
        <v>0</v>
      </c>
    </row>
    <row r="14" spans="1:22" ht="15" x14ac:dyDescent="0.25">
      <c r="A14" s="138">
        <v>40.181850660000002</v>
      </c>
      <c r="B14" s="138">
        <v>-18.401223600000002</v>
      </c>
      <c r="C14" s="138">
        <v>48.516027219999998</v>
      </c>
      <c r="D14" s="138">
        <v>68.345402370000002</v>
      </c>
      <c r="E14" s="138">
        <v>-39.060649339999998</v>
      </c>
      <c r="F14" s="138">
        <v>-59.658212390000003</v>
      </c>
      <c r="G14" s="138">
        <v>83.741380309999997</v>
      </c>
      <c r="H14" s="138">
        <v>-622.82642190000001</v>
      </c>
      <c r="I14" s="138">
        <v>814.4283398</v>
      </c>
      <c r="J14" s="138">
        <v>100.8964699</v>
      </c>
      <c r="K14" s="138">
        <v>1.3579800829999999</v>
      </c>
      <c r="L14" s="138">
        <v>-85.784801079999994</v>
      </c>
      <c r="M14" s="138">
        <v>0.27950849700000002</v>
      </c>
      <c r="N14" s="138">
        <v>0</v>
      </c>
    </row>
    <row r="15" spans="1:22" ht="15" x14ac:dyDescent="0.25">
      <c r="A15" s="138">
        <v>40.181852569999997</v>
      </c>
      <c r="B15" s="138">
        <v>-72.637339479999994</v>
      </c>
      <c r="C15" s="138">
        <v>56.365863879999999</v>
      </c>
      <c r="D15" s="138">
        <v>100.53098490000001</v>
      </c>
      <c r="E15" s="138">
        <v>-45.02148373</v>
      </c>
      <c r="F15" s="138">
        <v>-40.625020749999997</v>
      </c>
      <c r="G15" s="138">
        <v>510.73592389999999</v>
      </c>
      <c r="H15" s="138">
        <v>-130.8699311</v>
      </c>
      <c r="I15" s="138">
        <v>2070.168991</v>
      </c>
      <c r="J15" s="138">
        <v>85.911826309999995</v>
      </c>
      <c r="K15" s="138">
        <v>9.0298021530000003</v>
      </c>
      <c r="L15" s="138">
        <v>-157.88531309999999</v>
      </c>
      <c r="M15" s="138">
        <v>3.3957694269999998</v>
      </c>
      <c r="N15" s="138">
        <v>0</v>
      </c>
    </row>
    <row r="16" spans="1:22" ht="15" x14ac:dyDescent="0.25">
      <c r="A16" s="138">
        <v>24.658770010000001</v>
      </c>
      <c r="B16" s="138">
        <v>-104.37030679999999</v>
      </c>
      <c r="C16" s="138">
        <v>56.365858920000001</v>
      </c>
      <c r="D16" s="138">
        <v>119.7684161</v>
      </c>
      <c r="E16" s="138">
        <v>-65.828376239999997</v>
      </c>
      <c r="F16" s="138">
        <v>-40.625021969999999</v>
      </c>
      <c r="G16" s="138">
        <v>1214.3777869999999</v>
      </c>
      <c r="H16" s="138">
        <v>485.41437669999999</v>
      </c>
      <c r="I16" s="138">
        <v>2370.712219</v>
      </c>
      <c r="J16" s="138">
        <v>90.302166209999996</v>
      </c>
      <c r="K16" s="138">
        <v>32.636307780000003</v>
      </c>
      <c r="L16" s="138">
        <v>165.6831052</v>
      </c>
      <c r="M16" s="138">
        <v>0.43301270200000003</v>
      </c>
      <c r="N16" s="138">
        <v>0</v>
      </c>
    </row>
    <row r="17" spans="1:14" ht="15" x14ac:dyDescent="0.25">
      <c r="A17" s="138">
        <v>71.970885089999996</v>
      </c>
      <c r="B17" s="138">
        <v>-104.3703057</v>
      </c>
      <c r="C17" s="138">
        <v>56.365858150000001</v>
      </c>
      <c r="D17" s="138">
        <v>119.7684618</v>
      </c>
      <c r="E17" s="138">
        <v>-65.828375399999999</v>
      </c>
      <c r="F17" s="138">
        <v>-40.625017890000002</v>
      </c>
      <c r="G17" s="138">
        <v>631.40474940000001</v>
      </c>
      <c r="H17" s="138">
        <v>733.42196090000004</v>
      </c>
      <c r="I17" s="138">
        <v>2371.9597450000001</v>
      </c>
      <c r="J17" s="138">
        <v>90.193791790000006</v>
      </c>
      <c r="K17" s="138">
        <v>-14.680415910000001</v>
      </c>
      <c r="L17" s="138">
        <v>165.8257351</v>
      </c>
      <c r="M17" s="138">
        <v>0.5</v>
      </c>
      <c r="N17" s="138">
        <v>0</v>
      </c>
    </row>
    <row r="18" spans="1:14" ht="15" x14ac:dyDescent="0.25">
      <c r="A18" s="138">
        <v>71.970880969999996</v>
      </c>
      <c r="B18" s="138">
        <v>-85.076510389999996</v>
      </c>
      <c r="C18" s="138">
        <v>66.793731539999996</v>
      </c>
      <c r="D18" s="138">
        <v>90.676846850000004</v>
      </c>
      <c r="E18" s="138">
        <v>-59.79477962</v>
      </c>
      <c r="F18" s="138">
        <v>-78.339538039999994</v>
      </c>
      <c r="G18" s="138">
        <v>126.8176497</v>
      </c>
      <c r="H18" s="138">
        <v>518.50046499999996</v>
      </c>
      <c r="I18" s="138">
        <v>2178.7689740000001</v>
      </c>
      <c r="J18" s="138">
        <v>81.634233629999997</v>
      </c>
      <c r="K18" s="138">
        <v>-5.9728192289999997</v>
      </c>
      <c r="L18" s="138">
        <v>-119.1635514</v>
      </c>
      <c r="M18" s="138">
        <v>0.5</v>
      </c>
      <c r="N18" s="138">
        <v>0</v>
      </c>
    </row>
    <row r="19" spans="1:14" ht="15" x14ac:dyDescent="0.25">
      <c r="A19" s="138">
        <v>75.444483640000001</v>
      </c>
      <c r="B19" s="138">
        <v>-41.493517990000001</v>
      </c>
      <c r="C19" s="138">
        <v>89.09068474</v>
      </c>
      <c r="D19" s="138">
        <v>-83.434961849999993</v>
      </c>
      <c r="E19" s="138">
        <v>75.650721439999998</v>
      </c>
      <c r="F19" s="138">
        <v>39.163272550000002</v>
      </c>
      <c r="G19" s="138">
        <v>-318.58808529999999</v>
      </c>
      <c r="H19" s="138">
        <v>426.1595706</v>
      </c>
      <c r="I19" s="138">
        <v>820.46140089999994</v>
      </c>
      <c r="J19" s="138">
        <v>105.7878765</v>
      </c>
      <c r="K19" s="138">
        <v>13.52339067</v>
      </c>
      <c r="L19" s="138">
        <v>2.8114303660000002</v>
      </c>
      <c r="M19" s="138">
        <v>0.35355339099999999</v>
      </c>
      <c r="N19" s="138">
        <v>0</v>
      </c>
    </row>
    <row r="20" spans="1:14" ht="15" x14ac:dyDescent="0.25">
      <c r="A20" s="138">
        <v>75.444483489999996</v>
      </c>
      <c r="B20" s="138">
        <v>-41.493521119999997</v>
      </c>
      <c r="C20" s="138">
        <v>89.090653689999996</v>
      </c>
      <c r="D20" s="138">
        <v>-89.358643569999998</v>
      </c>
      <c r="E20" s="138">
        <v>71.523356699999994</v>
      </c>
      <c r="F20" s="138">
        <v>39.163252720000003</v>
      </c>
      <c r="G20" s="138">
        <v>-356.9897168</v>
      </c>
      <c r="H20" s="138">
        <v>422.9582077</v>
      </c>
      <c r="I20" s="138">
        <v>825.78660539999998</v>
      </c>
      <c r="J20" s="138">
        <v>104.4521635</v>
      </c>
      <c r="K20" s="138">
        <v>6.6283552449999998</v>
      </c>
      <c r="L20" s="138">
        <v>4.7658688400000004</v>
      </c>
      <c r="M20" s="138">
        <v>0.25</v>
      </c>
      <c r="N20" s="138">
        <v>0</v>
      </c>
    </row>
    <row r="21" spans="1:14" ht="15" x14ac:dyDescent="0.25">
      <c r="A21" s="138">
        <v>53.855261149999997</v>
      </c>
      <c r="B21" s="138">
        <v>-32.127027660000003</v>
      </c>
      <c r="C21" s="138">
        <v>64.638256530000007</v>
      </c>
      <c r="D21" s="138">
        <v>-85.772015690000003</v>
      </c>
      <c r="E21" s="138">
        <v>71.523355030000005</v>
      </c>
      <c r="F21" s="138">
        <v>6.5928928610000002</v>
      </c>
      <c r="G21" s="138">
        <v>-84.103435430000005</v>
      </c>
      <c r="H21" s="138">
        <v>-217.1510112</v>
      </c>
      <c r="I21" s="138">
        <v>894.73307720000003</v>
      </c>
      <c r="J21" s="138">
        <v>105.1891214</v>
      </c>
      <c r="K21" s="138">
        <v>26.19185834</v>
      </c>
      <c r="L21" s="138">
        <v>16.479361579999999</v>
      </c>
      <c r="M21" s="138">
        <v>0.17677669500000001</v>
      </c>
      <c r="N21" s="138">
        <v>0</v>
      </c>
    </row>
    <row r="22" spans="1:14" ht="15" x14ac:dyDescent="0.25">
      <c r="A22" s="138">
        <v>26.86460482</v>
      </c>
      <c r="B22" s="138">
        <v>-33.622669909999999</v>
      </c>
      <c r="C22" s="138">
        <v>59.756756099999997</v>
      </c>
      <c r="D22" s="138">
        <v>-107.38004840000001</v>
      </c>
      <c r="E22" s="138">
        <v>31.267786449999999</v>
      </c>
      <c r="F22" s="138">
        <v>62.988732259999999</v>
      </c>
      <c r="G22" s="138">
        <v>514.42987059999996</v>
      </c>
      <c r="H22" s="138">
        <v>-761.17000940000003</v>
      </c>
      <c r="I22" s="138">
        <v>1036.6919969999999</v>
      </c>
      <c r="J22" s="138">
        <v>104.2203664</v>
      </c>
      <c r="K22" s="138">
        <v>7.9594242509999997</v>
      </c>
      <c r="L22" s="138">
        <v>-37.270514749999997</v>
      </c>
      <c r="M22" s="138">
        <v>0.125</v>
      </c>
      <c r="N22" s="138">
        <v>0</v>
      </c>
    </row>
    <row r="23" spans="1:14" ht="15" x14ac:dyDescent="0.25">
      <c r="A23" s="138">
        <v>7.8453406719999998</v>
      </c>
      <c r="B23" s="138">
        <v>-35.066899679999999</v>
      </c>
      <c r="C23" s="138">
        <v>100.06714700000001</v>
      </c>
      <c r="D23" s="138">
        <v>-165.5777861</v>
      </c>
      <c r="E23" s="138">
        <v>51.890010449999998</v>
      </c>
      <c r="F23" s="138">
        <v>118.64932810000001</v>
      </c>
      <c r="G23" s="138">
        <v>1132.647669</v>
      </c>
      <c r="H23" s="138">
        <v>-560.50614089999999</v>
      </c>
      <c r="I23" s="138">
        <v>601.90583149999998</v>
      </c>
      <c r="J23" s="138">
        <v>104.43973320000001</v>
      </c>
      <c r="K23" s="138">
        <v>8.2070012180000003</v>
      </c>
      <c r="L23" s="138">
        <v>-37.309939139999997</v>
      </c>
      <c r="M23" s="138">
        <v>0.375</v>
      </c>
      <c r="N23" s="138">
        <v>0</v>
      </c>
    </row>
    <row r="24" spans="1:14" ht="15" x14ac:dyDescent="0.25">
      <c r="A24" s="138">
        <v>-0.25990017199999998</v>
      </c>
      <c r="B24" s="138">
        <v>-47.625707239999997</v>
      </c>
      <c r="C24" s="138">
        <v>96.970519940000003</v>
      </c>
      <c r="D24" s="138">
        <v>-174.10905120000001</v>
      </c>
      <c r="E24" s="138">
        <v>35.735185129999998</v>
      </c>
      <c r="F24" s="138">
        <v>120.9212692</v>
      </c>
      <c r="G24" s="138">
        <v>1352.421711</v>
      </c>
      <c r="H24" s="138">
        <v>-600.8509497</v>
      </c>
      <c r="I24" s="138">
        <v>895.5616374</v>
      </c>
      <c r="J24" s="138">
        <v>104.44190519999999</v>
      </c>
      <c r="K24" s="138">
        <v>8.2200450949999997</v>
      </c>
      <c r="L24" s="138">
        <v>-37.301071229999998</v>
      </c>
      <c r="M24" s="138">
        <v>0.51538820299999999</v>
      </c>
      <c r="N24" s="138">
        <v>0</v>
      </c>
    </row>
    <row r="25" spans="1:14" ht="15" x14ac:dyDescent="0.25">
      <c r="A25" s="138">
        <v>18.496900459999999</v>
      </c>
      <c r="B25" s="138">
        <v>-80.720383909999995</v>
      </c>
      <c r="C25" s="138">
        <v>112.1652258</v>
      </c>
      <c r="D25" s="138">
        <v>37.3218502</v>
      </c>
      <c r="E25" s="138">
        <v>-31.441827350000001</v>
      </c>
      <c r="F25" s="138">
        <v>112.9412044</v>
      </c>
      <c r="G25" s="138">
        <v>955.6787071</v>
      </c>
      <c r="H25" s="138">
        <v>-260.61944010000002</v>
      </c>
      <c r="I25" s="138">
        <v>1323.7239830000001</v>
      </c>
      <c r="J25" s="138">
        <v>95.06869614</v>
      </c>
      <c r="K25" s="138">
        <v>4.9671836090000001</v>
      </c>
      <c r="L25" s="138">
        <v>125.028554</v>
      </c>
      <c r="M25" s="138">
        <v>0.17677669500000001</v>
      </c>
      <c r="N25" s="138">
        <v>0</v>
      </c>
    </row>
    <row r="26" spans="1:14" ht="15" x14ac:dyDescent="0.25">
      <c r="A26" s="138">
        <v>2.6080800270000002</v>
      </c>
      <c r="B26" s="138">
        <v>-87.249038999999996</v>
      </c>
      <c r="C26" s="138">
        <v>101.8789532</v>
      </c>
      <c r="D26" s="138">
        <v>15.72346011</v>
      </c>
      <c r="E26" s="138">
        <v>-9.7447208209999996</v>
      </c>
      <c r="F26" s="138">
        <v>128.96465000000001</v>
      </c>
      <c r="G26" s="138">
        <v>1301.6303170000001</v>
      </c>
      <c r="H26" s="138">
        <v>-254.8235736</v>
      </c>
      <c r="I26" s="138">
        <v>1571.022072</v>
      </c>
      <c r="J26" s="138">
        <v>95.032412339999993</v>
      </c>
      <c r="K26" s="138">
        <v>4.9148979690000001</v>
      </c>
      <c r="L26" s="138">
        <v>125.0397638</v>
      </c>
      <c r="M26" s="138">
        <v>1.2808688459999999</v>
      </c>
      <c r="N26" s="138">
        <v>0</v>
      </c>
    </row>
    <row r="27" spans="1:14" ht="15" x14ac:dyDescent="0.25">
      <c r="A27" s="138">
        <v>4.0868387750000004</v>
      </c>
      <c r="B27" s="138">
        <v>-117.8284879</v>
      </c>
      <c r="C27" s="138">
        <v>122.9845832</v>
      </c>
      <c r="D27" s="138">
        <v>91.328382719999993</v>
      </c>
      <c r="E27" s="138">
        <v>-4.1019126610000001</v>
      </c>
      <c r="F27" s="138">
        <v>53.275986209999999</v>
      </c>
      <c r="G27" s="138">
        <v>1266.2228419999999</v>
      </c>
      <c r="H27" s="138">
        <v>183.7054741</v>
      </c>
      <c r="I27" s="138">
        <v>1611.2161080000001</v>
      </c>
      <c r="J27" s="138">
        <v>95.283099859999993</v>
      </c>
      <c r="K27" s="138">
        <v>5.1325565839999996</v>
      </c>
      <c r="L27" s="138">
        <v>125.0147206</v>
      </c>
      <c r="M27" s="138">
        <v>0.25</v>
      </c>
      <c r="N27" s="138">
        <v>0</v>
      </c>
    </row>
    <row r="28" spans="1:14" ht="15" x14ac:dyDescent="0.25">
      <c r="A28" s="138">
        <v>-18.95287338</v>
      </c>
      <c r="B28" s="138">
        <v>-48.557564620000001</v>
      </c>
      <c r="C28" s="138">
        <v>106.85121599999999</v>
      </c>
      <c r="D28" s="138">
        <v>-23.20238655</v>
      </c>
      <c r="E28" s="138">
        <v>-55.052335280000001</v>
      </c>
      <c r="F28" s="138">
        <v>150.3162457</v>
      </c>
      <c r="G28" s="138">
        <v>1847.4003849999999</v>
      </c>
      <c r="H28" s="138">
        <v>-377.25992380000002</v>
      </c>
      <c r="I28" s="138">
        <v>804.97139340000001</v>
      </c>
      <c r="J28" s="138">
        <v>95.060249279999994</v>
      </c>
      <c r="K28" s="138">
        <v>4.7459819779999997</v>
      </c>
      <c r="L28" s="138">
        <v>130.97734449999999</v>
      </c>
      <c r="M28" s="138">
        <v>0.125</v>
      </c>
      <c r="N28" s="138">
        <v>0</v>
      </c>
    </row>
    <row r="29" spans="1:14" ht="15" x14ac:dyDescent="0.25">
      <c r="A29" s="138">
        <v>-44.18103172</v>
      </c>
      <c r="B29" s="138">
        <v>-98.322323460000007</v>
      </c>
      <c r="C29" s="138">
        <v>106.85123110000001</v>
      </c>
      <c r="D29" s="138">
        <v>-57.53245235</v>
      </c>
      <c r="E29" s="138">
        <v>-33.715938800000004</v>
      </c>
      <c r="F29" s="138">
        <v>106.645411</v>
      </c>
      <c r="G29" s="138">
        <v>2140.8973380000002</v>
      </c>
      <c r="H29" s="138">
        <v>301.66846379999998</v>
      </c>
      <c r="I29" s="138">
        <v>1796.2319219999999</v>
      </c>
      <c r="J29" s="138">
        <v>79.399807469999999</v>
      </c>
      <c r="K29" s="138">
        <v>19.952734679999999</v>
      </c>
      <c r="L29" s="138">
        <v>-135.354963</v>
      </c>
      <c r="M29" s="138">
        <v>0.30618621800000001</v>
      </c>
      <c r="N29" s="138">
        <v>0</v>
      </c>
    </row>
    <row r="30" spans="1:14" ht="15" x14ac:dyDescent="0.25">
      <c r="A30" s="138">
        <v>-37.44999954</v>
      </c>
      <c r="B30" s="138">
        <v>-115.8799978</v>
      </c>
      <c r="C30" s="138">
        <v>101.0299998</v>
      </c>
      <c r="D30" s="138">
        <v>-103.26999859999999</v>
      </c>
      <c r="E30" s="138">
        <v>-21.770000929999998</v>
      </c>
      <c r="F30" s="138">
        <v>106.72002430000001</v>
      </c>
      <c r="G30" s="138">
        <v>1804.922961</v>
      </c>
      <c r="H30" s="138">
        <v>443.48561719999998</v>
      </c>
      <c r="I30" s="138">
        <v>2057.9608459999999</v>
      </c>
      <c r="J30" s="138">
        <v>80.643659639999996</v>
      </c>
      <c r="K30" s="138">
        <v>20.141602030000001</v>
      </c>
      <c r="L30" s="138">
        <v>-85.92729525</v>
      </c>
      <c r="M30" s="138">
        <v>0.25</v>
      </c>
      <c r="N30" s="138">
        <v>0</v>
      </c>
    </row>
    <row r="31" spans="1:14" ht="15" x14ac:dyDescent="0.25">
      <c r="A31" s="138">
        <v>-37.460000149999999</v>
      </c>
      <c r="B31" s="138">
        <v>-132.94999279999999</v>
      </c>
      <c r="C31" s="138">
        <v>118.1200047</v>
      </c>
      <c r="D31" s="138">
        <v>-166.3900357</v>
      </c>
      <c r="E31" s="138">
        <v>-21.790001749999998</v>
      </c>
      <c r="F31" s="138">
        <v>106.7400308</v>
      </c>
      <c r="G31" s="138">
        <v>1720.277411</v>
      </c>
      <c r="H31" s="138">
        <v>610.42448739999998</v>
      </c>
      <c r="I31" s="138">
        <v>1808.7088020000001</v>
      </c>
      <c r="J31" s="138">
        <v>98.551673910000005</v>
      </c>
      <c r="K31" s="138">
        <v>36.757298890000001</v>
      </c>
      <c r="L31" s="138">
        <v>-35.376241810000003</v>
      </c>
      <c r="M31" s="138">
        <v>0.25</v>
      </c>
      <c r="N31" s="138">
        <v>0</v>
      </c>
    </row>
    <row r="32" spans="1:14" ht="15" x14ac:dyDescent="0.25">
      <c r="A32" s="138">
        <v>-37.434848629999998</v>
      </c>
      <c r="B32" s="138">
        <v>-131.43966599999999</v>
      </c>
      <c r="C32" s="138">
        <v>79.578161469999998</v>
      </c>
      <c r="D32" s="138">
        <v>29.516079879999999</v>
      </c>
      <c r="E32" s="138">
        <v>58.849512140000002</v>
      </c>
      <c r="F32" s="138">
        <v>-73.354583439999999</v>
      </c>
      <c r="G32" s="138">
        <v>1386.730769</v>
      </c>
      <c r="H32" s="138">
        <v>828.70625370000005</v>
      </c>
      <c r="I32" s="138">
        <v>2233.2466840000002</v>
      </c>
      <c r="J32" s="138">
        <v>93.010963279999999</v>
      </c>
      <c r="K32" s="138">
        <v>17.28916912</v>
      </c>
      <c r="L32" s="138">
        <v>-35.5828311</v>
      </c>
      <c r="M32" s="138">
        <v>0.25</v>
      </c>
      <c r="N32" s="138">
        <v>0</v>
      </c>
    </row>
    <row r="33" spans="1:14" ht="15" x14ac:dyDescent="0.25">
      <c r="A33" s="138">
        <v>-37.434846120000003</v>
      </c>
      <c r="B33" s="138">
        <v>-68.601786349999998</v>
      </c>
      <c r="C33" s="138">
        <v>-20.131643350000001</v>
      </c>
      <c r="D33" s="138">
        <v>29.516061759999999</v>
      </c>
      <c r="E33" s="138">
        <v>85.005524750000006</v>
      </c>
      <c r="F33" s="138">
        <v>-73.354595790000005</v>
      </c>
      <c r="G33" s="138">
        <v>1594.294046</v>
      </c>
      <c r="H33" s="138">
        <v>562.2280548</v>
      </c>
      <c r="I33" s="138">
        <v>2501.6336489999999</v>
      </c>
      <c r="J33" s="138">
        <v>85.86611825</v>
      </c>
      <c r="K33" s="138">
        <v>12.702597450000001</v>
      </c>
      <c r="L33" s="138">
        <v>-16.70422305</v>
      </c>
      <c r="M33" s="138">
        <v>1.457737974</v>
      </c>
      <c r="N33" s="138">
        <v>0</v>
      </c>
    </row>
    <row r="34" spans="1:14" ht="15" x14ac:dyDescent="0.25">
      <c r="A34" s="138">
        <v>-82.601490249999998</v>
      </c>
      <c r="B34" s="138">
        <v>-58.854046330000003</v>
      </c>
      <c r="C34" s="138">
        <v>-56.24344292</v>
      </c>
      <c r="D34" s="138">
        <v>82.415214919999997</v>
      </c>
      <c r="E34" s="138">
        <v>85.005525050000003</v>
      </c>
      <c r="F34" s="138">
        <v>-73.354593280000003</v>
      </c>
      <c r="G34" s="138">
        <v>1485.02548</v>
      </c>
      <c r="H34" s="138">
        <v>943.76392559999999</v>
      </c>
      <c r="I34" s="138">
        <v>2298.1971480000002</v>
      </c>
      <c r="J34" s="138">
        <v>82.141997239999995</v>
      </c>
      <c r="K34" s="138">
        <v>1.9807166169999999</v>
      </c>
      <c r="L34" s="138">
        <v>8.4141788070000008</v>
      </c>
      <c r="M34" s="138">
        <v>0.25</v>
      </c>
      <c r="N34" s="138">
        <v>0</v>
      </c>
    </row>
    <row r="35" spans="1:14" ht="15" x14ac:dyDescent="0.25">
      <c r="A35" s="138">
        <v>-130.2819714</v>
      </c>
      <c r="B35" s="138">
        <v>-58.854058379999998</v>
      </c>
      <c r="C35" s="138">
        <v>-56.243441850000004</v>
      </c>
      <c r="D35" s="138">
        <v>121.41475199999999</v>
      </c>
      <c r="E35" s="138">
        <v>85.005521090000002</v>
      </c>
      <c r="F35" s="138">
        <v>-73.354601819999999</v>
      </c>
      <c r="G35" s="138">
        <v>1460.9430729999999</v>
      </c>
      <c r="H35" s="138">
        <v>1179.7532880000001</v>
      </c>
      <c r="I35" s="138">
        <v>2213.5283159999999</v>
      </c>
      <c r="J35" s="138">
        <v>98.28803723</v>
      </c>
      <c r="K35" s="138">
        <v>13.96896826</v>
      </c>
      <c r="L35" s="138">
        <v>2.4608981939999999</v>
      </c>
      <c r="M35" s="138">
        <v>0.35355339099999999</v>
      </c>
      <c r="N35" s="138">
        <v>0</v>
      </c>
    </row>
    <row r="36" spans="1:14" ht="15" x14ac:dyDescent="0.25">
      <c r="A36" s="138">
        <v>-138.81213790000001</v>
      </c>
      <c r="B36" s="138">
        <v>-22.930160260000001</v>
      </c>
      <c r="C36" s="138">
        <v>-116.5654366</v>
      </c>
      <c r="D36" s="138">
        <v>123.8904715</v>
      </c>
      <c r="E36" s="138">
        <v>67.257650069999997</v>
      </c>
      <c r="F36" s="138">
        <v>-55.202471619999997</v>
      </c>
      <c r="G36" s="138">
        <v>1486.66256</v>
      </c>
      <c r="H36" s="138">
        <v>1295.2425370000001</v>
      </c>
      <c r="I36" s="138">
        <v>1558.379461</v>
      </c>
      <c r="J36" s="138">
        <v>98.240184639999995</v>
      </c>
      <c r="K36" s="138">
        <v>13.87453726</v>
      </c>
      <c r="L36" s="138">
        <v>2.4686022830000001</v>
      </c>
      <c r="M36" s="138">
        <v>0.5</v>
      </c>
      <c r="N36" s="138">
        <v>0</v>
      </c>
    </row>
    <row r="37" spans="1:14" ht="15" x14ac:dyDescent="0.25">
      <c r="A37" s="138">
        <v>-168.08514529999999</v>
      </c>
      <c r="B37" s="138">
        <v>-8.8490474320000008</v>
      </c>
      <c r="C37" s="138">
        <v>-94.037032780000004</v>
      </c>
      <c r="D37" s="138">
        <v>158.79559510000001</v>
      </c>
      <c r="E37" s="138">
        <v>86.021842879999994</v>
      </c>
      <c r="F37" s="138">
        <v>-90.120519180000002</v>
      </c>
      <c r="G37" s="138">
        <v>1349.1206110000001</v>
      </c>
      <c r="H37" s="138">
        <v>1820.2295770000001</v>
      </c>
      <c r="I37" s="138">
        <v>1704.0043439999999</v>
      </c>
      <c r="J37" s="138">
        <v>98.146486420000002</v>
      </c>
      <c r="K37" s="138">
        <v>14.053377190000001</v>
      </c>
      <c r="L37" s="138">
        <v>2.4518464409999998</v>
      </c>
      <c r="M37" s="138">
        <v>3.0207614930000002</v>
      </c>
      <c r="N37" s="138">
        <v>0</v>
      </c>
    </row>
    <row r="38" spans="1:14" ht="15" x14ac:dyDescent="0.25">
      <c r="A38" s="138">
        <v>-176.6099974</v>
      </c>
      <c r="B38" s="138">
        <v>9.6100100039999994</v>
      </c>
      <c r="C38" s="138">
        <v>-104.03999880000001</v>
      </c>
      <c r="D38" s="138">
        <v>166.1100462</v>
      </c>
      <c r="E38" s="138">
        <v>85.460000609999994</v>
      </c>
      <c r="F38" s="138">
        <v>-69.210041889999999</v>
      </c>
      <c r="G38" s="138">
        <v>1226.342711</v>
      </c>
      <c r="H38" s="138">
        <v>1939.4272129999999</v>
      </c>
      <c r="I38" s="138">
        <v>1534.5966080000001</v>
      </c>
      <c r="J38" s="138">
        <v>89.624314600000005</v>
      </c>
      <c r="K38" s="138">
        <v>15.19487507</v>
      </c>
      <c r="L38" s="138">
        <v>-19.95642879</v>
      </c>
      <c r="M38" s="138">
        <v>0.35355339099999999</v>
      </c>
      <c r="N38" s="138">
        <v>0</v>
      </c>
    </row>
    <row r="39" spans="1:14" ht="15" x14ac:dyDescent="0.25">
      <c r="A39" s="138">
        <v>-167.48222369999999</v>
      </c>
      <c r="B39" s="138">
        <v>-8.0977028079999993</v>
      </c>
      <c r="C39" s="138">
        <v>-97.274976879999997</v>
      </c>
      <c r="D39" s="138">
        <v>149.84764430000001</v>
      </c>
      <c r="E39" s="138">
        <v>55.157746469999999</v>
      </c>
      <c r="F39" s="138">
        <v>-67.299238430000003</v>
      </c>
      <c r="G39" s="138">
        <v>1371.45165</v>
      </c>
      <c r="H39" s="138">
        <v>1813.3610960000001</v>
      </c>
      <c r="I39" s="138">
        <v>1851.0014799999999</v>
      </c>
      <c r="J39" s="138">
        <v>67.565461459999995</v>
      </c>
      <c r="K39" s="138">
        <v>17.159953049999999</v>
      </c>
      <c r="L39" s="138">
        <v>-7.8552402990000001</v>
      </c>
      <c r="M39" s="138">
        <v>0.93541434700000003</v>
      </c>
      <c r="N39" s="138">
        <v>0</v>
      </c>
    </row>
    <row r="40" spans="1:14" ht="15" x14ac:dyDescent="0.25">
      <c r="A40" s="138">
        <v>-167.48222319999999</v>
      </c>
      <c r="B40" s="138">
        <v>-58.506547320000003</v>
      </c>
      <c r="C40" s="138">
        <v>-83.159295270000001</v>
      </c>
      <c r="D40" s="138">
        <v>149.84763889999999</v>
      </c>
      <c r="E40" s="138">
        <v>82.612984920000002</v>
      </c>
      <c r="F40" s="138">
        <v>-67.299247059999999</v>
      </c>
      <c r="G40" s="138">
        <v>1304.9390390000001</v>
      </c>
      <c r="H40" s="138">
        <v>1095.825572</v>
      </c>
      <c r="I40" s="138">
        <v>1780.3499260000001</v>
      </c>
      <c r="J40" s="138">
        <v>130.41742550000001</v>
      </c>
      <c r="K40" s="138">
        <v>23.959707819999998</v>
      </c>
      <c r="L40" s="138">
        <v>-12.84800182</v>
      </c>
      <c r="M40" s="138">
        <v>0.25</v>
      </c>
      <c r="N40" s="138">
        <v>0</v>
      </c>
    </row>
    <row r="41" spans="1:14" ht="15" x14ac:dyDescent="0.25">
      <c r="A41" s="138">
        <v>-167.48222229999999</v>
      </c>
      <c r="B41" s="138">
        <v>0.35831819799999998</v>
      </c>
      <c r="C41" s="138">
        <v>-105.8107294</v>
      </c>
      <c r="D41" s="138">
        <v>150.8549974</v>
      </c>
      <c r="E41" s="138">
        <v>61.750571819999998</v>
      </c>
      <c r="F41" s="138">
        <v>-67.299228290000002</v>
      </c>
      <c r="G41" s="138">
        <v>1376.6251540000001</v>
      </c>
      <c r="H41" s="138">
        <v>1808.871011</v>
      </c>
      <c r="I41" s="138">
        <v>1690.7623490000001</v>
      </c>
      <c r="J41" s="138">
        <v>74.568935300000007</v>
      </c>
      <c r="K41" s="138">
        <v>17.903688509999999</v>
      </c>
      <c r="L41" s="138">
        <v>-10.46121258</v>
      </c>
      <c r="M41" s="138">
        <v>0.5</v>
      </c>
      <c r="N41" s="138">
        <v>0</v>
      </c>
    </row>
    <row r="42" spans="1:14" ht="15" x14ac:dyDescent="0.25">
      <c r="A42" s="138">
        <v>-109.4439653</v>
      </c>
      <c r="B42" s="138">
        <v>-33.062172240000002</v>
      </c>
      <c r="C42" s="138">
        <v>-102.6337717</v>
      </c>
      <c r="D42" s="138">
        <v>83.290041349999996</v>
      </c>
      <c r="E42" s="138">
        <v>75.900679089999997</v>
      </c>
      <c r="F42" s="138">
        <v>-27.71081203</v>
      </c>
      <c r="G42" s="138">
        <v>1603.8350869999999</v>
      </c>
      <c r="H42" s="138">
        <v>1127.1903239999999</v>
      </c>
      <c r="I42" s="138">
        <v>1875.3704069999999</v>
      </c>
      <c r="J42" s="138">
        <v>74.700129149999995</v>
      </c>
      <c r="K42" s="138">
        <v>17.714482589999999</v>
      </c>
      <c r="L42" s="138">
        <v>-10.5386276</v>
      </c>
      <c r="M42" s="138">
        <v>0.61237243600000002</v>
      </c>
      <c r="N42" s="138">
        <v>0</v>
      </c>
    </row>
    <row r="43" spans="1:14" ht="15" x14ac:dyDescent="0.25">
      <c r="A43" s="138">
        <v>-165.48048679999999</v>
      </c>
      <c r="B43" s="138">
        <v>-54.828523560000001</v>
      </c>
      <c r="C43" s="138">
        <v>-97.60349472</v>
      </c>
      <c r="D43" s="138">
        <v>110.37437319999999</v>
      </c>
      <c r="E43" s="138">
        <v>29.337869220000002</v>
      </c>
      <c r="F43" s="138">
        <v>-15.7682521</v>
      </c>
      <c r="G43" s="138">
        <v>1269.8503539999999</v>
      </c>
      <c r="H43" s="138">
        <v>1019.217146</v>
      </c>
      <c r="I43" s="138">
        <v>1888.9523320000001</v>
      </c>
      <c r="J43" s="138">
        <v>74.696677109999996</v>
      </c>
      <c r="K43" s="138">
        <v>17.715071829999999</v>
      </c>
      <c r="L43" s="138">
        <v>-10.539870499999999</v>
      </c>
      <c r="M43" s="138">
        <v>0.25</v>
      </c>
      <c r="N43" s="138">
        <v>0</v>
      </c>
    </row>
    <row r="44" spans="1:14" ht="15" x14ac:dyDescent="0.25">
      <c r="A44" s="138">
        <v>-149.78259259999999</v>
      </c>
      <c r="B44" s="138">
        <v>-75.109671019999993</v>
      </c>
      <c r="C44" s="138">
        <v>-23.949975970000001</v>
      </c>
      <c r="D44" s="138">
        <v>133.90136960000001</v>
      </c>
      <c r="E44" s="138">
        <v>68.983761220000005</v>
      </c>
      <c r="F44" s="138">
        <v>-68.214237519999998</v>
      </c>
      <c r="G44" s="138">
        <v>1391.6186760000001</v>
      </c>
      <c r="H44" s="138">
        <v>1240.365912</v>
      </c>
      <c r="I44" s="138">
        <v>2553.049931</v>
      </c>
      <c r="J44" s="138">
        <v>74.538478190000006</v>
      </c>
      <c r="K44" s="138">
        <v>17.927598979999999</v>
      </c>
      <c r="L44" s="138">
        <v>-10.47732233</v>
      </c>
      <c r="M44" s="138">
        <v>0.35355339099999999</v>
      </c>
      <c r="N44" s="138">
        <v>0</v>
      </c>
    </row>
    <row r="45" spans="1:14" ht="15" x14ac:dyDescent="0.25">
      <c r="A45" s="138">
        <v>-103.17896589999999</v>
      </c>
      <c r="B45" s="138">
        <v>-75.109671480000003</v>
      </c>
      <c r="C45" s="138">
        <v>-23.949979320000001</v>
      </c>
      <c r="D45" s="138">
        <v>75.815040049999993</v>
      </c>
      <c r="E45" s="138">
        <v>83.622090679999999</v>
      </c>
      <c r="F45" s="138">
        <v>-68.214233320000005</v>
      </c>
      <c r="G45" s="138">
        <v>1612.794748</v>
      </c>
      <c r="H45" s="138">
        <v>1076.2150939999999</v>
      </c>
      <c r="I45" s="138">
        <v>2518.3363840000002</v>
      </c>
      <c r="J45" s="138">
        <v>79.97893526</v>
      </c>
      <c r="K45" s="138">
        <v>30.521840910000002</v>
      </c>
      <c r="L45" s="138">
        <v>-8.0418173230000001</v>
      </c>
      <c r="M45" s="138">
        <v>2.573907535</v>
      </c>
      <c r="N45" s="138">
        <v>0</v>
      </c>
    </row>
    <row r="46" spans="1:14" ht="15" x14ac:dyDescent="0.25">
      <c r="A46" s="138">
        <v>16.438984600000001</v>
      </c>
      <c r="B46" s="138">
        <v>-75.109672930000002</v>
      </c>
      <c r="C46" s="138">
        <v>-23.949978489999999</v>
      </c>
      <c r="D46" s="138">
        <v>-22.53003021</v>
      </c>
      <c r="E46" s="138">
        <v>87.540460049999993</v>
      </c>
      <c r="F46" s="138">
        <v>-68.214239039999995</v>
      </c>
      <c r="G46" s="138">
        <v>1168.6139049999999</v>
      </c>
      <c r="H46" s="138">
        <v>675.37646830000006</v>
      </c>
      <c r="I46" s="138">
        <v>2539.7126039999998</v>
      </c>
      <c r="J46" s="138">
        <v>78.817449330000002</v>
      </c>
      <c r="K46" s="138">
        <v>11.0574376</v>
      </c>
      <c r="L46" s="138">
        <v>-23.507825199999999</v>
      </c>
      <c r="M46" s="138">
        <v>2.4622144499999998</v>
      </c>
      <c r="N46" s="138">
        <v>0</v>
      </c>
    </row>
    <row r="47" spans="1:14" ht="15" x14ac:dyDescent="0.25">
      <c r="A47" s="138">
        <v>16.438979639999999</v>
      </c>
      <c r="B47" s="138">
        <v>-27.852937069999999</v>
      </c>
      <c r="C47" s="138">
        <v>-23.949981000000001</v>
      </c>
      <c r="D47" s="138">
        <v>-22.530041690000001</v>
      </c>
      <c r="E47" s="138">
        <v>57.95146828</v>
      </c>
      <c r="F47" s="138">
        <v>14.90411254</v>
      </c>
      <c r="G47" s="138">
        <v>943.30040140000006</v>
      </c>
      <c r="H47" s="138">
        <v>-506.50492170000001</v>
      </c>
      <c r="I47" s="138">
        <v>2003.205811</v>
      </c>
      <c r="J47" s="138">
        <v>93.764720440000005</v>
      </c>
      <c r="K47" s="138">
        <v>7.1545157740000001</v>
      </c>
      <c r="L47" s="138">
        <v>-91.994672429999994</v>
      </c>
      <c r="M47" s="138">
        <v>2.2430448059999999</v>
      </c>
      <c r="N47" s="138">
        <v>0</v>
      </c>
    </row>
    <row r="48" spans="1:14" ht="15" x14ac:dyDescent="0.25">
      <c r="A48" s="138">
        <v>17.44308762</v>
      </c>
      <c r="B48" s="138">
        <v>18.225402639999999</v>
      </c>
      <c r="C48" s="138">
        <v>-76.928973310000003</v>
      </c>
      <c r="D48" s="138">
        <v>-22.203649689999999</v>
      </c>
      <c r="E48" s="138">
        <v>64.551541900000004</v>
      </c>
      <c r="F48" s="138">
        <v>12.51324299</v>
      </c>
      <c r="G48" s="138">
        <v>924.81451049999998</v>
      </c>
      <c r="H48" s="138">
        <v>-464.96308379999999</v>
      </c>
      <c r="I48" s="138">
        <v>1382.1367769999999</v>
      </c>
      <c r="J48" s="138">
        <v>93.765618910000001</v>
      </c>
      <c r="K48" s="138">
        <v>7.167408913</v>
      </c>
      <c r="L48" s="138">
        <v>-92.00348726</v>
      </c>
      <c r="M48" s="138">
        <v>0.33071891399999997</v>
      </c>
      <c r="N48" s="138">
        <v>0</v>
      </c>
    </row>
    <row r="49" spans="1:14" ht="15" x14ac:dyDescent="0.25">
      <c r="A49" s="138">
        <v>37.500033569999999</v>
      </c>
      <c r="B49" s="138">
        <v>-4.4361087990000003</v>
      </c>
      <c r="C49" s="138">
        <v>-28.902497329999999</v>
      </c>
      <c r="D49" s="138">
        <v>-53.46001991</v>
      </c>
      <c r="E49" s="138">
        <v>53.04527676</v>
      </c>
      <c r="F49" s="138">
        <v>43.443658220000003</v>
      </c>
      <c r="G49" s="138">
        <v>269.16728169999999</v>
      </c>
      <c r="H49" s="138">
        <v>-557.96266100000003</v>
      </c>
      <c r="I49" s="138">
        <v>1509.6499719999999</v>
      </c>
      <c r="J49" s="138">
        <v>93.829096489999998</v>
      </c>
      <c r="K49" s="138">
        <v>7.031128066</v>
      </c>
      <c r="L49" s="138">
        <v>-91.972128280000007</v>
      </c>
      <c r="M49" s="138">
        <v>1.224744871</v>
      </c>
      <c r="N49" s="138">
        <v>0</v>
      </c>
    </row>
    <row r="50" spans="1:14" ht="15" x14ac:dyDescent="0.25">
      <c r="A50" s="138">
        <v>47.165530089999997</v>
      </c>
      <c r="B50" s="138">
        <v>9.8100501060000003</v>
      </c>
      <c r="C50" s="138">
        <v>-77.40325928</v>
      </c>
      <c r="D50" s="138">
        <v>-50.746736149999997</v>
      </c>
      <c r="E50" s="138">
        <v>79.404068150000001</v>
      </c>
      <c r="F50" s="138">
        <v>18.3723867</v>
      </c>
      <c r="G50" s="138">
        <v>323.79911429999999</v>
      </c>
      <c r="H50" s="138">
        <v>-49.826155489999998</v>
      </c>
      <c r="I50" s="138">
        <v>1542.166109</v>
      </c>
      <c r="J50" s="138">
        <v>93.754710220000007</v>
      </c>
      <c r="K50" s="138">
        <v>7.1200014229999997</v>
      </c>
      <c r="L50" s="138">
        <v>-91.9819739</v>
      </c>
      <c r="M50" s="138">
        <v>0.25</v>
      </c>
      <c r="N50" s="138">
        <v>0</v>
      </c>
    </row>
    <row r="51" spans="1:14" ht="15" x14ac:dyDescent="0.25">
      <c r="A51" s="138">
        <v>30.512260130000001</v>
      </c>
      <c r="B51" s="138">
        <v>-0.720236133</v>
      </c>
      <c r="C51" s="138">
        <v>2.2059320310000001</v>
      </c>
      <c r="D51" s="138">
        <v>-89.446004259999995</v>
      </c>
      <c r="E51" s="138">
        <v>38.06974941</v>
      </c>
      <c r="F51" s="138">
        <v>59.62572342</v>
      </c>
      <c r="G51" s="138">
        <v>368.85246819999998</v>
      </c>
      <c r="H51" s="138">
        <v>-862.05191490000004</v>
      </c>
      <c r="I51" s="138">
        <v>1011.324211</v>
      </c>
      <c r="J51" s="138">
        <v>91.754263269999996</v>
      </c>
      <c r="K51" s="138">
        <v>11.957410530000001</v>
      </c>
      <c r="L51" s="138">
        <v>-59.816434049999998</v>
      </c>
      <c r="M51" s="138">
        <v>0.17677669500000001</v>
      </c>
      <c r="N51" s="138">
        <v>0</v>
      </c>
    </row>
    <row r="52" spans="1:14" ht="15" x14ac:dyDescent="0.25">
      <c r="A52" s="138">
        <v>30.512269230000001</v>
      </c>
      <c r="B52" s="138">
        <v>-26.553241020000002</v>
      </c>
      <c r="C52" s="138">
        <v>53.842903749999998</v>
      </c>
      <c r="D52" s="138">
        <v>-89.446072389999998</v>
      </c>
      <c r="E52" s="138">
        <v>58.313783989999997</v>
      </c>
      <c r="F52" s="138">
        <v>59.625733410000002</v>
      </c>
      <c r="G52" s="138">
        <v>528.5591799</v>
      </c>
      <c r="H52" s="138">
        <v>-715.61853259999998</v>
      </c>
      <c r="I52" s="138">
        <v>927.13111449999997</v>
      </c>
      <c r="J52" s="138">
        <v>107.8500489</v>
      </c>
      <c r="K52" s="138">
        <v>34.039341499999999</v>
      </c>
      <c r="L52" s="138">
        <v>-46.711556160000001</v>
      </c>
      <c r="M52" s="138">
        <v>0.33071891399999997</v>
      </c>
      <c r="N52" s="138">
        <v>0</v>
      </c>
    </row>
    <row r="53" spans="1:14" ht="15" x14ac:dyDescent="0.25">
      <c r="A53" s="138">
        <v>26.071474649999999</v>
      </c>
      <c r="B53" s="138">
        <v>-37.354982909999997</v>
      </c>
      <c r="C53" s="138">
        <v>98.597084050000007</v>
      </c>
      <c r="D53" s="138">
        <v>-112.893614</v>
      </c>
      <c r="E53" s="138">
        <v>61.876334649999997</v>
      </c>
      <c r="F53" s="138">
        <v>98.940278699999993</v>
      </c>
      <c r="G53" s="138">
        <v>794.43341729999997</v>
      </c>
      <c r="H53" s="138">
        <v>-439.90676610000003</v>
      </c>
      <c r="I53" s="138">
        <v>660.40497359999995</v>
      </c>
      <c r="J53" s="138">
        <v>108.0873893</v>
      </c>
      <c r="K53" s="138">
        <v>34.145618280000001</v>
      </c>
      <c r="L53" s="138">
        <v>-46.855866110000001</v>
      </c>
      <c r="M53" s="138">
        <v>1.1592023119999999</v>
      </c>
      <c r="N53" s="138">
        <v>0</v>
      </c>
    </row>
    <row r="54" spans="1:14" ht="15" x14ac:dyDescent="0.25">
      <c r="A54" s="138">
        <v>23.624173849999998</v>
      </c>
      <c r="B54" s="138">
        <v>-35.873940279999999</v>
      </c>
      <c r="C54" s="138">
        <v>103.2525895</v>
      </c>
      <c r="D54" s="138">
        <v>-155.89091020000001</v>
      </c>
      <c r="E54" s="138">
        <v>78.594732210000004</v>
      </c>
      <c r="F54" s="138">
        <v>118.42859199999999</v>
      </c>
      <c r="G54" s="138">
        <v>715.14904360000003</v>
      </c>
      <c r="H54" s="138">
        <v>-442.97715410000001</v>
      </c>
      <c r="I54" s="138">
        <v>721.92295539999998</v>
      </c>
      <c r="J54" s="138">
        <v>81.211104800000001</v>
      </c>
      <c r="K54" s="138">
        <v>4.946219009</v>
      </c>
      <c r="L54" s="138">
        <v>-37.131615179999997</v>
      </c>
      <c r="M54" s="138">
        <v>0.17677669500000001</v>
      </c>
      <c r="N54" s="138">
        <v>0</v>
      </c>
    </row>
    <row r="55" spans="1:14" ht="15" x14ac:dyDescent="0.25">
      <c r="A55" s="138">
        <v>17.215982440000001</v>
      </c>
      <c r="B55" s="138">
        <v>-5.7876071979999999</v>
      </c>
      <c r="C55" s="138">
        <v>29.602110979999999</v>
      </c>
      <c r="D55" s="138">
        <v>-150.62103819999999</v>
      </c>
      <c r="E55" s="138">
        <v>37.282768820000001</v>
      </c>
      <c r="F55" s="138">
        <v>100.53830240000001</v>
      </c>
      <c r="G55" s="138">
        <v>763.14507249999997</v>
      </c>
      <c r="H55" s="138">
        <v>-991.98250359999997</v>
      </c>
      <c r="I55" s="138">
        <v>810.55010449999997</v>
      </c>
      <c r="J55" s="138">
        <v>81.19458582</v>
      </c>
      <c r="K55" s="138">
        <v>4.8152721209999996</v>
      </c>
      <c r="L55" s="138">
        <v>-37.142329519999997</v>
      </c>
      <c r="M55" s="138">
        <v>0.42389562400000003</v>
      </c>
      <c r="N55" s="138">
        <v>0</v>
      </c>
    </row>
    <row r="56" spans="1:14" ht="15" x14ac:dyDescent="0.25">
      <c r="A56" s="138">
        <v>24.535236210000001</v>
      </c>
      <c r="B56" s="138">
        <v>-29.66370972</v>
      </c>
      <c r="C56" s="138">
        <v>92.751396479999997</v>
      </c>
      <c r="D56" s="138">
        <v>-152.82770650000001</v>
      </c>
      <c r="E56" s="138">
        <v>74.027795490000003</v>
      </c>
      <c r="F56" s="138">
        <v>115.7646566</v>
      </c>
      <c r="G56" s="138">
        <v>666.6464575</v>
      </c>
      <c r="H56" s="138">
        <v>-531.49034059999997</v>
      </c>
      <c r="I56" s="138">
        <v>673.69534510000005</v>
      </c>
      <c r="J56" s="138">
        <v>82.350321019999996</v>
      </c>
      <c r="K56" s="138">
        <v>6.4010686290000001</v>
      </c>
      <c r="L56" s="138">
        <v>-37.283229769999998</v>
      </c>
      <c r="M56" s="138">
        <v>0.695970545</v>
      </c>
      <c r="N56" s="138">
        <v>0</v>
      </c>
    </row>
    <row r="57" spans="1:14" ht="15" x14ac:dyDescent="0.25">
      <c r="A57" s="138">
        <v>19.225299400000001</v>
      </c>
      <c r="B57" s="138">
        <v>-29.663666060000001</v>
      </c>
      <c r="C57" s="138">
        <v>29.110202260000001</v>
      </c>
      <c r="D57" s="138">
        <v>-91.206734310000002</v>
      </c>
      <c r="E57" s="138">
        <v>34.796813389999997</v>
      </c>
      <c r="F57" s="138">
        <v>134.79785810000001</v>
      </c>
      <c r="G57" s="138">
        <v>863.50180690000002</v>
      </c>
      <c r="H57" s="138">
        <v>-859.31166889999997</v>
      </c>
      <c r="I57" s="138">
        <v>1458.752833</v>
      </c>
      <c r="J57" s="138">
        <v>88.918241010000003</v>
      </c>
      <c r="K57" s="138">
        <v>19.949393319999999</v>
      </c>
      <c r="L57" s="138">
        <v>-134.0345988</v>
      </c>
      <c r="M57" s="138">
        <v>0.45927932700000001</v>
      </c>
      <c r="N57" s="138">
        <v>0</v>
      </c>
    </row>
    <row r="58" spans="1:14" ht="15" x14ac:dyDescent="0.25">
      <c r="A58" s="138">
        <v>32.46745937</v>
      </c>
      <c r="B58" s="138">
        <v>-68.403764039999999</v>
      </c>
      <c r="C58" s="138">
        <v>94.355700760000005</v>
      </c>
      <c r="D58" s="138">
        <v>-112.66707289999999</v>
      </c>
      <c r="E58" s="138">
        <v>53.675180820000001</v>
      </c>
      <c r="F58" s="138">
        <v>168.03686389999999</v>
      </c>
      <c r="G58" s="138">
        <v>659.55831539999997</v>
      </c>
      <c r="H58" s="138">
        <v>-307.97904770000002</v>
      </c>
      <c r="I58" s="138">
        <v>1448.6549030000001</v>
      </c>
      <c r="J58" s="138">
        <v>89.091390039999993</v>
      </c>
      <c r="K58" s="138">
        <v>19.977503720000001</v>
      </c>
      <c r="L58" s="138">
        <v>-134.11398109999999</v>
      </c>
      <c r="M58" s="138">
        <v>0.70710678100000002</v>
      </c>
      <c r="N58" s="138">
        <v>0</v>
      </c>
    </row>
    <row r="59" spans="1:14" ht="15" x14ac:dyDescent="0.25">
      <c r="A59" s="138">
        <v>44.26750603</v>
      </c>
      <c r="B59" s="138">
        <v>-23.369323619999999</v>
      </c>
      <c r="C59" s="138">
        <v>38.661334689999997</v>
      </c>
      <c r="D59" s="138">
        <v>-99.954751970000004</v>
      </c>
      <c r="E59" s="138">
        <v>61.359228629999997</v>
      </c>
      <c r="F59" s="138">
        <v>152.26993849999999</v>
      </c>
      <c r="G59" s="138">
        <v>92.444073860000003</v>
      </c>
      <c r="H59" s="138">
        <v>-523.27263340000002</v>
      </c>
      <c r="I59" s="138">
        <v>1146.942507</v>
      </c>
      <c r="J59" s="138">
        <v>89.020935309999999</v>
      </c>
      <c r="K59" s="138">
        <v>19.933237250000001</v>
      </c>
      <c r="L59" s="138">
        <v>-134.0493926</v>
      </c>
      <c r="M59" s="138">
        <v>0.25</v>
      </c>
      <c r="N59" s="138">
        <v>0</v>
      </c>
    </row>
    <row r="60" spans="1:14" ht="15" x14ac:dyDescent="0.25">
      <c r="A60" s="138">
        <v>39.439966239999997</v>
      </c>
      <c r="B60" s="138">
        <v>-36.594220350000001</v>
      </c>
      <c r="C60" s="138">
        <v>79.106633990000006</v>
      </c>
      <c r="D60" s="138">
        <v>-113.93016419999999</v>
      </c>
      <c r="E60" s="138">
        <v>50.29276333</v>
      </c>
      <c r="F60" s="138">
        <v>172.4774712</v>
      </c>
      <c r="G60" s="138">
        <v>300.53042840000001</v>
      </c>
      <c r="H60" s="138">
        <v>-457.42718710000003</v>
      </c>
      <c r="I60" s="138">
        <v>877.95135040000002</v>
      </c>
      <c r="J60" s="138">
        <v>102.2118703</v>
      </c>
      <c r="K60" s="138">
        <v>10.635213179999999</v>
      </c>
      <c r="L60" s="138">
        <v>-128.59608739999999</v>
      </c>
      <c r="M60" s="138">
        <v>0.5</v>
      </c>
      <c r="N60" s="138">
        <v>0</v>
      </c>
    </row>
    <row r="61" spans="1:14" ht="15" x14ac:dyDescent="0.25">
      <c r="A61" s="138">
        <v>53.922771840000003</v>
      </c>
      <c r="B61" s="138">
        <v>-57.240722730000002</v>
      </c>
      <c r="C61" s="138">
        <v>108.83786739999999</v>
      </c>
      <c r="D61" s="138">
        <v>-106.6259747</v>
      </c>
      <c r="E61" s="138">
        <v>62.685211979999998</v>
      </c>
      <c r="F61" s="138">
        <v>178.51813859999999</v>
      </c>
      <c r="G61" s="138">
        <v>203.70872940000001</v>
      </c>
      <c r="H61" s="138">
        <v>32.346021100000002</v>
      </c>
      <c r="I61" s="138">
        <v>982.33970079999995</v>
      </c>
      <c r="J61" s="138">
        <v>102.21760740000001</v>
      </c>
      <c r="K61" s="138">
        <v>10.665472019999999</v>
      </c>
      <c r="L61" s="138">
        <v>-128.60280969999999</v>
      </c>
      <c r="M61" s="138">
        <v>0.39528470799999998</v>
      </c>
      <c r="N61" s="138">
        <v>0</v>
      </c>
    </row>
    <row r="62" spans="1:14" ht="15" x14ac:dyDescent="0.25">
      <c r="A62" s="138">
        <v>50.373393630000002</v>
      </c>
      <c r="B62" s="138">
        <v>-58.077066729999999</v>
      </c>
      <c r="C62" s="138">
        <v>126.265213</v>
      </c>
      <c r="D62" s="138">
        <v>-117.27980700000001</v>
      </c>
      <c r="E62" s="138">
        <v>67.26784859</v>
      </c>
      <c r="F62" s="138">
        <v>196.23776670000001</v>
      </c>
      <c r="G62" s="138">
        <v>402.95340119999997</v>
      </c>
      <c r="H62" s="138">
        <v>103.044765</v>
      </c>
      <c r="I62" s="138">
        <v>833.71269910000001</v>
      </c>
      <c r="J62" s="138">
        <v>102.2723493</v>
      </c>
      <c r="K62" s="138">
        <v>10.75481224</v>
      </c>
      <c r="L62" s="138">
        <v>-128.6233661</v>
      </c>
      <c r="M62" s="138">
        <v>0.5</v>
      </c>
      <c r="N62" s="138">
        <v>0</v>
      </c>
    </row>
    <row r="63" spans="1:14" ht="15" x14ac:dyDescent="0.25">
      <c r="A63" s="138">
        <v>83.271912689999994</v>
      </c>
      <c r="B63" s="138">
        <v>-76.803788679999997</v>
      </c>
      <c r="C63" s="138">
        <v>125.591702</v>
      </c>
      <c r="D63" s="138">
        <v>-88.879562379999996</v>
      </c>
      <c r="E63" s="138">
        <v>70.328018490000005</v>
      </c>
      <c r="F63" s="138">
        <v>173.0494702</v>
      </c>
      <c r="G63" s="138">
        <v>52.098582200000003</v>
      </c>
      <c r="H63" s="138">
        <v>723.68593490000001</v>
      </c>
      <c r="I63" s="138">
        <v>1107.4594360000001</v>
      </c>
      <c r="J63" s="138">
        <v>105.7089696</v>
      </c>
      <c r="K63" s="138">
        <v>-1.2570278340000001</v>
      </c>
      <c r="L63" s="138">
        <v>-126.23038149999999</v>
      </c>
      <c r="M63" s="138">
        <v>0.25</v>
      </c>
      <c r="N63" s="138">
        <v>0</v>
      </c>
    </row>
    <row r="64" spans="1:14" ht="15" x14ac:dyDescent="0.25">
      <c r="A64" s="138">
        <v>15.912269330000001</v>
      </c>
      <c r="B64" s="138">
        <v>-92.808517910000006</v>
      </c>
      <c r="C64" s="138">
        <v>35.428679430000003</v>
      </c>
      <c r="D64" s="138">
        <v>-10.254381</v>
      </c>
      <c r="E64" s="138">
        <v>73.258335419999995</v>
      </c>
      <c r="F64" s="138">
        <v>41.855969090000002</v>
      </c>
      <c r="G64" s="138">
        <v>1103.9726860000001</v>
      </c>
      <c r="H64" s="138">
        <v>342.86513860000002</v>
      </c>
      <c r="I64" s="138">
        <v>2420.391498</v>
      </c>
      <c r="J64" s="138">
        <v>105.1458002</v>
      </c>
      <c r="K64" s="138">
        <v>-1.0603592449999999</v>
      </c>
      <c r="L64" s="138">
        <v>-126.2735869</v>
      </c>
      <c r="M64" s="138">
        <v>2.8284271250000002</v>
      </c>
      <c r="N64" s="138">
        <v>0</v>
      </c>
    </row>
    <row r="65" spans="1:14" ht="15" x14ac:dyDescent="0.25">
      <c r="A65" s="138">
        <v>34.414291919999997</v>
      </c>
      <c r="B65" s="138">
        <v>-130.68373199999999</v>
      </c>
      <c r="C65" s="138">
        <v>111.8922003</v>
      </c>
      <c r="D65" s="138">
        <v>-41.469396629999999</v>
      </c>
      <c r="E65" s="138">
        <v>44.336119189999998</v>
      </c>
      <c r="F65" s="138">
        <v>76.70278587</v>
      </c>
      <c r="G65" s="138">
        <v>964.32312939999997</v>
      </c>
      <c r="H65" s="138">
        <v>503.97924769999997</v>
      </c>
      <c r="I65" s="138">
        <v>1849.267521</v>
      </c>
      <c r="J65" s="138">
        <v>105.18053209999999</v>
      </c>
      <c r="K65" s="138">
        <v>-1.217395958</v>
      </c>
      <c r="L65" s="138">
        <v>-126.29112670000001</v>
      </c>
      <c r="M65" s="138">
        <v>0.90138781899999998</v>
      </c>
      <c r="N65" s="138">
        <v>0</v>
      </c>
    </row>
    <row r="66" spans="1:14" ht="15" x14ac:dyDescent="0.25">
      <c r="A66" s="138">
        <v>90.06167671</v>
      </c>
      <c r="B66" s="138">
        <v>-31.27504257</v>
      </c>
      <c r="C66" s="138">
        <v>72.1839315</v>
      </c>
      <c r="D66" s="138">
        <v>-81.802548900000005</v>
      </c>
      <c r="E66" s="138">
        <v>75.774102099999993</v>
      </c>
      <c r="F66" s="138">
        <v>165.26256319999999</v>
      </c>
      <c r="G66" s="138">
        <v>-564.11956580000003</v>
      </c>
      <c r="H66" s="138">
        <v>815.32056669999997</v>
      </c>
      <c r="I66" s="138">
        <v>814.7632734</v>
      </c>
      <c r="J66" s="138">
        <v>105.67741100000001</v>
      </c>
      <c r="K66" s="138">
        <v>-1.279297752</v>
      </c>
      <c r="L66" s="138">
        <v>-126.17490599999999</v>
      </c>
      <c r="M66" s="138">
        <v>0.86602540400000005</v>
      </c>
      <c r="N66" s="138">
        <v>0</v>
      </c>
    </row>
    <row r="67" spans="1:14" ht="15" x14ac:dyDescent="0.25">
      <c r="A67" s="138">
        <v>87.760210420000007</v>
      </c>
      <c r="B67" s="138">
        <v>-39.096520920000003</v>
      </c>
      <c r="C67" s="138">
        <v>67.124235990000003</v>
      </c>
      <c r="D67" s="138">
        <v>-79.819874799999994</v>
      </c>
      <c r="E67" s="138">
        <v>75.953668059999998</v>
      </c>
      <c r="F67" s="138">
        <v>151.8364397</v>
      </c>
      <c r="G67" s="138">
        <v>-567.19400780000001</v>
      </c>
      <c r="H67" s="138">
        <v>742.01826540000002</v>
      </c>
      <c r="I67" s="138">
        <v>1079.9969530000001</v>
      </c>
      <c r="J67" s="138">
        <v>105.6195788</v>
      </c>
      <c r="K67" s="138">
        <v>-1.3199211049999999</v>
      </c>
      <c r="L67" s="138">
        <v>-126.2006135</v>
      </c>
      <c r="M67" s="138">
        <v>2.549509757</v>
      </c>
      <c r="N67" s="138">
        <v>0</v>
      </c>
    </row>
    <row r="68" spans="1:14" ht="15" x14ac:dyDescent="0.25">
      <c r="A68" s="138">
        <v>73.702223129999993</v>
      </c>
      <c r="B68" s="138">
        <v>-25.13373928</v>
      </c>
      <c r="C68" s="138">
        <v>49.92935928</v>
      </c>
      <c r="D68" s="138">
        <v>-84.295426939999999</v>
      </c>
      <c r="E68" s="138">
        <v>63.923671720000002</v>
      </c>
      <c r="F68" s="138">
        <v>146.60534680000001</v>
      </c>
      <c r="G68" s="138">
        <v>-575.36762499999998</v>
      </c>
      <c r="H68" s="138">
        <v>269.85268289999999</v>
      </c>
      <c r="I68" s="138">
        <v>949.12878679999994</v>
      </c>
      <c r="J68" s="138">
        <v>105.60164260000001</v>
      </c>
      <c r="K68" s="138">
        <v>-1.323919756</v>
      </c>
      <c r="L68" s="138">
        <v>-126.2028351</v>
      </c>
      <c r="M68" s="138">
        <v>0.25</v>
      </c>
      <c r="N68" s="138">
        <v>0</v>
      </c>
    </row>
    <row r="69" spans="1:14" ht="15" x14ac:dyDescent="0.25">
      <c r="A69" s="138">
        <v>71.534490739999995</v>
      </c>
      <c r="B69" s="138">
        <v>-21.648209919999999</v>
      </c>
      <c r="C69" s="138">
        <v>46.73147591</v>
      </c>
      <c r="D69" s="138">
        <v>-97.361297759999999</v>
      </c>
      <c r="E69" s="138">
        <v>62.568598629999997</v>
      </c>
      <c r="F69" s="138">
        <v>54.165745200000003</v>
      </c>
      <c r="G69" s="138">
        <v>-648.46316850000005</v>
      </c>
      <c r="H69" s="138">
        <v>196.76108450000001</v>
      </c>
      <c r="I69" s="138">
        <v>939.81387610000002</v>
      </c>
      <c r="J69" s="138">
        <v>95.630738179999994</v>
      </c>
      <c r="K69" s="138">
        <v>-4.9380513869999998</v>
      </c>
      <c r="L69" s="138">
        <v>-28.465023259999999</v>
      </c>
      <c r="M69" s="138">
        <v>0.43301270200000003</v>
      </c>
      <c r="N69" s="138">
        <v>0</v>
      </c>
    </row>
    <row r="70" spans="1:14" ht="15" x14ac:dyDescent="0.25">
      <c r="A70" s="138">
        <v>56.85104355</v>
      </c>
      <c r="B70" s="138">
        <v>-18.40128387</v>
      </c>
      <c r="C70" s="138">
        <v>48.30403587</v>
      </c>
      <c r="D70" s="138">
        <v>-109.2196452</v>
      </c>
      <c r="E70" s="138">
        <v>50.966302220000003</v>
      </c>
      <c r="F70" s="138">
        <v>63.306820449999996</v>
      </c>
      <c r="G70" s="138">
        <v>-392.1506364</v>
      </c>
      <c r="H70" s="138">
        <v>-228.49683519999999</v>
      </c>
      <c r="I70" s="138">
        <v>826.39651089999995</v>
      </c>
      <c r="J70" s="138">
        <v>95.682923939999995</v>
      </c>
      <c r="K70" s="138">
        <v>-4.9205152129999998</v>
      </c>
      <c r="L70" s="138">
        <v>-28.44335478</v>
      </c>
      <c r="M70" s="138">
        <v>0.25</v>
      </c>
      <c r="N70" s="138">
        <v>0</v>
      </c>
    </row>
    <row r="71" spans="1:14" ht="15" x14ac:dyDescent="0.25">
      <c r="A71" s="138">
        <v>99.207846529999998</v>
      </c>
      <c r="B71" s="138">
        <v>-54.828305659999998</v>
      </c>
      <c r="C71" s="138">
        <v>109.8207486</v>
      </c>
      <c r="D71" s="138">
        <v>-87.118180690000003</v>
      </c>
      <c r="E71" s="138">
        <v>85.5506958</v>
      </c>
      <c r="F71" s="138">
        <v>83.470152279999994</v>
      </c>
      <c r="G71" s="138">
        <v>-285.7021072</v>
      </c>
      <c r="H71" s="138">
        <v>1074.4994119999999</v>
      </c>
      <c r="I71" s="138">
        <v>950.11785199999997</v>
      </c>
      <c r="J71" s="138">
        <v>95.732312969999995</v>
      </c>
      <c r="K71" s="138">
        <v>-4.8418078080000004</v>
      </c>
      <c r="L71" s="138">
        <v>-28.45802509</v>
      </c>
      <c r="M71" s="138">
        <v>1.1726039399999999</v>
      </c>
      <c r="N71" s="138">
        <v>0</v>
      </c>
    </row>
    <row r="72" spans="1:14" ht="15" x14ac:dyDescent="0.25">
      <c r="A72" s="138">
        <v>99.207846529999998</v>
      </c>
      <c r="B72" s="138">
        <v>-63.890020290000002</v>
      </c>
      <c r="C72" s="138">
        <v>9.6756002139999993</v>
      </c>
      <c r="D72" s="138">
        <v>-87.11821999</v>
      </c>
      <c r="E72" s="138">
        <v>85.550696259999995</v>
      </c>
      <c r="F72" s="138">
        <v>83.470170899999999</v>
      </c>
      <c r="G72" s="138">
        <v>101.0312122</v>
      </c>
      <c r="H72" s="138">
        <v>1042.6610439999999</v>
      </c>
      <c r="I72" s="138">
        <v>2407.6528320000002</v>
      </c>
      <c r="J72" s="138">
        <v>87.856480219999995</v>
      </c>
      <c r="K72" s="138">
        <v>-9.6249449269999996</v>
      </c>
      <c r="L72" s="138">
        <v>-138.41522950000001</v>
      </c>
      <c r="M72" s="138">
        <v>0.61237243600000002</v>
      </c>
      <c r="N72" s="138">
        <v>0</v>
      </c>
    </row>
    <row r="73" spans="1:14" ht="15" x14ac:dyDescent="0.25">
      <c r="A73" s="138">
        <v>99.207847670000007</v>
      </c>
      <c r="B73" s="138">
        <v>-63.890011059999999</v>
      </c>
      <c r="C73" s="138">
        <v>-64.361422349999998</v>
      </c>
      <c r="D73" s="138">
        <v>-128.97754119999999</v>
      </c>
      <c r="E73" s="138">
        <v>85.550692519999998</v>
      </c>
      <c r="F73" s="138">
        <v>83.470167309999994</v>
      </c>
      <c r="G73" s="138">
        <v>1286.3519920000001</v>
      </c>
      <c r="H73" s="138">
        <v>1049.4730489999999</v>
      </c>
      <c r="I73" s="138">
        <v>2049.8518159999999</v>
      </c>
      <c r="J73" s="138">
        <v>111.7261256</v>
      </c>
      <c r="K73" s="138">
        <v>28.740701290000001</v>
      </c>
      <c r="L73" s="138">
        <v>144.77411499999999</v>
      </c>
      <c r="M73" s="138">
        <v>1</v>
      </c>
      <c r="N73" s="138">
        <v>0</v>
      </c>
    </row>
    <row r="74" spans="1:14" ht="15" x14ac:dyDescent="0.25">
      <c r="A74" s="138">
        <v>98.163350140000006</v>
      </c>
      <c r="B74" s="138">
        <v>-25.862704180000001</v>
      </c>
      <c r="C74" s="138">
        <v>-110.29521889999999</v>
      </c>
      <c r="D74" s="138">
        <v>-108.90319239999999</v>
      </c>
      <c r="E74" s="138">
        <v>83.487733919999997</v>
      </c>
      <c r="F74" s="138">
        <v>78.148743820000007</v>
      </c>
      <c r="G74" s="138">
        <v>895.80294949999995</v>
      </c>
      <c r="H74" s="138">
        <v>1010.185778</v>
      </c>
      <c r="I74" s="138">
        <v>1616.0574340000001</v>
      </c>
      <c r="J74" s="138">
        <v>98.974336919999999</v>
      </c>
      <c r="K74" s="138">
        <v>14.568473989999999</v>
      </c>
      <c r="L74" s="138">
        <v>145.56409400000001</v>
      </c>
      <c r="M74" s="138">
        <v>1.118033989</v>
      </c>
      <c r="N74" s="138">
        <v>0</v>
      </c>
    </row>
    <row r="75" spans="1:14" ht="15" x14ac:dyDescent="0.25">
      <c r="A75" s="138">
        <v>139.57402569999999</v>
      </c>
      <c r="B75" s="138">
        <v>-12.511591320000001</v>
      </c>
      <c r="C75" s="138">
        <v>-95.475724720000002</v>
      </c>
      <c r="D75" s="138">
        <v>-149.5492935</v>
      </c>
      <c r="E75" s="138">
        <v>83.300594860000004</v>
      </c>
      <c r="F75" s="138">
        <v>112.66428689999999</v>
      </c>
      <c r="G75" s="138">
        <v>758.39902900000004</v>
      </c>
      <c r="H75" s="138">
        <v>1540.7675730000001</v>
      </c>
      <c r="I75" s="138">
        <v>1702.702094</v>
      </c>
      <c r="J75" s="138">
        <v>98.867143130000002</v>
      </c>
      <c r="K75" s="138">
        <v>14.414726549999999</v>
      </c>
      <c r="L75" s="138">
        <v>145.67358970000001</v>
      </c>
      <c r="M75" s="138">
        <v>0.35355339099999999</v>
      </c>
      <c r="N75" s="138">
        <v>0</v>
      </c>
    </row>
    <row r="76" spans="1:14" ht="15" x14ac:dyDescent="0.25">
      <c r="A76" s="138">
        <v>163.946945</v>
      </c>
      <c r="B76" s="138">
        <v>-29.329170909999998</v>
      </c>
      <c r="C76" s="138">
        <v>-82.555488429999997</v>
      </c>
      <c r="D76" s="138">
        <v>-173.66435269999999</v>
      </c>
      <c r="E76" s="138">
        <v>77.069487609999996</v>
      </c>
      <c r="F76" s="138">
        <v>119.39198879999999</v>
      </c>
      <c r="G76" s="138">
        <v>1087.0685080000001</v>
      </c>
      <c r="H76" s="138">
        <v>1593.009595</v>
      </c>
      <c r="I76" s="138">
        <v>1906.326088</v>
      </c>
      <c r="J76" s="138">
        <v>98.862394409999993</v>
      </c>
      <c r="K76" s="138">
        <v>14.3879851</v>
      </c>
      <c r="L76" s="138">
        <v>145.67841540000001</v>
      </c>
      <c r="M76" s="138">
        <v>2</v>
      </c>
      <c r="N76" s="138">
        <v>0</v>
      </c>
    </row>
    <row r="77" spans="1:14" ht="15" x14ac:dyDescent="0.25">
      <c r="A77" s="138">
        <v>161.6746809</v>
      </c>
      <c r="B77" s="138">
        <v>-27.960377220000002</v>
      </c>
      <c r="C77" s="138">
        <v>-84.446117860000001</v>
      </c>
      <c r="D77" s="138">
        <v>-180.3286014</v>
      </c>
      <c r="E77" s="138">
        <v>69.017404249999998</v>
      </c>
      <c r="F77" s="138">
        <v>77.172223819999999</v>
      </c>
      <c r="G77" s="138">
        <v>1113.0204759999999</v>
      </c>
      <c r="H77" s="138">
        <v>1602.832467</v>
      </c>
      <c r="I77" s="138">
        <v>1956.8238309999999</v>
      </c>
      <c r="J77" s="138">
        <v>91.307378979999996</v>
      </c>
      <c r="K77" s="138">
        <v>23.317720000000001</v>
      </c>
      <c r="L77" s="138">
        <v>-167.90508030000001</v>
      </c>
      <c r="M77" s="138">
        <v>0.790569415</v>
      </c>
      <c r="N77" s="138">
        <v>0</v>
      </c>
    </row>
    <row r="78" spans="1:14" ht="15" x14ac:dyDescent="0.25">
      <c r="A78" s="138">
        <v>156.66012760000001</v>
      </c>
      <c r="B78" s="138">
        <v>-43.036628950000001</v>
      </c>
      <c r="C78" s="138">
        <v>-59.619288140000002</v>
      </c>
      <c r="D78" s="138">
        <v>-175.2018961</v>
      </c>
      <c r="E78" s="138">
        <v>78.810835569999995</v>
      </c>
      <c r="F78" s="138">
        <v>75.99354744</v>
      </c>
      <c r="G78" s="138">
        <v>1063.764261</v>
      </c>
      <c r="H78" s="138">
        <v>1574.1862060000001</v>
      </c>
      <c r="I78" s="138">
        <v>2204.1877690000001</v>
      </c>
      <c r="J78" s="138">
        <v>91.312402640000002</v>
      </c>
      <c r="K78" s="138">
        <v>23.335834640000002</v>
      </c>
      <c r="L78" s="138">
        <v>-167.90394710000001</v>
      </c>
      <c r="M78" s="138">
        <v>0.35355339099999999</v>
      </c>
      <c r="N78" s="138">
        <v>0</v>
      </c>
    </row>
    <row r="79" spans="1:14" ht="15" x14ac:dyDescent="0.25">
      <c r="A79" s="138">
        <v>103.4499957</v>
      </c>
      <c r="B79" s="138">
        <v>-20.640005949999999</v>
      </c>
      <c r="C79" s="138">
        <v>-57.710000989999998</v>
      </c>
      <c r="D79" s="138">
        <v>-121.29996149999999</v>
      </c>
      <c r="E79" s="138">
        <v>86.97</v>
      </c>
      <c r="F79" s="138">
        <v>86.970020520000006</v>
      </c>
      <c r="G79" s="138">
        <v>201.70508000000001</v>
      </c>
      <c r="H79" s="138">
        <v>1177.6086539999999</v>
      </c>
      <c r="I79" s="138">
        <v>2045.831242</v>
      </c>
      <c r="J79" s="138">
        <v>80.091079109999995</v>
      </c>
      <c r="K79" s="138">
        <v>21.15047801</v>
      </c>
      <c r="L79" s="138">
        <v>-163.5869783</v>
      </c>
      <c r="M79" s="138">
        <v>1.3228756559999999</v>
      </c>
      <c r="N79" s="138">
        <v>0</v>
      </c>
    </row>
    <row r="80" spans="1:14" ht="15" x14ac:dyDescent="0.25">
      <c r="A80" s="138">
        <v>103.44999249999999</v>
      </c>
      <c r="B80" s="138">
        <v>6.3300117919999996</v>
      </c>
      <c r="C80" s="138">
        <v>-88.089998469999998</v>
      </c>
      <c r="D80" s="138">
        <v>-121.6400208</v>
      </c>
      <c r="E80" s="138">
        <v>78.660008770000005</v>
      </c>
      <c r="F80" s="138">
        <v>84.049984210000005</v>
      </c>
      <c r="G80" s="138">
        <v>197.04842790000001</v>
      </c>
      <c r="H80" s="138">
        <v>1185.4918319999999</v>
      </c>
      <c r="I80" s="138">
        <v>1687.6364550000001</v>
      </c>
      <c r="J80" s="138">
        <v>73.121910630000002</v>
      </c>
      <c r="K80" s="138">
        <v>20.321697239999999</v>
      </c>
      <c r="L80" s="138">
        <v>-161.05618279999999</v>
      </c>
      <c r="M80" s="138">
        <v>0.35355339099999999</v>
      </c>
      <c r="N80" s="138">
        <v>0</v>
      </c>
    </row>
    <row r="81" spans="1:14" ht="15" x14ac:dyDescent="0.25">
      <c r="A81" s="138">
        <v>116.3703735</v>
      </c>
      <c r="B81" s="138">
        <v>-9.3251813509999995</v>
      </c>
      <c r="C81" s="138">
        <v>-114.4783788</v>
      </c>
      <c r="D81" s="138">
        <v>-130.38537669999999</v>
      </c>
      <c r="E81" s="138">
        <v>68.122363739999997</v>
      </c>
      <c r="F81" s="138">
        <v>51.961410899999997</v>
      </c>
      <c r="G81" s="138">
        <v>800.10140409999997</v>
      </c>
      <c r="H81" s="138">
        <v>1227.036333</v>
      </c>
      <c r="I81" s="138">
        <v>1593.5236359999999</v>
      </c>
      <c r="J81" s="138">
        <v>91.346182690000006</v>
      </c>
      <c r="K81" s="138">
        <v>23.45614015</v>
      </c>
      <c r="L81" s="138">
        <v>-167.9116176</v>
      </c>
      <c r="M81" s="138">
        <v>0.35355339099999999</v>
      </c>
      <c r="N81" s="138">
        <v>0</v>
      </c>
    </row>
    <row r="82" spans="1:14" ht="15" x14ac:dyDescent="0.25">
      <c r="A82" s="138">
        <v>100.5626041</v>
      </c>
      <c r="B82" s="138">
        <v>-20.972702179999999</v>
      </c>
      <c r="C82" s="138">
        <v>-51.265828859999999</v>
      </c>
      <c r="D82" s="138">
        <v>-117.6303393</v>
      </c>
      <c r="E82" s="138">
        <v>78.754511949999994</v>
      </c>
      <c r="F82" s="138">
        <v>92.725644759999994</v>
      </c>
      <c r="G82" s="138">
        <v>83.094713990000002</v>
      </c>
      <c r="H82" s="138">
        <v>1132.128827</v>
      </c>
      <c r="I82" s="138">
        <v>2096.6920970000001</v>
      </c>
      <c r="J82" s="138">
        <v>69.999912219999999</v>
      </c>
      <c r="K82" s="138">
        <v>16.33749066</v>
      </c>
      <c r="L82" s="138">
        <v>-160.54484400000001</v>
      </c>
      <c r="M82" s="138">
        <v>0.35355339099999999</v>
      </c>
      <c r="N82" s="138">
        <v>0</v>
      </c>
    </row>
    <row r="83" spans="1:14" ht="15" x14ac:dyDescent="0.25">
      <c r="A83" s="138">
        <v>31.246736299999998</v>
      </c>
      <c r="B83" s="138">
        <v>-52.22601444</v>
      </c>
      <c r="C83" s="138">
        <v>110.9385442</v>
      </c>
      <c r="D83" s="138">
        <v>-117.6305869</v>
      </c>
      <c r="E83" s="138">
        <v>78.754571229999996</v>
      </c>
      <c r="F83" s="138">
        <v>92.725652080000003</v>
      </c>
      <c r="G83" s="138">
        <v>715.04617040000005</v>
      </c>
      <c r="H83" s="138">
        <v>-277.46092859999999</v>
      </c>
      <c r="I83" s="138">
        <v>939.01107639999998</v>
      </c>
      <c r="J83" s="138">
        <v>85.805352819999996</v>
      </c>
      <c r="K83" s="138">
        <v>33.85914125</v>
      </c>
      <c r="L83" s="138">
        <v>-28.105261899999999</v>
      </c>
      <c r="M83" s="138">
        <v>0.39528470799999998</v>
      </c>
      <c r="N83" s="138">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tint="0.499984740745262"/>
  </sheetPr>
  <dimension ref="A1:AF35"/>
  <sheetViews>
    <sheetView topLeftCell="B1" workbookViewId="0">
      <selection activeCell="Z33" sqref="Z33:AB33"/>
    </sheetView>
  </sheetViews>
  <sheetFormatPr defaultRowHeight="12.75" x14ac:dyDescent="0.2"/>
  <sheetData>
    <row r="1" spans="1:22" x14ac:dyDescent="0.2">
      <c r="A1" s="2" t="s">
        <v>1171</v>
      </c>
      <c r="B1" s="2" t="s">
        <v>1172</v>
      </c>
      <c r="C1" s="2" t="s">
        <v>1173</v>
      </c>
      <c r="D1" s="2" t="s">
        <v>1174</v>
      </c>
      <c r="E1" s="2" t="s">
        <v>1175</v>
      </c>
      <c r="F1" s="2" t="s">
        <v>1176</v>
      </c>
      <c r="G1" s="2" t="s">
        <v>14</v>
      </c>
      <c r="H1" s="2" t="s">
        <v>12</v>
      </c>
      <c r="I1" s="2" t="s">
        <v>13</v>
      </c>
      <c r="J1" s="2" t="s">
        <v>30</v>
      </c>
      <c r="K1" s="2" t="s">
        <v>31</v>
      </c>
      <c r="L1" s="2" t="s">
        <v>32</v>
      </c>
    </row>
    <row r="2" spans="1:22" ht="15" x14ac:dyDescent="0.25">
      <c r="A2" s="141">
        <v>0</v>
      </c>
      <c r="B2" s="141">
        <v>-90</v>
      </c>
      <c r="C2" s="141">
        <v>90</v>
      </c>
      <c r="D2" s="141">
        <v>0</v>
      </c>
      <c r="E2" s="141">
        <v>0</v>
      </c>
      <c r="F2" s="141">
        <v>0</v>
      </c>
      <c r="G2" s="141">
        <v>1340</v>
      </c>
      <c r="H2" s="141">
        <v>-0.02</v>
      </c>
      <c r="I2" s="141">
        <v>1810</v>
      </c>
      <c r="J2" s="141">
        <v>94.94</v>
      </c>
      <c r="K2" s="141">
        <v>90</v>
      </c>
      <c r="L2" s="141">
        <v>94.94</v>
      </c>
      <c r="M2" s="6">
        <v>1487.41</v>
      </c>
      <c r="N2" s="6">
        <v>47.47</v>
      </c>
      <c r="O2" s="6">
        <v>1664.77</v>
      </c>
      <c r="P2" s="142">
        <f>G2-M2</f>
        <v>-147.41000000000008</v>
      </c>
      <c r="Q2" s="142">
        <f t="shared" ref="Q2:R2" si="0">H2-N2</f>
        <v>-47.49</v>
      </c>
      <c r="R2" s="142">
        <f t="shared" si="0"/>
        <v>145.23000000000002</v>
      </c>
    </row>
    <row r="3" spans="1:22" ht="15" x14ac:dyDescent="0.25">
      <c r="A3" s="141">
        <v>45</v>
      </c>
      <c r="B3" s="141">
        <v>-90</v>
      </c>
      <c r="C3" s="141">
        <v>90</v>
      </c>
      <c r="D3" s="141">
        <v>0</v>
      </c>
      <c r="E3" s="141">
        <v>0</v>
      </c>
      <c r="F3" s="141">
        <v>0</v>
      </c>
    </row>
    <row r="4" spans="1:22" ht="15" x14ac:dyDescent="0.25">
      <c r="A4" s="141">
        <v>-45</v>
      </c>
      <c r="B4" s="141">
        <v>-90</v>
      </c>
      <c r="C4" s="141">
        <v>90</v>
      </c>
      <c r="D4" s="141">
        <v>0</v>
      </c>
      <c r="E4" s="141">
        <v>0</v>
      </c>
      <c r="F4" s="141">
        <v>0</v>
      </c>
    </row>
    <row r="5" spans="1:22" ht="15" x14ac:dyDescent="0.25">
      <c r="A5" s="141">
        <v>0</v>
      </c>
      <c r="B5" s="141">
        <v>-100</v>
      </c>
      <c r="C5" s="141">
        <v>90</v>
      </c>
      <c r="D5" s="141">
        <v>0</v>
      </c>
      <c r="E5" s="141">
        <v>0</v>
      </c>
      <c r="F5" s="141">
        <v>0</v>
      </c>
    </row>
    <row r="6" spans="1:22" ht="15" x14ac:dyDescent="0.25">
      <c r="A6" s="141">
        <v>0</v>
      </c>
      <c r="B6" s="141">
        <v>-100</v>
      </c>
      <c r="C6" s="141">
        <v>100</v>
      </c>
      <c r="D6" s="141">
        <v>0</v>
      </c>
      <c r="E6" s="141">
        <v>0</v>
      </c>
      <c r="F6" s="141">
        <v>0</v>
      </c>
      <c r="P6" s="2" t="s">
        <v>1177</v>
      </c>
      <c r="Q6">
        <v>-47.47</v>
      </c>
      <c r="R6">
        <v>0.23</v>
      </c>
      <c r="S6">
        <v>147.41</v>
      </c>
      <c r="T6">
        <v>-0.23</v>
      </c>
      <c r="U6">
        <v>0.02</v>
      </c>
      <c r="V6">
        <v>0.06</v>
      </c>
    </row>
    <row r="7" spans="1:22" ht="15" x14ac:dyDescent="0.25">
      <c r="A7" s="141">
        <v>0</v>
      </c>
      <c r="B7" s="141">
        <v>-90</v>
      </c>
      <c r="C7" s="141">
        <v>90</v>
      </c>
      <c r="D7" s="141">
        <v>0</v>
      </c>
      <c r="E7" s="141">
        <v>30</v>
      </c>
      <c r="F7" s="141">
        <v>0</v>
      </c>
      <c r="G7" s="141">
        <v>1317.23</v>
      </c>
      <c r="H7" s="141">
        <v>-0.02</v>
      </c>
      <c r="I7" s="141">
        <v>1725</v>
      </c>
      <c r="J7" s="141">
        <v>179.99</v>
      </c>
      <c r="K7" s="141">
        <v>60</v>
      </c>
      <c r="L7" s="141">
        <v>180</v>
      </c>
    </row>
    <row r="8" spans="1:22" ht="15" x14ac:dyDescent="0.25">
      <c r="A8" s="141">
        <v>0</v>
      </c>
      <c r="B8" s="141">
        <v>-90</v>
      </c>
      <c r="C8" s="141">
        <v>90</v>
      </c>
      <c r="D8" s="141">
        <v>0</v>
      </c>
      <c r="E8" s="141">
        <v>0</v>
      </c>
      <c r="F8" s="141">
        <v>10</v>
      </c>
    </row>
    <row r="9" spans="1:22" ht="15" x14ac:dyDescent="0.25">
      <c r="A9" s="141">
        <v>0</v>
      </c>
      <c r="B9" s="141">
        <v>-90</v>
      </c>
      <c r="C9" s="141">
        <v>90</v>
      </c>
      <c r="D9" s="141">
        <v>0</v>
      </c>
      <c r="E9" s="141">
        <v>30</v>
      </c>
      <c r="F9" s="141">
        <v>10</v>
      </c>
    </row>
    <row r="20" spans="1:23" x14ac:dyDescent="0.2">
      <c r="W20" t="s">
        <v>1178</v>
      </c>
    </row>
    <row r="21" spans="1:23" ht="15" x14ac:dyDescent="0.25">
      <c r="A21" s="21">
        <v>6</v>
      </c>
      <c r="B21" s="141">
        <v>0.11</v>
      </c>
      <c r="C21" s="141">
        <v>-99.93</v>
      </c>
      <c r="D21" s="141">
        <v>100.92</v>
      </c>
      <c r="E21" s="141">
        <v>0</v>
      </c>
      <c r="F21" s="141">
        <v>13.61</v>
      </c>
      <c r="G21" s="141">
        <v>0</v>
      </c>
      <c r="H21" s="141">
        <v>1190.3699999999999</v>
      </c>
      <c r="I21" s="141">
        <v>-2.19</v>
      </c>
      <c r="J21" s="141">
        <v>1740.17</v>
      </c>
      <c r="K21" s="141">
        <v>179.88</v>
      </c>
      <c r="L21" s="141">
        <v>75.39</v>
      </c>
      <c r="M21" s="141">
        <v>179.99</v>
      </c>
    </row>
    <row r="22" spans="1:23" ht="15" x14ac:dyDescent="0.25">
      <c r="A22" s="21">
        <v>7</v>
      </c>
      <c r="B22" s="141">
        <v>0.11</v>
      </c>
      <c r="C22" s="141">
        <v>-99.93</v>
      </c>
      <c r="D22" s="141">
        <v>100.92</v>
      </c>
      <c r="E22" s="141">
        <v>12.13</v>
      </c>
      <c r="F22" s="141">
        <v>13.61</v>
      </c>
      <c r="G22" s="141">
        <v>0</v>
      </c>
      <c r="H22" s="141">
        <v>1190.3699999999999</v>
      </c>
      <c r="I22" s="141">
        <v>-10.6</v>
      </c>
      <c r="J22" s="141">
        <v>1741.07</v>
      </c>
      <c r="K22" s="141">
        <v>-141.07</v>
      </c>
      <c r="L22" s="141">
        <v>71.09</v>
      </c>
      <c r="M22" s="141">
        <v>-139.62</v>
      </c>
    </row>
    <row r="23" spans="1:23" ht="15" x14ac:dyDescent="0.25">
      <c r="A23" s="21">
        <v>8</v>
      </c>
      <c r="B23" s="141">
        <v>0.11</v>
      </c>
      <c r="C23" s="141">
        <v>-99.93</v>
      </c>
      <c r="D23" s="141">
        <v>100.92</v>
      </c>
      <c r="E23" s="141">
        <v>12.13</v>
      </c>
      <c r="F23" s="141">
        <v>13.61</v>
      </c>
      <c r="G23" s="141">
        <v>11.61</v>
      </c>
      <c r="H23" s="141">
        <v>1190.3699999999999</v>
      </c>
      <c r="I23" s="141">
        <v>-10.6</v>
      </c>
      <c r="J23" s="141">
        <v>1741.07</v>
      </c>
      <c r="K23" s="141">
        <v>-121.9</v>
      </c>
      <c r="L23" s="141">
        <v>62.17</v>
      </c>
      <c r="M23" s="141">
        <v>-121.94</v>
      </c>
    </row>
    <row r="24" spans="1:23" ht="15" x14ac:dyDescent="0.25">
      <c r="A24" s="21">
        <v>9</v>
      </c>
      <c r="B24" s="138">
        <v>0.3</v>
      </c>
      <c r="C24" s="138">
        <v>-94.79</v>
      </c>
      <c r="D24" s="138">
        <v>108.96</v>
      </c>
      <c r="E24" s="138">
        <v>179.95</v>
      </c>
      <c r="F24" s="138">
        <v>13.09</v>
      </c>
      <c r="G24" s="138">
        <v>-178.44</v>
      </c>
      <c r="H24" s="138">
        <v>1254.3507569999999</v>
      </c>
      <c r="I24" s="138">
        <v>-856.65967379999995</v>
      </c>
      <c r="J24" s="138">
        <v>1567.465191</v>
      </c>
      <c r="K24" s="6">
        <v>1279.5201</v>
      </c>
      <c r="L24" s="6">
        <v>-6.7332000000000001</v>
      </c>
      <c r="M24" s="6">
        <v>1598.6795</v>
      </c>
      <c r="N24" s="6">
        <v>1.6146</v>
      </c>
      <c r="O24" s="6">
        <v>1.0708</v>
      </c>
      <c r="P24" s="6">
        <v>179.6584</v>
      </c>
      <c r="Q24" s="77" t="e">
        <f>IF(#REF!&lt;&gt;"bad",(H24-K24)*UnitsErr,0)</f>
        <v>#REF!</v>
      </c>
      <c r="R24" s="77" t="e">
        <f>IF(#REF!&lt;&gt;"bad",(I24-L24)*UnitsErr,0)</f>
        <v>#REF!</v>
      </c>
      <c r="S24" s="77" t="e">
        <f>IF(#REF!&lt;&gt;"bad",(J24-M24)*UnitsErr,0)</f>
        <v>#REF!</v>
      </c>
      <c r="T24" s="77" t="e">
        <f>IF(#REF!&lt;&gt;"bad",SQRT(SUMSQ(Q24:S24)),0)</f>
        <v>#REF!</v>
      </c>
    </row>
    <row r="25" spans="1:23" ht="15" x14ac:dyDescent="0.25">
      <c r="A25" s="116">
        <v>10</v>
      </c>
      <c r="B25" s="138">
        <v>0.3</v>
      </c>
      <c r="C25" s="138">
        <v>-94.79</v>
      </c>
      <c r="D25" s="138">
        <v>108.96</v>
      </c>
      <c r="E25" s="138">
        <v>179.95</v>
      </c>
      <c r="F25" s="138">
        <v>13.09</v>
      </c>
      <c r="G25" s="138">
        <v>-178.44</v>
      </c>
      <c r="H25" s="138">
        <v>1254.3507569999999</v>
      </c>
      <c r="I25" s="138">
        <v>-856.65967379999995</v>
      </c>
      <c r="J25" s="138">
        <v>1567.465191</v>
      </c>
      <c r="K25" s="141">
        <v>1427.75</v>
      </c>
      <c r="L25" s="141">
        <v>-6.27</v>
      </c>
      <c r="M25" s="141">
        <v>1638.38</v>
      </c>
    </row>
    <row r="26" spans="1:23" x14ac:dyDescent="0.2">
      <c r="K26" s="142">
        <f>K25-K24</f>
        <v>148.22990000000004</v>
      </c>
      <c r="L26" s="142">
        <f t="shared" ref="L26:M26" si="1">L25-L24</f>
        <v>0.4632000000000005</v>
      </c>
      <c r="M26" s="142">
        <f t="shared" si="1"/>
        <v>39.700500000000147</v>
      </c>
    </row>
    <row r="33" spans="12:32" ht="15" x14ac:dyDescent="0.25">
      <c r="L33" s="21">
        <v>6</v>
      </c>
      <c r="M33" s="141">
        <v>0.11</v>
      </c>
      <c r="N33" s="141">
        <v>-99.93</v>
      </c>
      <c r="O33" s="141">
        <v>100.92</v>
      </c>
      <c r="P33" s="141">
        <v>12.13</v>
      </c>
      <c r="Q33" s="141">
        <v>13.61</v>
      </c>
      <c r="R33" s="141">
        <v>0</v>
      </c>
      <c r="S33" s="141">
        <v>1190.3699999999999</v>
      </c>
      <c r="T33" s="141">
        <v>-10.6</v>
      </c>
      <c r="U33" s="141">
        <v>1741.07</v>
      </c>
      <c r="V33" s="76">
        <v>0</v>
      </c>
      <c r="W33" s="6">
        <v>1190.3124</v>
      </c>
      <c r="X33" s="6">
        <v>-10.6911</v>
      </c>
      <c r="Y33" s="6">
        <v>1741.1179999999999</v>
      </c>
      <c r="Z33" s="6">
        <v>-0.21210000000000001</v>
      </c>
      <c r="AA33" s="6">
        <v>0.25480000000000003</v>
      </c>
      <c r="AB33" s="6">
        <v>1.8E-3</v>
      </c>
      <c r="AC33" s="77">
        <f t="shared" ref="AC33:AC35" si="2">IF(K33&lt;&gt;"bad",(S33-W33)*UnitsErr,0)</f>
        <v>0</v>
      </c>
      <c r="AD33" s="77">
        <f t="shared" ref="AD33:AD35" si="3">IF(K33&lt;&gt;"bad",(T33-X33)*UnitsErr,0)</f>
        <v>0</v>
      </c>
      <c r="AE33" s="77">
        <f t="shared" ref="AE33:AE35" si="4">IF(K33&lt;&gt;"bad",(U33-Y33)*UnitsErr,0)</f>
        <v>0</v>
      </c>
      <c r="AF33" s="77">
        <f t="shared" ref="AF33:AF35" si="5">IF(K33&lt;&gt;"bad",SQRT(SUMSQ(AC33:AE33)),0)</f>
        <v>0</v>
      </c>
    </row>
    <row r="34" spans="12:32" ht="15" x14ac:dyDescent="0.25">
      <c r="L34" s="21">
        <v>7</v>
      </c>
      <c r="M34" s="141">
        <v>0.11</v>
      </c>
      <c r="N34" s="141">
        <v>-99.93</v>
      </c>
      <c r="O34" s="141">
        <v>100.92</v>
      </c>
      <c r="P34" s="141">
        <v>12.13</v>
      </c>
      <c r="Q34" s="141">
        <v>13.61</v>
      </c>
      <c r="R34" s="141">
        <v>11.61</v>
      </c>
      <c r="S34" s="141">
        <v>1190.3699999999999</v>
      </c>
      <c r="T34" s="141">
        <v>-10.6</v>
      </c>
      <c r="U34" s="141">
        <v>1741.07</v>
      </c>
      <c r="V34" s="76">
        <v>0</v>
      </c>
      <c r="W34" s="6">
        <v>1190.3124</v>
      </c>
      <c r="X34" s="6">
        <v>-10.6911</v>
      </c>
      <c r="Y34" s="6">
        <v>1741.1179999999999</v>
      </c>
      <c r="Z34" s="6">
        <v>-2.8999999999999998E-3</v>
      </c>
      <c r="AA34" s="6">
        <v>0.24990000000000001</v>
      </c>
      <c r="AB34" s="6">
        <v>-5.0599999999999999E-2</v>
      </c>
      <c r="AC34" s="77">
        <f t="shared" si="2"/>
        <v>0</v>
      </c>
      <c r="AD34" s="77">
        <f t="shared" si="3"/>
        <v>0</v>
      </c>
      <c r="AE34" s="77">
        <f t="shared" si="4"/>
        <v>0</v>
      </c>
      <c r="AF34" s="77">
        <f t="shared" si="5"/>
        <v>0</v>
      </c>
    </row>
    <row r="35" spans="12:32" ht="15" x14ac:dyDescent="0.25">
      <c r="L35" s="21">
        <v>8</v>
      </c>
      <c r="M35" s="138">
        <v>0.3</v>
      </c>
      <c r="N35" s="138">
        <v>-94.79</v>
      </c>
      <c r="O35" s="138">
        <v>108.96</v>
      </c>
      <c r="P35" s="138">
        <v>179.95</v>
      </c>
      <c r="Q35" s="138">
        <v>13.09</v>
      </c>
      <c r="R35" s="138">
        <v>-178.44</v>
      </c>
      <c r="S35" s="138">
        <v>1279.5201</v>
      </c>
      <c r="T35" s="138">
        <v>-6.7332000000000001</v>
      </c>
      <c r="U35" s="138">
        <v>1598.6795</v>
      </c>
      <c r="V35" s="76">
        <v>0</v>
      </c>
      <c r="W35" s="6">
        <v>1279.5201</v>
      </c>
      <c r="X35" s="6">
        <v>-6.7332000000000001</v>
      </c>
      <c r="Y35" s="6">
        <v>1598.6795</v>
      </c>
      <c r="Z35" s="6">
        <v>2.8199999999999999E-2</v>
      </c>
      <c r="AA35" s="6">
        <v>1.8700000000000001E-2</v>
      </c>
      <c r="AB35" s="6">
        <v>-6.0000000000000001E-3</v>
      </c>
      <c r="AC35" s="77">
        <f t="shared" si="2"/>
        <v>0</v>
      </c>
      <c r="AD35" s="77">
        <f t="shared" si="3"/>
        <v>0</v>
      </c>
      <c r="AE35" s="77">
        <f t="shared" si="4"/>
        <v>0</v>
      </c>
      <c r="AF35" s="77">
        <f t="shared" si="5"/>
        <v>0</v>
      </c>
    </row>
  </sheetData>
  <conditionalFormatting sqref="T24">
    <cfRule type="dataBar" priority="2">
      <dataBar>
        <cfvo type="min"/>
        <cfvo type="max"/>
        <color rgb="FF638EC6"/>
      </dataBar>
      <extLst>
        <ext xmlns:x14="http://schemas.microsoft.com/office/spreadsheetml/2009/9/main" uri="{B025F937-C7B1-47D3-B67F-A62EFF666E3E}">
          <x14:id>{25BA671D-4437-4919-8CA5-8639E583C1B3}</x14:id>
        </ext>
      </extLst>
    </cfRule>
  </conditionalFormatting>
  <conditionalFormatting sqref="AF33:AF35">
    <cfRule type="dataBar" priority="1">
      <dataBar>
        <cfvo type="min"/>
        <cfvo type="max"/>
        <color rgb="FF638EC6"/>
      </dataBar>
      <extLst>
        <ext xmlns:x14="http://schemas.microsoft.com/office/spreadsheetml/2009/9/main" uri="{B025F937-C7B1-47D3-B67F-A62EFF666E3E}">
          <x14:id>{0F33AE31-6982-4332-A1F5-F60856CDBB60}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5BA671D-4437-4919-8CA5-8639E583C1B3}">
            <x14:dataBar minLength="0" maxLength="100" border="1" negativeBarBorderColorSameAsPositive="0">
              <x14:cfvo type="autoMin"/>
              <x14:cfvo type="autoMax"/>
              <x14:borderColor rgb="FF638EC6"/>
              <x14:negativeFillColor rgb="FFFF0000"/>
              <x14:negativeBorderColor rgb="FFFF0000"/>
              <x14:axisColor rgb="FF000000"/>
            </x14:dataBar>
          </x14:cfRule>
          <xm:sqref>T24</xm:sqref>
        </x14:conditionalFormatting>
        <x14:conditionalFormatting xmlns:xm="http://schemas.microsoft.com/office/excel/2006/main">
          <x14:cfRule type="dataBar" id="{0F33AE31-6982-4332-A1F5-F60856CDBB60}">
            <x14:dataBar minLength="0" maxLength="100" border="1" negativeBarBorderColorSameAsPositive="0">
              <x14:cfvo type="autoMin"/>
              <x14:cfvo type="autoMax"/>
              <x14:borderColor rgb="FF638EC6"/>
              <x14:negativeFillColor rgb="FFFF0000"/>
              <x14:negativeBorderColor rgb="FFFF0000"/>
              <x14:axisColor rgb="FF000000"/>
            </x14:dataBar>
          </x14:cfRule>
          <xm:sqref>AF33:AF35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tint="0.499984740745262"/>
  </sheetPr>
  <dimension ref="A1:AB1033"/>
  <sheetViews>
    <sheetView zoomScale="85" zoomScaleNormal="85" workbookViewId="0">
      <selection activeCell="O7" sqref="O7"/>
    </sheetView>
  </sheetViews>
  <sheetFormatPr defaultRowHeight="12.75" x14ac:dyDescent="0.2"/>
  <cols>
    <col min="1" max="1" width="22" bestFit="1" customWidth="1"/>
    <col min="10" max="10" width="15.28515625" bestFit="1" customWidth="1"/>
    <col min="25" max="25" width="15.28515625" bestFit="1" customWidth="1"/>
  </cols>
  <sheetData>
    <row r="1" spans="1:28" x14ac:dyDescent="0.2">
      <c r="A1" t="s">
        <v>124</v>
      </c>
      <c r="B1" t="s">
        <v>125</v>
      </c>
      <c r="C1" t="s">
        <v>126</v>
      </c>
    </row>
    <row r="2" spans="1:28" x14ac:dyDescent="0.2">
      <c r="A2">
        <v>1</v>
      </c>
      <c r="B2">
        <v>2</v>
      </c>
      <c r="C2">
        <v>3</v>
      </c>
      <c r="D2">
        <v>4</v>
      </c>
      <c r="E2">
        <v>5</v>
      </c>
    </row>
    <row r="3" spans="1:28" x14ac:dyDescent="0.2">
      <c r="A3" t="s">
        <v>127</v>
      </c>
      <c r="B3">
        <v>39499.585871000003</v>
      </c>
      <c r="C3">
        <v>-1350.742696</v>
      </c>
      <c r="D3">
        <v>-0.31100299999999997</v>
      </c>
      <c r="E3">
        <f>RIGHT(A3,LEN(A3)-FIND("_",A3,FIND("_",A3)+1))*1</f>
        <v>1</v>
      </c>
      <c r="F3" t="str">
        <f>IF(E3&lt;&gt;1+E2,"err","")</f>
        <v>err</v>
      </c>
      <c r="J3" t="s">
        <v>127</v>
      </c>
      <c r="K3">
        <v>39499.5861</v>
      </c>
      <c r="L3">
        <v>-1350.7326</v>
      </c>
      <c r="M3">
        <v>-0.30959999999999999</v>
      </c>
      <c r="N3">
        <f>RIGHT(J3,LEN(J3)-FIND("_",J3,FIND("_",J3)+1))*1</f>
        <v>1</v>
      </c>
      <c r="O3" t="str">
        <f>IF(N3&lt;&gt;1+N2,"err","")</f>
        <v/>
      </c>
      <c r="Q3">
        <f>K3</f>
        <v>39499.5861</v>
      </c>
      <c r="R3">
        <f>B3-K3</f>
        <v>-2.2899999748915434E-4</v>
      </c>
      <c r="S3">
        <f t="shared" ref="S3:T3" si="0">C3-L3</f>
        <v>-1.0095999999975902E-2</v>
      </c>
      <c r="T3">
        <f t="shared" si="0"/>
        <v>-1.4029999999999876E-3</v>
      </c>
      <c r="Y3" t="s">
        <v>127</v>
      </c>
      <c r="Z3">
        <v>39499.589099999997</v>
      </c>
      <c r="AA3">
        <v>-1350.8436999999999</v>
      </c>
      <c r="AB3">
        <v>-0.3211</v>
      </c>
    </row>
    <row r="4" spans="1:28" x14ac:dyDescent="0.2">
      <c r="A4" t="s">
        <v>128</v>
      </c>
      <c r="B4">
        <v>38999.620220999997</v>
      </c>
      <c r="C4">
        <v>-1350.701949</v>
      </c>
      <c r="D4">
        <v>-0.29841400000000001</v>
      </c>
      <c r="E4">
        <f t="shared" ref="E4:E67" si="1">RIGHT(A4,LEN(A4)-FIND("_",A4,FIND("_",A4)+1))*1</f>
        <v>2</v>
      </c>
      <c r="F4" t="str">
        <f t="shared" ref="F4:F67" si="2">IF(E4&lt;&gt;1+E3,"err","")</f>
        <v/>
      </c>
      <c r="J4" t="s">
        <v>128</v>
      </c>
      <c r="K4">
        <v>38999.618499999997</v>
      </c>
      <c r="L4">
        <v>-1350.7074</v>
      </c>
      <c r="M4">
        <v>-0.29480000000000001</v>
      </c>
      <c r="N4">
        <f t="shared" ref="N4:N67" si="3">RIGHT(J4,LEN(J4)-FIND("_",J4,FIND("_",J4)+1))*1</f>
        <v>2</v>
      </c>
      <c r="O4" t="str">
        <f t="shared" ref="O4:O67" si="4">IF(N4&lt;&gt;1+N3,"err","")</f>
        <v/>
      </c>
      <c r="Q4">
        <f t="shared" ref="Q4:Q67" si="5">K4</f>
        <v>38999.618499999997</v>
      </c>
      <c r="R4">
        <f t="shared" ref="R4:R67" si="6">B4-K4</f>
        <v>1.7210000005434267E-3</v>
      </c>
      <c r="S4">
        <f t="shared" ref="S4:S67" si="7">C4-L4</f>
        <v>5.4509999999936554E-3</v>
      </c>
      <c r="T4">
        <f t="shared" ref="T4:T67" si="8">D4-M4</f>
        <v>-3.6140000000000061E-3</v>
      </c>
      <c r="Y4" t="s">
        <v>128</v>
      </c>
      <c r="Z4">
        <v>38999.627500000002</v>
      </c>
      <c r="AA4">
        <v>-1350.6445000000001</v>
      </c>
      <c r="AB4">
        <v>-0.33679999999999999</v>
      </c>
    </row>
    <row r="5" spans="1:28" x14ac:dyDescent="0.2">
      <c r="A5" t="s">
        <v>129</v>
      </c>
      <c r="B5">
        <v>38499.586693999998</v>
      </c>
      <c r="C5">
        <v>-1350.694544</v>
      </c>
      <c r="D5">
        <v>-0.30164600000000003</v>
      </c>
      <c r="E5">
        <f t="shared" si="1"/>
        <v>3</v>
      </c>
      <c r="F5" t="str">
        <f t="shared" si="2"/>
        <v/>
      </c>
      <c r="J5" t="s">
        <v>129</v>
      </c>
      <c r="K5">
        <v>38499.585800000001</v>
      </c>
      <c r="L5">
        <v>-1350.6962000000001</v>
      </c>
      <c r="M5">
        <v>-0.30070000000000002</v>
      </c>
      <c r="N5">
        <f t="shared" si="3"/>
        <v>3</v>
      </c>
      <c r="O5" t="str">
        <f t="shared" si="4"/>
        <v/>
      </c>
      <c r="Q5">
        <f t="shared" si="5"/>
        <v>38499.585800000001</v>
      </c>
      <c r="R5">
        <f t="shared" si="6"/>
        <v>8.9399999706074595E-4</v>
      </c>
      <c r="S5">
        <f t="shared" si="7"/>
        <v>1.6560000001391018E-3</v>
      </c>
      <c r="T5">
        <f t="shared" si="8"/>
        <v>-9.4600000000000239E-4</v>
      </c>
      <c r="Y5" t="s">
        <v>129</v>
      </c>
      <c r="Z5">
        <v>38499.591399999998</v>
      </c>
      <c r="AA5">
        <v>-1350.6765</v>
      </c>
      <c r="AB5">
        <v>-0.31169999999999998</v>
      </c>
    </row>
    <row r="6" spans="1:28" x14ac:dyDescent="0.2">
      <c r="A6" t="s">
        <v>130</v>
      </c>
      <c r="B6">
        <v>37999.569409999996</v>
      </c>
      <c r="C6">
        <v>-1350.667895</v>
      </c>
      <c r="D6">
        <v>-0.32163799999999998</v>
      </c>
      <c r="E6">
        <f t="shared" si="1"/>
        <v>4</v>
      </c>
      <c r="F6" t="str">
        <f t="shared" si="2"/>
        <v/>
      </c>
      <c r="J6" t="s">
        <v>130</v>
      </c>
      <c r="K6">
        <v>37999.57</v>
      </c>
      <c r="L6">
        <v>-1350.6692</v>
      </c>
      <c r="M6">
        <v>-0.3226</v>
      </c>
      <c r="N6">
        <f t="shared" si="3"/>
        <v>4</v>
      </c>
      <c r="O6" t="str">
        <f t="shared" si="4"/>
        <v/>
      </c>
      <c r="Q6">
        <f t="shared" si="5"/>
        <v>37999.57</v>
      </c>
      <c r="R6">
        <f t="shared" si="6"/>
        <v>-5.9000000328524038E-4</v>
      </c>
      <c r="S6">
        <f t="shared" si="7"/>
        <v>1.30500000000211E-3</v>
      </c>
      <c r="T6">
        <f t="shared" si="8"/>
        <v>9.620000000000184E-4</v>
      </c>
      <c r="Y6" t="s">
        <v>130</v>
      </c>
      <c r="Z6">
        <v>37999.5648</v>
      </c>
      <c r="AA6">
        <v>-1350.6503</v>
      </c>
      <c r="AB6">
        <v>-0.31209999999999999</v>
      </c>
    </row>
    <row r="7" spans="1:28" x14ac:dyDescent="0.2">
      <c r="A7" t="s">
        <v>131</v>
      </c>
      <c r="B7">
        <v>37499.530852999997</v>
      </c>
      <c r="C7">
        <v>-1350.665109</v>
      </c>
      <c r="D7">
        <v>-0.34110600000000002</v>
      </c>
      <c r="E7">
        <f t="shared" si="1"/>
        <v>5</v>
      </c>
      <c r="F7" t="str">
        <f t="shared" si="2"/>
        <v/>
      </c>
      <c r="J7" t="s">
        <v>131</v>
      </c>
      <c r="K7">
        <v>37499.530200000001</v>
      </c>
      <c r="L7">
        <v>-1350.6684</v>
      </c>
      <c r="M7">
        <v>-0.34379999999999999</v>
      </c>
      <c r="N7">
        <f t="shared" si="3"/>
        <v>5</v>
      </c>
      <c r="O7" t="str">
        <f t="shared" si="4"/>
        <v/>
      </c>
      <c r="Q7">
        <f t="shared" si="5"/>
        <v>37499.530200000001</v>
      </c>
      <c r="R7">
        <f t="shared" si="6"/>
        <v>6.5299999550916255E-4</v>
      </c>
      <c r="S7">
        <f t="shared" si="7"/>
        <v>3.2909999999901629E-3</v>
      </c>
      <c r="T7">
        <f t="shared" si="8"/>
        <v>2.6939999999999742E-3</v>
      </c>
      <c r="Y7" t="s">
        <v>131</v>
      </c>
      <c r="Z7">
        <v>37499.534200000002</v>
      </c>
      <c r="AA7">
        <v>-1350.624</v>
      </c>
      <c r="AB7">
        <v>-0.30620000000000003</v>
      </c>
    </row>
    <row r="8" spans="1:28" x14ac:dyDescent="0.2">
      <c r="A8" t="s">
        <v>132</v>
      </c>
      <c r="B8">
        <v>36999.561328999996</v>
      </c>
      <c r="C8">
        <v>-1350.6300679999999</v>
      </c>
      <c r="D8">
        <v>-0.34925</v>
      </c>
      <c r="E8">
        <f t="shared" si="1"/>
        <v>6</v>
      </c>
      <c r="F8" t="str">
        <f t="shared" si="2"/>
        <v/>
      </c>
      <c r="J8" t="s">
        <v>132</v>
      </c>
      <c r="K8">
        <v>36999.5599</v>
      </c>
      <c r="L8">
        <v>-1350.6335999999999</v>
      </c>
      <c r="M8">
        <v>-0.34520000000000001</v>
      </c>
      <c r="N8">
        <f t="shared" si="3"/>
        <v>6</v>
      </c>
      <c r="O8" t="str">
        <f t="shared" si="4"/>
        <v/>
      </c>
      <c r="Q8">
        <f t="shared" si="5"/>
        <v>36999.5599</v>
      </c>
      <c r="R8">
        <f t="shared" si="6"/>
        <v>1.428999996278435E-3</v>
      </c>
      <c r="S8">
        <f t="shared" si="7"/>
        <v>3.5319999999501306E-3</v>
      </c>
      <c r="T8">
        <f t="shared" si="8"/>
        <v>-4.049999999999998E-3</v>
      </c>
      <c r="Y8" t="s">
        <v>132</v>
      </c>
      <c r="Z8">
        <v>36999.568800000001</v>
      </c>
      <c r="AA8">
        <v>-1350.5776000000001</v>
      </c>
      <c r="AB8">
        <v>-0.40870000000000001</v>
      </c>
    </row>
    <row r="9" spans="1:28" x14ac:dyDescent="0.2">
      <c r="A9" t="s">
        <v>133</v>
      </c>
      <c r="B9">
        <v>36499.545126999998</v>
      </c>
      <c r="C9">
        <v>-1350.6225649999999</v>
      </c>
      <c r="D9">
        <v>-0.32368200000000003</v>
      </c>
      <c r="E9">
        <f t="shared" si="1"/>
        <v>7</v>
      </c>
      <c r="F9" t="str">
        <f t="shared" si="2"/>
        <v/>
      </c>
      <c r="J9" t="s">
        <v>133</v>
      </c>
      <c r="K9">
        <v>36499.5432</v>
      </c>
      <c r="L9">
        <v>-1350.6269</v>
      </c>
      <c r="M9">
        <v>-0.32069999999999999</v>
      </c>
      <c r="N9">
        <f t="shared" si="3"/>
        <v>7</v>
      </c>
      <c r="O9" t="str">
        <f t="shared" si="4"/>
        <v/>
      </c>
      <c r="Q9">
        <f t="shared" si="5"/>
        <v>36499.5432</v>
      </c>
      <c r="R9">
        <f t="shared" si="6"/>
        <v>1.9269999975222163E-3</v>
      </c>
      <c r="S9">
        <f t="shared" si="7"/>
        <v>4.3350000000828004E-3</v>
      </c>
      <c r="T9">
        <f t="shared" si="8"/>
        <v>-2.9820000000000402E-3</v>
      </c>
      <c r="Y9" t="s">
        <v>133</v>
      </c>
      <c r="Z9">
        <v>36499.5576</v>
      </c>
      <c r="AA9">
        <v>-1350.5554999999999</v>
      </c>
      <c r="AB9">
        <v>-0.37169999999999997</v>
      </c>
    </row>
    <row r="10" spans="1:28" x14ac:dyDescent="0.2">
      <c r="A10" t="s">
        <v>134</v>
      </c>
      <c r="B10">
        <v>35999.534186999997</v>
      </c>
      <c r="C10">
        <v>-1350.598002</v>
      </c>
      <c r="D10">
        <v>-0.31204500000000002</v>
      </c>
      <c r="E10">
        <f t="shared" si="1"/>
        <v>8</v>
      </c>
      <c r="F10" t="str">
        <f t="shared" si="2"/>
        <v/>
      </c>
      <c r="J10" t="s">
        <v>134</v>
      </c>
      <c r="K10">
        <v>35999.530299999999</v>
      </c>
      <c r="L10">
        <v>-1350.6052</v>
      </c>
      <c r="M10">
        <v>-0.30930000000000002</v>
      </c>
      <c r="N10">
        <f t="shared" si="3"/>
        <v>8</v>
      </c>
      <c r="O10" t="str">
        <f t="shared" si="4"/>
        <v/>
      </c>
      <c r="Q10">
        <f t="shared" si="5"/>
        <v>35999.530299999999</v>
      </c>
      <c r="R10">
        <f t="shared" si="6"/>
        <v>3.8869999989401549E-3</v>
      </c>
      <c r="S10">
        <f t="shared" si="7"/>
        <v>7.198000000016691E-3</v>
      </c>
      <c r="T10">
        <f t="shared" si="8"/>
        <v>-2.7449999999999974E-3</v>
      </c>
      <c r="Y10" t="s">
        <v>134</v>
      </c>
      <c r="Z10">
        <v>35999.561699999998</v>
      </c>
      <c r="AA10">
        <v>-1350.479</v>
      </c>
      <c r="AB10">
        <v>-0.35930000000000001</v>
      </c>
    </row>
    <row r="11" spans="1:28" x14ac:dyDescent="0.2">
      <c r="A11" t="s">
        <v>135</v>
      </c>
      <c r="B11">
        <v>35499.533091999998</v>
      </c>
      <c r="C11">
        <v>-1350.598448</v>
      </c>
      <c r="D11">
        <v>-0.29883500000000002</v>
      </c>
      <c r="E11">
        <f t="shared" si="1"/>
        <v>9</v>
      </c>
      <c r="F11" t="str">
        <f t="shared" si="2"/>
        <v/>
      </c>
      <c r="J11" t="s">
        <v>135</v>
      </c>
      <c r="K11">
        <v>35499.5317</v>
      </c>
      <c r="L11">
        <v>-1350.5961</v>
      </c>
      <c r="M11">
        <v>-0.2964</v>
      </c>
      <c r="N11">
        <f t="shared" si="3"/>
        <v>9</v>
      </c>
      <c r="O11" t="str">
        <f t="shared" si="4"/>
        <v/>
      </c>
      <c r="Q11">
        <f t="shared" si="5"/>
        <v>35499.5317</v>
      </c>
      <c r="R11">
        <f t="shared" si="6"/>
        <v>1.3919999983045273E-3</v>
      </c>
      <c r="S11">
        <f t="shared" si="7"/>
        <v>-2.3479999999835854E-3</v>
      </c>
      <c r="T11">
        <f t="shared" si="8"/>
        <v>-2.4350000000000205E-3</v>
      </c>
      <c r="Y11" t="s">
        <v>135</v>
      </c>
      <c r="Z11">
        <v>35499.546199999997</v>
      </c>
      <c r="AA11">
        <v>-1350.6445000000001</v>
      </c>
      <c r="AB11">
        <v>-0.33900000000000002</v>
      </c>
    </row>
    <row r="12" spans="1:28" x14ac:dyDescent="0.2">
      <c r="A12" t="s">
        <v>136</v>
      </c>
      <c r="B12">
        <v>34999.535118</v>
      </c>
      <c r="C12">
        <v>-1350.573877</v>
      </c>
      <c r="D12">
        <v>-0.30215700000000001</v>
      </c>
      <c r="E12">
        <f t="shared" si="1"/>
        <v>10</v>
      </c>
      <c r="F12" t="str">
        <f t="shared" si="2"/>
        <v/>
      </c>
      <c r="J12" t="s">
        <v>136</v>
      </c>
      <c r="K12">
        <v>34999.532599999999</v>
      </c>
      <c r="L12">
        <v>-1350.5748000000001</v>
      </c>
      <c r="M12">
        <v>-0.3</v>
      </c>
      <c r="N12">
        <f t="shared" si="3"/>
        <v>10</v>
      </c>
      <c r="O12" t="str">
        <f t="shared" si="4"/>
        <v/>
      </c>
      <c r="Q12">
        <f t="shared" si="5"/>
        <v>34999.532599999999</v>
      </c>
      <c r="R12">
        <f t="shared" si="6"/>
        <v>2.5180000011459924E-3</v>
      </c>
      <c r="S12">
        <f t="shared" si="7"/>
        <v>9.2300000005707261E-4</v>
      </c>
      <c r="T12">
        <f t="shared" si="8"/>
        <v>-2.15700000000002E-3</v>
      </c>
      <c r="Y12" t="s">
        <v>136</v>
      </c>
      <c r="Z12">
        <v>34999.558199999999</v>
      </c>
      <c r="AA12">
        <v>-1350.5592999999999</v>
      </c>
      <c r="AB12">
        <v>-0.34250000000000003</v>
      </c>
    </row>
    <row r="13" spans="1:28" x14ac:dyDescent="0.2">
      <c r="A13" t="s">
        <v>137</v>
      </c>
      <c r="B13">
        <v>34499.506298</v>
      </c>
      <c r="C13">
        <v>-1350.553903</v>
      </c>
      <c r="D13">
        <v>-0.30245100000000003</v>
      </c>
      <c r="E13">
        <f t="shared" si="1"/>
        <v>11</v>
      </c>
      <c r="F13" t="str">
        <f t="shared" si="2"/>
        <v/>
      </c>
      <c r="J13" t="s">
        <v>137</v>
      </c>
      <c r="K13">
        <v>34499.504300000001</v>
      </c>
      <c r="L13">
        <v>-1350.5563</v>
      </c>
      <c r="M13">
        <v>-0.30230000000000001</v>
      </c>
      <c r="N13">
        <f t="shared" si="3"/>
        <v>11</v>
      </c>
      <c r="O13" t="str">
        <f t="shared" si="4"/>
        <v/>
      </c>
      <c r="Q13">
        <f t="shared" si="5"/>
        <v>34499.504300000001</v>
      </c>
      <c r="R13">
        <f t="shared" si="6"/>
        <v>1.9979999997303821E-3</v>
      </c>
      <c r="S13">
        <f t="shared" si="7"/>
        <v>2.3969999999735592E-3</v>
      </c>
      <c r="T13">
        <f t="shared" si="8"/>
        <v>-1.5100000000001224E-4</v>
      </c>
      <c r="Y13" t="s">
        <v>137</v>
      </c>
      <c r="Z13">
        <v>34499.525199999996</v>
      </c>
      <c r="AA13">
        <v>-1350.5029999999999</v>
      </c>
      <c r="AB13">
        <v>-0.30580000000000002</v>
      </c>
    </row>
    <row r="14" spans="1:28" x14ac:dyDescent="0.2">
      <c r="A14" t="s">
        <v>138</v>
      </c>
      <c r="B14">
        <v>33999.490484000002</v>
      </c>
      <c r="C14">
        <v>-1350.5349140000001</v>
      </c>
      <c r="D14">
        <v>-0.29629800000000001</v>
      </c>
      <c r="E14">
        <f t="shared" si="1"/>
        <v>12</v>
      </c>
      <c r="F14" t="str">
        <f t="shared" si="2"/>
        <v/>
      </c>
      <c r="J14" t="s">
        <v>138</v>
      </c>
      <c r="K14">
        <v>33999.489800000003</v>
      </c>
      <c r="L14">
        <v>-1350.5356999999999</v>
      </c>
      <c r="M14">
        <v>-0.29970000000000002</v>
      </c>
      <c r="N14">
        <f t="shared" si="3"/>
        <v>12</v>
      </c>
      <c r="O14" t="str">
        <f t="shared" si="4"/>
        <v/>
      </c>
      <c r="Q14">
        <f t="shared" si="5"/>
        <v>33999.489800000003</v>
      </c>
      <c r="R14">
        <f t="shared" si="6"/>
        <v>6.8399999872781336E-4</v>
      </c>
      <c r="S14">
        <f t="shared" si="7"/>
        <v>7.8599999983453017E-4</v>
      </c>
      <c r="T14">
        <f t="shared" si="8"/>
        <v>3.4020000000000161E-3</v>
      </c>
      <c r="Y14" t="s">
        <v>138</v>
      </c>
      <c r="Z14">
        <v>33999.496200000001</v>
      </c>
      <c r="AA14">
        <v>-1350.5235</v>
      </c>
      <c r="AB14">
        <v>-0.2056</v>
      </c>
    </row>
    <row r="15" spans="1:28" x14ac:dyDescent="0.2">
      <c r="A15" t="s">
        <v>139</v>
      </c>
      <c r="B15">
        <v>33499.499664000003</v>
      </c>
      <c r="C15">
        <v>-1350.520518</v>
      </c>
      <c r="D15">
        <v>-0.27201599999999998</v>
      </c>
      <c r="E15">
        <f t="shared" si="1"/>
        <v>13</v>
      </c>
      <c r="F15" t="str">
        <f t="shared" si="2"/>
        <v/>
      </c>
      <c r="J15" t="s">
        <v>139</v>
      </c>
      <c r="K15">
        <v>33499.499499999998</v>
      </c>
      <c r="L15">
        <v>-1350.5192999999999</v>
      </c>
      <c r="M15">
        <v>-0.27050000000000002</v>
      </c>
      <c r="N15">
        <f t="shared" si="3"/>
        <v>13</v>
      </c>
      <c r="O15" t="str">
        <f t="shared" si="4"/>
        <v/>
      </c>
      <c r="Q15">
        <f t="shared" si="5"/>
        <v>33499.499499999998</v>
      </c>
      <c r="R15">
        <f t="shared" si="6"/>
        <v>1.6400000458816066E-4</v>
      </c>
      <c r="S15">
        <f t="shared" si="7"/>
        <v>-1.2180000001080771E-3</v>
      </c>
      <c r="T15">
        <f t="shared" si="8"/>
        <v>-1.5159999999999618E-3</v>
      </c>
      <c r="Y15" t="s">
        <v>139</v>
      </c>
      <c r="Z15">
        <v>33499.502200000003</v>
      </c>
      <c r="AA15">
        <v>-1350.5536</v>
      </c>
      <c r="AB15">
        <v>-0.31409999999999999</v>
      </c>
    </row>
    <row r="16" spans="1:28" x14ac:dyDescent="0.2">
      <c r="A16" t="s">
        <v>140</v>
      </c>
      <c r="B16">
        <v>32999.543518999999</v>
      </c>
      <c r="C16">
        <v>-1350.5143969999999</v>
      </c>
      <c r="D16">
        <v>-0.26233200000000001</v>
      </c>
      <c r="E16">
        <f t="shared" si="1"/>
        <v>14</v>
      </c>
      <c r="F16" t="str">
        <f t="shared" si="2"/>
        <v/>
      </c>
      <c r="J16" t="s">
        <v>140</v>
      </c>
      <c r="K16">
        <v>32999.5429</v>
      </c>
      <c r="L16">
        <v>-1350.5165</v>
      </c>
      <c r="M16">
        <v>-0.26079999999999998</v>
      </c>
      <c r="N16">
        <f t="shared" si="3"/>
        <v>14</v>
      </c>
      <c r="O16" t="str">
        <f t="shared" si="4"/>
        <v/>
      </c>
      <c r="Q16">
        <f t="shared" si="5"/>
        <v>32999.5429</v>
      </c>
      <c r="R16">
        <f t="shared" si="6"/>
        <v>6.1899999855086207E-4</v>
      </c>
      <c r="S16">
        <f t="shared" si="7"/>
        <v>2.1030000000337168E-3</v>
      </c>
      <c r="T16">
        <f t="shared" si="8"/>
        <v>-1.5320000000000333E-3</v>
      </c>
      <c r="Y16" t="s">
        <v>140</v>
      </c>
      <c r="Z16">
        <v>32999.553</v>
      </c>
      <c r="AA16">
        <v>-1350.4404</v>
      </c>
      <c r="AB16">
        <v>-0.31780000000000003</v>
      </c>
    </row>
    <row r="17" spans="1:28" x14ac:dyDescent="0.2">
      <c r="A17" t="s">
        <v>141</v>
      </c>
      <c r="B17">
        <v>32499.507876</v>
      </c>
      <c r="C17">
        <v>-1350.480417</v>
      </c>
      <c r="D17">
        <v>-0.247923</v>
      </c>
      <c r="E17">
        <f t="shared" si="1"/>
        <v>15</v>
      </c>
      <c r="F17" t="str">
        <f t="shared" si="2"/>
        <v/>
      </c>
      <c r="J17" t="s">
        <v>141</v>
      </c>
      <c r="K17">
        <v>32499.5075</v>
      </c>
      <c r="L17">
        <v>-1350.4794999999999</v>
      </c>
      <c r="M17">
        <v>-0.24560000000000001</v>
      </c>
      <c r="N17">
        <f t="shared" si="3"/>
        <v>15</v>
      </c>
      <c r="O17" t="str">
        <f t="shared" si="4"/>
        <v/>
      </c>
      <c r="Q17">
        <f t="shared" si="5"/>
        <v>32499.5075</v>
      </c>
      <c r="R17">
        <f t="shared" si="6"/>
        <v>3.7599999996018596E-4</v>
      </c>
      <c r="S17">
        <f t="shared" si="7"/>
        <v>-9.1700000007222116E-4</v>
      </c>
      <c r="T17">
        <f t="shared" si="8"/>
        <v>-2.3229999999999917E-3</v>
      </c>
      <c r="Y17" t="s">
        <v>141</v>
      </c>
      <c r="Z17">
        <v>32499.515500000001</v>
      </c>
      <c r="AA17">
        <v>-1350.5088000000001</v>
      </c>
      <c r="AB17">
        <v>-0.3306</v>
      </c>
    </row>
    <row r="18" spans="1:28" x14ac:dyDescent="0.2">
      <c r="A18" t="s">
        <v>142</v>
      </c>
      <c r="B18">
        <v>31999.487188999999</v>
      </c>
      <c r="C18">
        <v>-1350.4599450000001</v>
      </c>
      <c r="D18">
        <v>-0.244392</v>
      </c>
      <c r="E18">
        <f t="shared" si="1"/>
        <v>16</v>
      </c>
      <c r="F18" t="str">
        <f t="shared" si="2"/>
        <v/>
      </c>
      <c r="J18" t="s">
        <v>142</v>
      </c>
      <c r="K18">
        <v>31999.487499999999</v>
      </c>
      <c r="L18">
        <v>-1350.4617000000001</v>
      </c>
      <c r="M18">
        <v>-0.2442</v>
      </c>
      <c r="N18">
        <f t="shared" si="3"/>
        <v>16</v>
      </c>
      <c r="O18" t="str">
        <f t="shared" si="4"/>
        <v/>
      </c>
      <c r="Q18">
        <f t="shared" si="5"/>
        <v>31999.487499999999</v>
      </c>
      <c r="R18">
        <f t="shared" si="6"/>
        <v>-3.1099999978323467E-4</v>
      </c>
      <c r="S18">
        <f t="shared" si="7"/>
        <v>1.7550000000028376E-3</v>
      </c>
      <c r="T18">
        <f t="shared" si="8"/>
        <v>-1.9199999999999773E-4</v>
      </c>
      <c r="Y18" t="s">
        <v>142</v>
      </c>
      <c r="Z18">
        <v>31999.4856</v>
      </c>
      <c r="AA18">
        <v>-1350.3882000000001</v>
      </c>
      <c r="AB18">
        <v>-0.25419999999999998</v>
      </c>
    </row>
    <row r="19" spans="1:28" x14ac:dyDescent="0.2">
      <c r="A19" t="s">
        <v>143</v>
      </c>
      <c r="B19">
        <v>31499.450855999999</v>
      </c>
      <c r="C19">
        <v>-1350.449752</v>
      </c>
      <c r="D19">
        <v>-0.219528</v>
      </c>
      <c r="E19">
        <f t="shared" si="1"/>
        <v>17</v>
      </c>
      <c r="F19" t="str">
        <f t="shared" si="2"/>
        <v/>
      </c>
      <c r="J19" t="s">
        <v>143</v>
      </c>
      <c r="K19">
        <v>31499.451499999999</v>
      </c>
      <c r="L19">
        <v>-1350.4485999999999</v>
      </c>
      <c r="M19">
        <v>-0.21740000000000001</v>
      </c>
      <c r="N19">
        <f t="shared" si="3"/>
        <v>17</v>
      </c>
      <c r="O19" t="str">
        <f t="shared" si="4"/>
        <v/>
      </c>
      <c r="Q19">
        <f t="shared" si="5"/>
        <v>31499.451499999999</v>
      </c>
      <c r="R19">
        <f t="shared" si="6"/>
        <v>-6.4399999973829836E-4</v>
      </c>
      <c r="S19">
        <f t="shared" si="7"/>
        <v>-1.1520000000473374E-3</v>
      </c>
      <c r="T19">
        <f t="shared" si="8"/>
        <v>-2.127999999999991E-3</v>
      </c>
      <c r="Y19" t="s">
        <v>143</v>
      </c>
      <c r="Z19">
        <v>31499.444899999999</v>
      </c>
      <c r="AA19">
        <v>-1350.4962</v>
      </c>
      <c r="AB19">
        <v>-0.30819999999999997</v>
      </c>
    </row>
    <row r="20" spans="1:28" x14ac:dyDescent="0.2">
      <c r="A20" t="s">
        <v>144</v>
      </c>
      <c r="B20">
        <v>30999.447529000001</v>
      </c>
      <c r="C20">
        <v>-1350.416757</v>
      </c>
      <c r="D20">
        <v>-0.21334900000000001</v>
      </c>
      <c r="E20">
        <f t="shared" si="1"/>
        <v>18</v>
      </c>
      <c r="F20" t="str">
        <f t="shared" si="2"/>
        <v/>
      </c>
      <c r="J20" t="s">
        <v>144</v>
      </c>
      <c r="K20">
        <v>30999.447899999999</v>
      </c>
      <c r="L20">
        <v>-1350.4160999999999</v>
      </c>
      <c r="M20">
        <v>-0.21240000000000001</v>
      </c>
      <c r="N20">
        <f t="shared" si="3"/>
        <v>18</v>
      </c>
      <c r="O20" t="str">
        <f t="shared" si="4"/>
        <v/>
      </c>
      <c r="Q20">
        <f t="shared" si="5"/>
        <v>30999.447899999999</v>
      </c>
      <c r="R20">
        <f t="shared" si="6"/>
        <v>-3.7099999826750718E-4</v>
      </c>
      <c r="S20">
        <f t="shared" si="7"/>
        <v>-6.5700000004653702E-4</v>
      </c>
      <c r="T20">
        <f t="shared" si="8"/>
        <v>-9.4900000000000539E-4</v>
      </c>
      <c r="Y20" t="s">
        <v>144</v>
      </c>
      <c r="Z20">
        <v>30999.442999999999</v>
      </c>
      <c r="AA20">
        <v>-1350.4475</v>
      </c>
      <c r="AB20">
        <v>-0.25290000000000001</v>
      </c>
    </row>
    <row r="21" spans="1:28" x14ac:dyDescent="0.2">
      <c r="A21" t="s">
        <v>145</v>
      </c>
      <c r="B21">
        <v>30499.446607999998</v>
      </c>
      <c r="C21">
        <v>-1350.3904130000001</v>
      </c>
      <c r="D21">
        <v>-0.21424499999999999</v>
      </c>
      <c r="E21">
        <f t="shared" si="1"/>
        <v>19</v>
      </c>
      <c r="F21" t="str">
        <f t="shared" si="2"/>
        <v/>
      </c>
      <c r="J21" t="s">
        <v>145</v>
      </c>
      <c r="K21">
        <v>30499.446599999999</v>
      </c>
      <c r="L21">
        <v>-1350.3907999999999</v>
      </c>
      <c r="M21">
        <v>-0.21290000000000001</v>
      </c>
      <c r="N21">
        <f t="shared" si="3"/>
        <v>19</v>
      </c>
      <c r="O21" t="str">
        <f t="shared" si="4"/>
        <v/>
      </c>
      <c r="Q21">
        <f t="shared" si="5"/>
        <v>30499.446599999999</v>
      </c>
      <c r="R21">
        <f t="shared" si="6"/>
        <v>7.9999990703072399E-6</v>
      </c>
      <c r="S21">
        <f t="shared" si="7"/>
        <v>3.8699999981872679E-4</v>
      </c>
      <c r="T21">
        <f t="shared" si="8"/>
        <v>-1.3449999999999851E-3</v>
      </c>
      <c r="Y21" t="s">
        <v>145</v>
      </c>
      <c r="Z21">
        <v>30499.451300000001</v>
      </c>
      <c r="AA21">
        <v>-1350.3710000000001</v>
      </c>
      <c r="AB21">
        <v>-0.27600000000000002</v>
      </c>
    </row>
    <row r="22" spans="1:28" x14ac:dyDescent="0.2">
      <c r="A22" t="s">
        <v>146</v>
      </c>
      <c r="B22">
        <v>29999.433847</v>
      </c>
      <c r="C22">
        <v>-1350.3801329999999</v>
      </c>
      <c r="D22">
        <v>-0.21858</v>
      </c>
      <c r="E22">
        <f t="shared" si="1"/>
        <v>20</v>
      </c>
      <c r="F22" t="str">
        <f t="shared" si="2"/>
        <v/>
      </c>
      <c r="J22" t="s">
        <v>146</v>
      </c>
      <c r="K22">
        <v>29999.434600000001</v>
      </c>
      <c r="L22">
        <v>-1350.3805</v>
      </c>
      <c r="M22">
        <v>-0.217</v>
      </c>
      <c r="N22">
        <f t="shared" si="3"/>
        <v>20</v>
      </c>
      <c r="O22" t="str">
        <f t="shared" si="4"/>
        <v/>
      </c>
      <c r="Q22">
        <f t="shared" si="5"/>
        <v>29999.434600000001</v>
      </c>
      <c r="R22">
        <f t="shared" si="6"/>
        <v>-7.5300000025890768E-4</v>
      </c>
      <c r="S22">
        <f t="shared" si="7"/>
        <v>3.6700000009659561E-4</v>
      </c>
      <c r="T22">
        <f t="shared" si="8"/>
        <v>-1.5799999999999981E-3</v>
      </c>
      <c r="Y22" t="s">
        <v>146</v>
      </c>
      <c r="Z22">
        <v>29999.426899999999</v>
      </c>
      <c r="AA22">
        <v>-1350.3676</v>
      </c>
      <c r="AB22">
        <v>-0.28760000000000002</v>
      </c>
    </row>
    <row r="23" spans="1:28" x14ac:dyDescent="0.2">
      <c r="A23" t="s">
        <v>147</v>
      </c>
      <c r="B23">
        <v>29499.428047000001</v>
      </c>
      <c r="C23">
        <v>-1350.3693109999999</v>
      </c>
      <c r="D23">
        <v>-0.208953</v>
      </c>
      <c r="E23">
        <f t="shared" si="1"/>
        <v>21</v>
      </c>
      <c r="F23" t="str">
        <f t="shared" si="2"/>
        <v/>
      </c>
      <c r="J23" t="s">
        <v>147</v>
      </c>
      <c r="K23">
        <v>29499.4293</v>
      </c>
      <c r="L23">
        <v>-1350.3692000000001</v>
      </c>
      <c r="M23">
        <v>-0.2074</v>
      </c>
      <c r="N23">
        <f t="shared" si="3"/>
        <v>21</v>
      </c>
      <c r="O23" t="str">
        <f t="shared" si="4"/>
        <v/>
      </c>
      <c r="Q23">
        <f t="shared" si="5"/>
        <v>29499.4293</v>
      </c>
      <c r="R23">
        <f t="shared" si="6"/>
        <v>-1.2529999985417817E-3</v>
      </c>
      <c r="S23">
        <f t="shared" si="7"/>
        <v>-1.1099999983343878E-4</v>
      </c>
      <c r="T23">
        <f t="shared" si="8"/>
        <v>-1.5529999999999988E-3</v>
      </c>
      <c r="Y23" t="s">
        <v>147</v>
      </c>
      <c r="Z23">
        <v>29499.414100000002</v>
      </c>
      <c r="AA23">
        <v>-1350.3769</v>
      </c>
      <c r="AB23">
        <v>-0.26929999999999998</v>
      </c>
    </row>
    <row r="24" spans="1:28" x14ac:dyDescent="0.2">
      <c r="A24" t="s">
        <v>148</v>
      </c>
      <c r="B24">
        <v>28999.500371999999</v>
      </c>
      <c r="C24">
        <v>-1350.3652480000001</v>
      </c>
      <c r="D24">
        <v>-0.17549500000000001</v>
      </c>
      <c r="E24">
        <f t="shared" si="1"/>
        <v>22</v>
      </c>
      <c r="F24" t="str">
        <f t="shared" si="2"/>
        <v/>
      </c>
      <c r="J24" t="s">
        <v>148</v>
      </c>
      <c r="K24">
        <v>28999.503199999999</v>
      </c>
      <c r="L24">
        <v>-1350.364</v>
      </c>
      <c r="M24">
        <v>-0.17560000000000001</v>
      </c>
      <c r="N24">
        <f t="shared" si="3"/>
        <v>22</v>
      </c>
      <c r="O24" t="str">
        <f t="shared" si="4"/>
        <v/>
      </c>
      <c r="Q24">
        <f t="shared" si="5"/>
        <v>28999.503199999999</v>
      </c>
      <c r="R24">
        <f t="shared" si="6"/>
        <v>-2.8280000005906913E-3</v>
      </c>
      <c r="S24">
        <f t="shared" si="7"/>
        <v>-1.2480000000323344E-3</v>
      </c>
      <c r="T24">
        <f t="shared" si="8"/>
        <v>1.0499999999999399E-4</v>
      </c>
      <c r="Y24" t="s">
        <v>148</v>
      </c>
      <c r="Z24">
        <v>28999.492600000001</v>
      </c>
      <c r="AA24">
        <v>-1350.3558</v>
      </c>
      <c r="AB24">
        <v>-0.21679999999999999</v>
      </c>
    </row>
    <row r="25" spans="1:28" x14ac:dyDescent="0.2">
      <c r="A25" t="s">
        <v>149</v>
      </c>
      <c r="B25">
        <v>28499.487100999999</v>
      </c>
      <c r="C25">
        <v>-1350.363392</v>
      </c>
      <c r="D25">
        <v>-0.13469200000000001</v>
      </c>
      <c r="E25">
        <f t="shared" si="1"/>
        <v>23</v>
      </c>
      <c r="F25" t="str">
        <f t="shared" si="2"/>
        <v/>
      </c>
      <c r="J25" t="s">
        <v>149</v>
      </c>
      <c r="K25">
        <v>28499.488600000001</v>
      </c>
      <c r="L25">
        <v>-1350.3634999999999</v>
      </c>
      <c r="M25">
        <v>-0.1333</v>
      </c>
      <c r="N25">
        <f t="shared" si="3"/>
        <v>23</v>
      </c>
      <c r="O25" t="str">
        <f t="shared" si="4"/>
        <v/>
      </c>
      <c r="Q25">
        <f t="shared" si="5"/>
        <v>28499.488600000001</v>
      </c>
      <c r="R25">
        <f t="shared" si="6"/>
        <v>-1.4990000017860439E-3</v>
      </c>
      <c r="S25">
        <f t="shared" si="7"/>
        <v>1.0799999995469989E-4</v>
      </c>
      <c r="T25">
        <f t="shared" si="8"/>
        <v>-1.3920000000000043E-3</v>
      </c>
      <c r="Y25" t="s">
        <v>149</v>
      </c>
      <c r="Z25">
        <v>28499.4738</v>
      </c>
      <c r="AA25">
        <v>-1350.3606</v>
      </c>
      <c r="AB25">
        <v>-0.1741</v>
      </c>
    </row>
    <row r="26" spans="1:28" x14ac:dyDescent="0.2">
      <c r="A26" t="s">
        <v>150</v>
      </c>
      <c r="B26">
        <v>27999.488508999999</v>
      </c>
      <c r="C26">
        <v>-1350.3566989999999</v>
      </c>
      <c r="D26">
        <v>-0.12822700000000001</v>
      </c>
      <c r="E26">
        <f t="shared" si="1"/>
        <v>24</v>
      </c>
      <c r="F26" t="str">
        <f t="shared" si="2"/>
        <v/>
      </c>
      <c r="J26" t="s">
        <v>150</v>
      </c>
      <c r="K26">
        <v>27999.492300000002</v>
      </c>
      <c r="L26">
        <v>-1350.3581999999999</v>
      </c>
      <c r="M26">
        <v>-0.1268</v>
      </c>
      <c r="N26">
        <f t="shared" si="3"/>
        <v>24</v>
      </c>
      <c r="O26" t="str">
        <f t="shared" si="4"/>
        <v/>
      </c>
      <c r="Q26">
        <f t="shared" si="5"/>
        <v>27999.492300000002</v>
      </c>
      <c r="R26">
        <f t="shared" si="6"/>
        <v>-3.7910000028205104E-3</v>
      </c>
      <c r="S26">
        <f t="shared" si="7"/>
        <v>1.5009999999620049E-3</v>
      </c>
      <c r="T26">
        <f t="shared" si="8"/>
        <v>-1.4270000000000116E-3</v>
      </c>
      <c r="Y26" t="s">
        <v>150</v>
      </c>
      <c r="Z26">
        <v>27999.456699999999</v>
      </c>
      <c r="AA26">
        <v>-1350.3225</v>
      </c>
      <c r="AB26">
        <v>-0.15790000000000001</v>
      </c>
    </row>
    <row r="27" spans="1:28" x14ac:dyDescent="0.2">
      <c r="A27" t="s">
        <v>151</v>
      </c>
      <c r="B27">
        <v>27499.465816</v>
      </c>
      <c r="C27">
        <v>-1350.3546710000001</v>
      </c>
      <c r="D27">
        <v>-0.13856199999999999</v>
      </c>
      <c r="E27">
        <f t="shared" si="1"/>
        <v>25</v>
      </c>
      <c r="F27" t="str">
        <f t="shared" si="2"/>
        <v/>
      </c>
      <c r="J27" t="s">
        <v>151</v>
      </c>
      <c r="K27">
        <v>27499.4702</v>
      </c>
      <c r="L27">
        <v>-1350.3552</v>
      </c>
      <c r="M27">
        <v>-0.13639999999999999</v>
      </c>
      <c r="N27">
        <f t="shared" si="3"/>
        <v>25</v>
      </c>
      <c r="O27" t="str">
        <f t="shared" si="4"/>
        <v/>
      </c>
      <c r="Q27">
        <f t="shared" si="5"/>
        <v>27499.4702</v>
      </c>
      <c r="R27">
        <f t="shared" si="6"/>
        <v>-4.3839999998454005E-3</v>
      </c>
      <c r="S27">
        <f t="shared" si="7"/>
        <v>5.2899999991495861E-4</v>
      </c>
      <c r="T27">
        <f t="shared" si="8"/>
        <v>-2.1619999999999973E-3</v>
      </c>
      <c r="Y27" t="s">
        <v>151</v>
      </c>
      <c r="Z27">
        <v>27499.4326</v>
      </c>
      <c r="AA27">
        <v>-1350.3524</v>
      </c>
      <c r="AB27">
        <v>-0.17349999999999999</v>
      </c>
    </row>
    <row r="28" spans="1:28" x14ac:dyDescent="0.2">
      <c r="A28" t="s">
        <v>152</v>
      </c>
      <c r="B28">
        <v>26999.466464000001</v>
      </c>
      <c r="C28">
        <v>-1350.356174</v>
      </c>
      <c r="D28">
        <v>-0.156776</v>
      </c>
      <c r="E28">
        <f t="shared" si="1"/>
        <v>26</v>
      </c>
      <c r="F28" t="str">
        <f t="shared" si="2"/>
        <v/>
      </c>
      <c r="J28" t="s">
        <v>152</v>
      </c>
      <c r="K28">
        <v>26999.472699999998</v>
      </c>
      <c r="L28">
        <v>-1350.3583000000001</v>
      </c>
      <c r="M28">
        <v>-0.15240000000000001</v>
      </c>
      <c r="N28">
        <f t="shared" si="3"/>
        <v>26</v>
      </c>
      <c r="O28" t="str">
        <f t="shared" si="4"/>
        <v/>
      </c>
      <c r="Q28">
        <f t="shared" si="5"/>
        <v>26999.472699999998</v>
      </c>
      <c r="R28">
        <f t="shared" si="6"/>
        <v>-6.2359999974432867E-3</v>
      </c>
      <c r="S28">
        <f t="shared" si="7"/>
        <v>2.1260000000893342E-3</v>
      </c>
      <c r="T28">
        <f t="shared" si="8"/>
        <v>-4.375999999999991E-3</v>
      </c>
      <c r="Y28" t="s">
        <v>152</v>
      </c>
      <c r="Z28">
        <v>26999.431799999998</v>
      </c>
      <c r="AA28">
        <v>-1350.3269</v>
      </c>
      <c r="AB28">
        <v>-0.22320000000000001</v>
      </c>
    </row>
    <row r="29" spans="1:28" x14ac:dyDescent="0.2">
      <c r="A29" t="s">
        <v>153</v>
      </c>
      <c r="B29">
        <v>26499.421347</v>
      </c>
      <c r="C29">
        <v>-1350.334206</v>
      </c>
      <c r="D29">
        <v>-0.14713899999999999</v>
      </c>
      <c r="E29">
        <f t="shared" si="1"/>
        <v>27</v>
      </c>
      <c r="F29" t="str">
        <f t="shared" si="2"/>
        <v/>
      </c>
      <c r="J29" t="s">
        <v>153</v>
      </c>
      <c r="K29">
        <v>26499.426299999999</v>
      </c>
      <c r="L29">
        <v>-1350.3402000000001</v>
      </c>
      <c r="M29">
        <v>-0.1479</v>
      </c>
      <c r="N29">
        <f t="shared" si="3"/>
        <v>27</v>
      </c>
      <c r="O29" t="str">
        <f t="shared" si="4"/>
        <v/>
      </c>
      <c r="Q29">
        <f t="shared" si="5"/>
        <v>26499.426299999999</v>
      </c>
      <c r="R29">
        <f t="shared" si="6"/>
        <v>-4.9529999996593688E-3</v>
      </c>
      <c r="S29">
        <f t="shared" si="7"/>
        <v>5.994000000100641E-3</v>
      </c>
      <c r="T29">
        <f t="shared" si="8"/>
        <v>7.6100000000001167E-4</v>
      </c>
      <c r="Y29" t="s">
        <v>153</v>
      </c>
      <c r="Z29">
        <v>26499.396199999999</v>
      </c>
      <c r="AA29">
        <v>-1350.2554</v>
      </c>
      <c r="AB29">
        <v>-0.1273</v>
      </c>
    </row>
    <row r="30" spans="1:28" x14ac:dyDescent="0.2">
      <c r="A30" t="s">
        <v>154</v>
      </c>
      <c r="B30">
        <v>25999.431273999999</v>
      </c>
      <c r="C30">
        <v>-1350.3235340000001</v>
      </c>
      <c r="D30">
        <v>-0.126833</v>
      </c>
      <c r="E30">
        <f t="shared" si="1"/>
        <v>28</v>
      </c>
      <c r="F30" t="str">
        <f t="shared" si="2"/>
        <v/>
      </c>
      <c r="J30" t="s">
        <v>154</v>
      </c>
      <c r="K30">
        <v>25999.439600000002</v>
      </c>
      <c r="L30">
        <v>-1350.3275000000001</v>
      </c>
      <c r="M30">
        <v>-0.1211</v>
      </c>
      <c r="N30">
        <f t="shared" si="3"/>
        <v>28</v>
      </c>
      <c r="O30" t="str">
        <f t="shared" si="4"/>
        <v/>
      </c>
      <c r="Q30">
        <f t="shared" si="5"/>
        <v>25999.439600000002</v>
      </c>
      <c r="R30">
        <f t="shared" si="6"/>
        <v>-8.3260000028531067E-3</v>
      </c>
      <c r="S30">
        <f t="shared" si="7"/>
        <v>3.9659999999912543E-3</v>
      </c>
      <c r="T30">
        <f t="shared" si="8"/>
        <v>-5.733000000000002E-3</v>
      </c>
      <c r="Y30" t="s">
        <v>154</v>
      </c>
      <c r="Z30">
        <v>25999.397799999999</v>
      </c>
      <c r="AA30">
        <v>-1350.289</v>
      </c>
      <c r="AB30">
        <v>-0.1792</v>
      </c>
    </row>
    <row r="31" spans="1:28" x14ac:dyDescent="0.2">
      <c r="A31" t="s">
        <v>155</v>
      </c>
      <c r="B31">
        <v>25499.399969999999</v>
      </c>
      <c r="C31">
        <v>-1350.2995719999999</v>
      </c>
      <c r="D31">
        <v>-0.117247</v>
      </c>
      <c r="E31">
        <f t="shared" si="1"/>
        <v>29</v>
      </c>
      <c r="F31" t="str">
        <f t="shared" si="2"/>
        <v/>
      </c>
      <c r="J31" t="s">
        <v>155</v>
      </c>
      <c r="K31">
        <v>25499.407999999999</v>
      </c>
      <c r="L31">
        <v>-1350.3035</v>
      </c>
      <c r="M31">
        <v>-0.1082</v>
      </c>
      <c r="N31">
        <f t="shared" si="3"/>
        <v>29</v>
      </c>
      <c r="O31" t="str">
        <f t="shared" si="4"/>
        <v/>
      </c>
      <c r="Q31">
        <f t="shared" si="5"/>
        <v>25499.407999999999</v>
      </c>
      <c r="R31">
        <f t="shared" si="6"/>
        <v>-8.0300000008719508E-3</v>
      </c>
      <c r="S31">
        <f t="shared" si="7"/>
        <v>3.9280000000871951E-3</v>
      </c>
      <c r="T31">
        <f t="shared" si="8"/>
        <v>-9.0469999999999995E-3</v>
      </c>
      <c r="Y31" t="s">
        <v>155</v>
      </c>
      <c r="Z31">
        <v>25499.377199999999</v>
      </c>
      <c r="AA31">
        <v>-1350.2704000000001</v>
      </c>
      <c r="AB31">
        <v>-0.1933</v>
      </c>
    </row>
    <row r="32" spans="1:28" x14ac:dyDescent="0.2">
      <c r="A32" t="s">
        <v>156</v>
      </c>
      <c r="B32">
        <v>24999.399697000001</v>
      </c>
      <c r="C32">
        <v>-1350.2727629999999</v>
      </c>
      <c r="D32">
        <v>-0.10939</v>
      </c>
      <c r="E32">
        <f t="shared" si="1"/>
        <v>30</v>
      </c>
      <c r="F32" t="str">
        <f t="shared" si="2"/>
        <v/>
      </c>
      <c r="J32" t="s">
        <v>156</v>
      </c>
      <c r="K32">
        <v>24999.4107</v>
      </c>
      <c r="L32">
        <v>-1350.2787000000001</v>
      </c>
      <c r="M32">
        <v>-0.10059999999999999</v>
      </c>
      <c r="N32">
        <f t="shared" si="3"/>
        <v>30</v>
      </c>
      <c r="O32" t="str">
        <f t="shared" si="4"/>
        <v/>
      </c>
      <c r="Q32">
        <f t="shared" si="5"/>
        <v>24999.4107</v>
      </c>
      <c r="R32">
        <f t="shared" si="6"/>
        <v>-1.1002999999618623E-2</v>
      </c>
      <c r="S32">
        <f t="shared" si="7"/>
        <v>5.9370000001308654E-3</v>
      </c>
      <c r="T32">
        <f t="shared" si="8"/>
        <v>-8.7900000000000061E-3</v>
      </c>
      <c r="Y32" t="s">
        <v>156</v>
      </c>
      <c r="Z32">
        <v>24999.367900000001</v>
      </c>
      <c r="AA32">
        <v>-1350.2396000000001</v>
      </c>
      <c r="AB32">
        <v>-0.16200000000000001</v>
      </c>
    </row>
    <row r="33" spans="1:28" x14ac:dyDescent="0.2">
      <c r="A33" t="s">
        <v>157</v>
      </c>
      <c r="B33">
        <v>24499.361121999998</v>
      </c>
      <c r="C33">
        <v>-1350.242632</v>
      </c>
      <c r="D33">
        <v>-0.12098</v>
      </c>
      <c r="E33">
        <f t="shared" si="1"/>
        <v>31</v>
      </c>
      <c r="F33" t="str">
        <f t="shared" si="2"/>
        <v/>
      </c>
      <c r="J33" t="s">
        <v>157</v>
      </c>
      <c r="K33">
        <v>24499.372100000001</v>
      </c>
      <c r="L33">
        <v>-1350.2527</v>
      </c>
      <c r="M33">
        <v>-0.114</v>
      </c>
      <c r="N33">
        <f t="shared" si="3"/>
        <v>31</v>
      </c>
      <c r="O33" t="str">
        <f t="shared" si="4"/>
        <v/>
      </c>
      <c r="Q33">
        <f t="shared" si="5"/>
        <v>24499.372100000001</v>
      </c>
      <c r="R33">
        <f t="shared" si="6"/>
        <v>-1.0978000002069166E-2</v>
      </c>
      <c r="S33">
        <f t="shared" si="7"/>
        <v>1.0068000000046595E-2</v>
      </c>
      <c r="T33">
        <f t="shared" si="8"/>
        <v>-6.9800000000000001E-3</v>
      </c>
      <c r="Y33" t="s">
        <v>157</v>
      </c>
      <c r="Z33">
        <v>24499.335200000001</v>
      </c>
      <c r="AA33">
        <v>-1350.1895</v>
      </c>
      <c r="AB33">
        <v>-0.1525</v>
      </c>
    </row>
    <row r="34" spans="1:28" x14ac:dyDescent="0.2">
      <c r="A34" t="s">
        <v>158</v>
      </c>
      <c r="B34">
        <v>23999.313985000001</v>
      </c>
      <c r="C34">
        <v>-1350.2268650000001</v>
      </c>
      <c r="D34">
        <v>-0.100577</v>
      </c>
      <c r="E34">
        <f t="shared" si="1"/>
        <v>32</v>
      </c>
      <c r="F34" t="str">
        <f t="shared" si="2"/>
        <v/>
      </c>
      <c r="J34" t="s">
        <v>158</v>
      </c>
      <c r="K34">
        <v>23999.322199999999</v>
      </c>
      <c r="L34">
        <v>-1350.2348999999999</v>
      </c>
      <c r="M34">
        <v>-9.6799999999999997E-2</v>
      </c>
      <c r="N34">
        <f t="shared" si="3"/>
        <v>32</v>
      </c>
      <c r="O34" t="str">
        <f t="shared" si="4"/>
        <v/>
      </c>
      <c r="Q34">
        <f t="shared" si="5"/>
        <v>23999.322199999999</v>
      </c>
      <c r="R34">
        <f t="shared" si="6"/>
        <v>-8.2149999980174471E-3</v>
      </c>
      <c r="S34">
        <f t="shared" si="7"/>
        <v>8.0349999998361454E-3</v>
      </c>
      <c r="T34">
        <f t="shared" si="8"/>
        <v>-3.7770000000000026E-3</v>
      </c>
      <c r="Y34" t="s">
        <v>158</v>
      </c>
      <c r="Z34">
        <v>23999.2958</v>
      </c>
      <c r="AA34">
        <v>-1350.1926000000001</v>
      </c>
      <c r="AB34">
        <v>-0.1108</v>
      </c>
    </row>
    <row r="35" spans="1:28" x14ac:dyDescent="0.2">
      <c r="A35" t="s">
        <v>159</v>
      </c>
      <c r="B35">
        <v>23499.294720000002</v>
      </c>
      <c r="C35">
        <v>-1350.1948460000001</v>
      </c>
      <c r="D35">
        <v>-8.4062999999999999E-2</v>
      </c>
      <c r="E35">
        <f t="shared" si="1"/>
        <v>33</v>
      </c>
      <c r="F35" t="str">
        <f t="shared" si="2"/>
        <v/>
      </c>
      <c r="J35" t="s">
        <v>159</v>
      </c>
      <c r="K35">
        <v>23499.305100000001</v>
      </c>
      <c r="L35">
        <v>-1350.2034000000001</v>
      </c>
      <c r="M35">
        <v>-7.3200000000000001E-2</v>
      </c>
      <c r="N35">
        <f t="shared" si="3"/>
        <v>33</v>
      </c>
      <c r="O35" t="str">
        <f t="shared" si="4"/>
        <v/>
      </c>
      <c r="Q35">
        <f t="shared" si="5"/>
        <v>23499.305100000001</v>
      </c>
      <c r="R35">
        <f t="shared" si="6"/>
        <v>-1.0379999999713618E-2</v>
      </c>
      <c r="S35">
        <f t="shared" si="7"/>
        <v>8.5540000000037253E-3</v>
      </c>
      <c r="T35">
        <f t="shared" si="8"/>
        <v>-1.0862999999999998E-2</v>
      </c>
      <c r="Y35" t="s">
        <v>159</v>
      </c>
      <c r="Z35">
        <v>23499.277999999998</v>
      </c>
      <c r="AA35">
        <v>-1350.1652999999999</v>
      </c>
      <c r="AB35">
        <v>-0.12189999999999999</v>
      </c>
    </row>
    <row r="36" spans="1:28" x14ac:dyDescent="0.2">
      <c r="A36" t="s">
        <v>160</v>
      </c>
      <c r="B36">
        <v>22999.289680999998</v>
      </c>
      <c r="C36">
        <v>-1350.158987</v>
      </c>
      <c r="D36">
        <v>-8.0643999999999993E-2</v>
      </c>
      <c r="E36">
        <f t="shared" si="1"/>
        <v>34</v>
      </c>
      <c r="F36" t="str">
        <f t="shared" si="2"/>
        <v/>
      </c>
      <c r="J36" t="s">
        <v>160</v>
      </c>
      <c r="K36">
        <v>22999.301500000001</v>
      </c>
      <c r="L36">
        <v>-1350.1741999999999</v>
      </c>
      <c r="M36">
        <v>-7.0499999999999993E-2</v>
      </c>
      <c r="N36">
        <f t="shared" si="3"/>
        <v>34</v>
      </c>
      <c r="O36" t="str">
        <f t="shared" si="4"/>
        <v/>
      </c>
      <c r="Q36">
        <f t="shared" si="5"/>
        <v>22999.301500000001</v>
      </c>
      <c r="R36">
        <f t="shared" si="6"/>
        <v>-1.181900000301539E-2</v>
      </c>
      <c r="S36">
        <f t="shared" si="7"/>
        <v>1.5212999999903332E-2</v>
      </c>
      <c r="T36">
        <f t="shared" si="8"/>
        <v>-1.0144E-2</v>
      </c>
      <c r="Y36" t="s">
        <v>160</v>
      </c>
      <c r="Z36">
        <v>22999.2745</v>
      </c>
      <c r="AA36">
        <v>-1350.1112000000001</v>
      </c>
      <c r="AB36">
        <v>-0.10879999999999999</v>
      </c>
    </row>
    <row r="37" spans="1:28" x14ac:dyDescent="0.2">
      <c r="A37" t="s">
        <v>161</v>
      </c>
      <c r="B37">
        <v>22499.260463999999</v>
      </c>
      <c r="C37">
        <v>-1350.151691</v>
      </c>
      <c r="D37">
        <v>-7.7193999999999999E-2</v>
      </c>
      <c r="E37">
        <f t="shared" si="1"/>
        <v>35</v>
      </c>
      <c r="F37" t="str">
        <f t="shared" si="2"/>
        <v/>
      </c>
      <c r="J37" t="s">
        <v>161</v>
      </c>
      <c r="K37">
        <v>22499.273000000001</v>
      </c>
      <c r="L37">
        <v>-1350.1628000000001</v>
      </c>
      <c r="M37">
        <v>-6.4699999999999994E-2</v>
      </c>
      <c r="N37">
        <f t="shared" si="3"/>
        <v>35</v>
      </c>
      <c r="O37" t="str">
        <f t="shared" si="4"/>
        <v/>
      </c>
      <c r="Q37">
        <f t="shared" si="5"/>
        <v>22499.273000000001</v>
      </c>
      <c r="R37">
        <f t="shared" si="6"/>
        <v>-1.2536000002000947E-2</v>
      </c>
      <c r="S37">
        <f t="shared" si="7"/>
        <v>1.110900000003312E-2</v>
      </c>
      <c r="T37">
        <f t="shared" si="8"/>
        <v>-1.2494000000000005E-2</v>
      </c>
      <c r="Y37" t="s">
        <v>161</v>
      </c>
      <c r="Z37">
        <v>22499.244299999998</v>
      </c>
      <c r="AA37">
        <v>-1350.1261999999999</v>
      </c>
      <c r="AB37">
        <v>-0.1055</v>
      </c>
    </row>
    <row r="38" spans="1:28" x14ac:dyDescent="0.2">
      <c r="A38" t="s">
        <v>162</v>
      </c>
      <c r="B38">
        <v>21999.284909999998</v>
      </c>
      <c r="C38">
        <v>-1350.120322</v>
      </c>
      <c r="D38">
        <v>-7.3215000000000002E-2</v>
      </c>
      <c r="E38">
        <f t="shared" si="1"/>
        <v>36</v>
      </c>
      <c r="F38" t="str">
        <f t="shared" si="2"/>
        <v/>
      </c>
      <c r="J38" t="s">
        <v>162</v>
      </c>
      <c r="K38">
        <v>21999.297299999998</v>
      </c>
      <c r="L38">
        <v>-1350.1448</v>
      </c>
      <c r="M38">
        <v>-6.5100000000000005E-2</v>
      </c>
      <c r="N38">
        <f t="shared" si="3"/>
        <v>36</v>
      </c>
      <c r="O38" t="str">
        <f t="shared" si="4"/>
        <v/>
      </c>
      <c r="Q38">
        <f t="shared" si="5"/>
        <v>21999.297299999998</v>
      </c>
      <c r="R38">
        <f t="shared" si="6"/>
        <v>-1.2389999999868451E-2</v>
      </c>
      <c r="S38">
        <f t="shared" si="7"/>
        <v>2.4478000000044631E-2</v>
      </c>
      <c r="T38">
        <f t="shared" si="8"/>
        <v>-8.1149999999999972E-3</v>
      </c>
      <c r="Y38" t="s">
        <v>162</v>
      </c>
      <c r="Z38">
        <v>21999.274799999999</v>
      </c>
      <c r="AA38">
        <v>-1350.0636</v>
      </c>
      <c r="AB38">
        <v>-8.7599999999999997E-2</v>
      </c>
    </row>
    <row r="39" spans="1:28" x14ac:dyDescent="0.2">
      <c r="A39" t="s">
        <v>163</v>
      </c>
      <c r="B39">
        <v>21499.289873999998</v>
      </c>
      <c r="C39">
        <v>-1350.1235979999999</v>
      </c>
      <c r="D39">
        <v>-7.4019000000000001E-2</v>
      </c>
      <c r="E39">
        <f t="shared" si="1"/>
        <v>37</v>
      </c>
      <c r="F39" t="str">
        <f t="shared" si="2"/>
        <v/>
      </c>
      <c r="J39" t="s">
        <v>163</v>
      </c>
      <c r="K39">
        <v>21499.303100000001</v>
      </c>
      <c r="L39">
        <v>-1350.1428000000001</v>
      </c>
      <c r="M39">
        <v>-0.05</v>
      </c>
      <c r="N39">
        <f t="shared" si="3"/>
        <v>37</v>
      </c>
      <c r="O39" t="str">
        <f t="shared" si="4"/>
        <v/>
      </c>
      <c r="Q39">
        <f t="shared" si="5"/>
        <v>21499.303100000001</v>
      </c>
      <c r="R39">
        <f t="shared" si="6"/>
        <v>-1.3226000002759974E-2</v>
      </c>
      <c r="S39">
        <f t="shared" si="7"/>
        <v>1.9202000000177577E-2</v>
      </c>
      <c r="T39">
        <f t="shared" si="8"/>
        <v>-2.4018999999999999E-2</v>
      </c>
      <c r="Y39" t="s">
        <v>163</v>
      </c>
      <c r="Z39">
        <v>21499.284</v>
      </c>
      <c r="AA39">
        <v>-1350.0869</v>
      </c>
      <c r="AB39">
        <v>-0.1196</v>
      </c>
    </row>
    <row r="40" spans="1:28" x14ac:dyDescent="0.2">
      <c r="A40" t="s">
        <v>164</v>
      </c>
      <c r="B40">
        <v>20999.298056</v>
      </c>
      <c r="C40">
        <v>-1350.1095789999999</v>
      </c>
      <c r="D40">
        <v>-6.2629000000000004E-2</v>
      </c>
      <c r="E40">
        <f t="shared" si="1"/>
        <v>38</v>
      </c>
      <c r="F40" t="str">
        <f t="shared" si="2"/>
        <v/>
      </c>
      <c r="J40" t="s">
        <v>164</v>
      </c>
      <c r="K40">
        <v>20999.312900000001</v>
      </c>
      <c r="L40">
        <v>-1350.1373000000001</v>
      </c>
      <c r="M40">
        <v>-5.28E-2</v>
      </c>
      <c r="N40">
        <f t="shared" si="3"/>
        <v>38</v>
      </c>
      <c r="O40" t="str">
        <f t="shared" si="4"/>
        <v/>
      </c>
      <c r="Q40">
        <f t="shared" si="5"/>
        <v>20999.312900000001</v>
      </c>
      <c r="R40">
        <f t="shared" si="6"/>
        <v>-1.4844000001176028E-2</v>
      </c>
      <c r="S40">
        <f t="shared" si="7"/>
        <v>2.7721000000155982E-2</v>
      </c>
      <c r="T40">
        <f t="shared" si="8"/>
        <v>-9.8290000000000044E-3</v>
      </c>
      <c r="Y40" t="s">
        <v>164</v>
      </c>
      <c r="Z40">
        <v>20999.287400000001</v>
      </c>
      <c r="AA40">
        <v>-1350.066</v>
      </c>
      <c r="AB40">
        <v>-7.3499999999999996E-2</v>
      </c>
    </row>
    <row r="41" spans="1:28" x14ac:dyDescent="0.2">
      <c r="A41" t="s">
        <v>165</v>
      </c>
      <c r="B41">
        <v>20499.278256000001</v>
      </c>
      <c r="C41">
        <v>-1350.1120679999999</v>
      </c>
      <c r="D41">
        <v>-5.6998E-2</v>
      </c>
      <c r="E41">
        <f t="shared" si="1"/>
        <v>39</v>
      </c>
      <c r="F41" t="str">
        <f t="shared" si="2"/>
        <v/>
      </c>
      <c r="J41" t="s">
        <v>165</v>
      </c>
      <c r="K41">
        <v>20499.296399999999</v>
      </c>
      <c r="L41">
        <v>-1350.1419000000001</v>
      </c>
      <c r="M41">
        <v>-4.2700000000000002E-2</v>
      </c>
      <c r="N41">
        <f t="shared" si="3"/>
        <v>39</v>
      </c>
      <c r="O41" t="str">
        <f t="shared" si="4"/>
        <v/>
      </c>
      <c r="Q41">
        <f t="shared" si="5"/>
        <v>20499.296399999999</v>
      </c>
      <c r="R41">
        <f t="shared" si="6"/>
        <v>-1.8143999997846549E-2</v>
      </c>
      <c r="S41">
        <f t="shared" si="7"/>
        <v>2.9832000000169501E-2</v>
      </c>
      <c r="T41">
        <f t="shared" si="8"/>
        <v>-1.4297999999999998E-2</v>
      </c>
      <c r="Y41" t="s">
        <v>165</v>
      </c>
      <c r="Z41">
        <v>20499.265899999999</v>
      </c>
      <c r="AA41">
        <v>-1350.0740000000001</v>
      </c>
      <c r="AB41">
        <v>-7.0699999999999999E-2</v>
      </c>
    </row>
    <row r="42" spans="1:28" x14ac:dyDescent="0.2">
      <c r="A42" t="s">
        <v>166</v>
      </c>
      <c r="B42">
        <v>19999.288945</v>
      </c>
      <c r="C42">
        <v>-1350.1018409999999</v>
      </c>
      <c r="D42">
        <v>-7.2482000000000005E-2</v>
      </c>
      <c r="E42">
        <f t="shared" si="1"/>
        <v>40</v>
      </c>
      <c r="F42" t="str">
        <f t="shared" si="2"/>
        <v/>
      </c>
      <c r="J42" t="s">
        <v>166</v>
      </c>
      <c r="K42">
        <v>19999.302500000002</v>
      </c>
      <c r="L42">
        <v>-1350.1195</v>
      </c>
      <c r="M42">
        <v>-0.05</v>
      </c>
      <c r="N42">
        <f t="shared" si="3"/>
        <v>40</v>
      </c>
      <c r="O42" t="str">
        <f t="shared" si="4"/>
        <v/>
      </c>
      <c r="Q42">
        <f t="shared" si="5"/>
        <v>19999.302500000002</v>
      </c>
      <c r="R42">
        <f t="shared" si="6"/>
        <v>-1.3555000001360895E-2</v>
      </c>
      <c r="S42">
        <f t="shared" si="7"/>
        <v>1.7659000000094238E-2</v>
      </c>
      <c r="T42">
        <f t="shared" si="8"/>
        <v>-2.2482000000000002E-2</v>
      </c>
      <c r="Y42" t="s">
        <v>166</v>
      </c>
      <c r="Z42">
        <v>19999.2827</v>
      </c>
      <c r="AA42">
        <v>-1350.0835999999999</v>
      </c>
      <c r="AB42">
        <v>-9.5899999999999999E-2</v>
      </c>
    </row>
    <row r="43" spans="1:28" x14ac:dyDescent="0.2">
      <c r="A43" t="s">
        <v>167</v>
      </c>
      <c r="B43">
        <v>19499.281393000001</v>
      </c>
      <c r="C43">
        <v>-1350.1061569999999</v>
      </c>
      <c r="D43">
        <v>-6.9799E-2</v>
      </c>
      <c r="E43">
        <f t="shared" si="1"/>
        <v>41</v>
      </c>
      <c r="F43" t="str">
        <f t="shared" si="2"/>
        <v/>
      </c>
      <c r="J43" t="s">
        <v>167</v>
      </c>
      <c r="K43">
        <v>19499.2988</v>
      </c>
      <c r="L43">
        <v>-1350.1419000000001</v>
      </c>
      <c r="M43">
        <v>-5.0599999999999999E-2</v>
      </c>
      <c r="N43">
        <f t="shared" si="3"/>
        <v>41</v>
      </c>
      <c r="O43" t="str">
        <f t="shared" si="4"/>
        <v/>
      </c>
      <c r="Q43">
        <f t="shared" si="5"/>
        <v>19499.2988</v>
      </c>
      <c r="R43">
        <f t="shared" si="6"/>
        <v>-1.7406999999366235E-2</v>
      </c>
      <c r="S43">
        <f t="shared" si="7"/>
        <v>3.5743000000138636E-2</v>
      </c>
      <c r="T43">
        <f t="shared" si="8"/>
        <v>-1.9199000000000001E-2</v>
      </c>
      <c r="Y43" t="s">
        <v>167</v>
      </c>
      <c r="Z43">
        <v>19499.274700000002</v>
      </c>
      <c r="AA43">
        <v>-1350.0725</v>
      </c>
      <c r="AB43">
        <v>-8.5099999999999995E-2</v>
      </c>
    </row>
    <row r="44" spans="1:28" x14ac:dyDescent="0.2">
      <c r="A44" t="s">
        <v>168</v>
      </c>
      <c r="B44">
        <v>18999.243944999998</v>
      </c>
      <c r="C44">
        <v>-1350.102009</v>
      </c>
      <c r="D44">
        <v>-7.2555999999999995E-2</v>
      </c>
      <c r="E44">
        <f t="shared" si="1"/>
        <v>42</v>
      </c>
      <c r="F44" t="str">
        <f t="shared" si="2"/>
        <v/>
      </c>
      <c r="J44" t="s">
        <v>168</v>
      </c>
      <c r="K44">
        <v>18999.257600000001</v>
      </c>
      <c r="L44">
        <v>-1350.1289999999999</v>
      </c>
      <c r="M44">
        <v>-5.3999999999999999E-2</v>
      </c>
      <c r="N44">
        <f t="shared" si="3"/>
        <v>42</v>
      </c>
      <c r="O44" t="str">
        <f t="shared" si="4"/>
        <v/>
      </c>
      <c r="Q44">
        <f t="shared" si="5"/>
        <v>18999.257600000001</v>
      </c>
      <c r="R44">
        <f t="shared" si="6"/>
        <v>-1.3655000002472661E-2</v>
      </c>
      <c r="S44">
        <f t="shared" si="7"/>
        <v>2.6990999999952692E-2</v>
      </c>
      <c r="T44">
        <f t="shared" si="8"/>
        <v>-1.8555999999999996E-2</v>
      </c>
      <c r="Y44" t="s">
        <v>168</v>
      </c>
      <c r="Z44">
        <v>18999.239600000001</v>
      </c>
      <c r="AA44">
        <v>-1350.0808999999999</v>
      </c>
      <c r="AB44">
        <v>-8.5500000000000007E-2</v>
      </c>
    </row>
    <row r="45" spans="1:28" x14ac:dyDescent="0.2">
      <c r="A45" t="s">
        <v>169</v>
      </c>
      <c r="B45">
        <v>18499.233461</v>
      </c>
      <c r="C45">
        <v>-1350.0923780000001</v>
      </c>
      <c r="D45">
        <v>-6.1219000000000003E-2</v>
      </c>
      <c r="E45">
        <f t="shared" si="1"/>
        <v>43</v>
      </c>
      <c r="F45" t="str">
        <f t="shared" si="2"/>
        <v/>
      </c>
      <c r="J45" t="s">
        <v>169</v>
      </c>
      <c r="K45">
        <v>18499.244500000001</v>
      </c>
      <c r="L45">
        <v>-1350.1080999999999</v>
      </c>
      <c r="M45">
        <v>-4.9500000000000002E-2</v>
      </c>
      <c r="N45">
        <f t="shared" si="3"/>
        <v>43</v>
      </c>
      <c r="O45" t="str">
        <f t="shared" si="4"/>
        <v/>
      </c>
      <c r="Q45">
        <f t="shared" si="5"/>
        <v>18499.244500000001</v>
      </c>
      <c r="R45">
        <f t="shared" si="6"/>
        <v>-1.1039000000891974E-2</v>
      </c>
      <c r="S45">
        <f t="shared" si="7"/>
        <v>1.5721999999868785E-2</v>
      </c>
      <c r="T45">
        <f t="shared" si="8"/>
        <v>-1.1719E-2</v>
      </c>
      <c r="Y45" t="s">
        <v>169</v>
      </c>
      <c r="Z45">
        <v>18499.2287</v>
      </c>
      <c r="AA45">
        <v>-1350.0831000000001</v>
      </c>
      <c r="AB45">
        <v>-6.7000000000000004E-2</v>
      </c>
    </row>
    <row r="46" spans="1:28" x14ac:dyDescent="0.2">
      <c r="A46" t="s">
        <v>170</v>
      </c>
      <c r="B46">
        <v>17999.259056999999</v>
      </c>
      <c r="C46">
        <v>-1350.0762990000001</v>
      </c>
      <c r="D46">
        <v>-5.0174000000000003E-2</v>
      </c>
      <c r="E46">
        <f t="shared" si="1"/>
        <v>44</v>
      </c>
      <c r="F46" t="str">
        <f t="shared" si="2"/>
        <v/>
      </c>
      <c r="J46" t="s">
        <v>170</v>
      </c>
      <c r="K46">
        <v>17999.262699999999</v>
      </c>
      <c r="L46">
        <v>-1350.1007999999999</v>
      </c>
      <c r="M46">
        <v>-4.4699999999999997E-2</v>
      </c>
      <c r="N46">
        <f t="shared" si="3"/>
        <v>44</v>
      </c>
      <c r="O46" t="str">
        <f t="shared" si="4"/>
        <v/>
      </c>
      <c r="Q46">
        <f t="shared" si="5"/>
        <v>17999.262699999999</v>
      </c>
      <c r="R46">
        <f t="shared" si="6"/>
        <v>-3.643000000010943E-3</v>
      </c>
      <c r="S46">
        <f t="shared" si="7"/>
        <v>2.4500999999872874E-2</v>
      </c>
      <c r="T46">
        <f t="shared" si="8"/>
        <v>-5.4740000000000066E-3</v>
      </c>
      <c r="Y46" t="s">
        <v>170</v>
      </c>
      <c r="Z46">
        <v>17999.260600000001</v>
      </c>
      <c r="AA46">
        <v>-1350.0608999999999</v>
      </c>
      <c r="AB46">
        <v>-5.3499999999999999E-2</v>
      </c>
    </row>
    <row r="47" spans="1:28" x14ac:dyDescent="0.2">
      <c r="A47" t="s">
        <v>171</v>
      </c>
      <c r="B47">
        <v>17499.215108</v>
      </c>
      <c r="C47">
        <v>-1350.093462</v>
      </c>
      <c r="D47">
        <v>-5.1397999999999999E-2</v>
      </c>
      <c r="E47">
        <f t="shared" si="1"/>
        <v>45</v>
      </c>
      <c r="F47" t="str">
        <f t="shared" si="2"/>
        <v/>
      </c>
      <c r="J47" t="s">
        <v>171</v>
      </c>
      <c r="K47">
        <v>17499.221600000001</v>
      </c>
      <c r="L47">
        <v>-1350.0962999999999</v>
      </c>
      <c r="M47">
        <v>-3.7400000000000003E-2</v>
      </c>
      <c r="N47">
        <f t="shared" si="3"/>
        <v>45</v>
      </c>
      <c r="O47" t="str">
        <f t="shared" si="4"/>
        <v/>
      </c>
      <c r="Q47">
        <f t="shared" si="5"/>
        <v>17499.221600000001</v>
      </c>
      <c r="R47">
        <f t="shared" si="6"/>
        <v>-6.4920000004349276E-3</v>
      </c>
      <c r="S47">
        <f t="shared" si="7"/>
        <v>2.8379999998833227E-3</v>
      </c>
      <c r="T47">
        <f t="shared" si="8"/>
        <v>-1.3997999999999997E-2</v>
      </c>
      <c r="Y47" t="s">
        <v>171</v>
      </c>
      <c r="Z47">
        <v>17499.213</v>
      </c>
      <c r="AA47">
        <v>-1350.0931</v>
      </c>
      <c r="AB47">
        <v>-5.7299999999999997E-2</v>
      </c>
    </row>
    <row r="48" spans="1:28" x14ac:dyDescent="0.2">
      <c r="A48" t="s">
        <v>172</v>
      </c>
      <c r="B48">
        <v>16999.191976999999</v>
      </c>
      <c r="C48">
        <v>-1350.0878130000001</v>
      </c>
      <c r="D48">
        <v>-4.7451E-2</v>
      </c>
      <c r="E48">
        <f t="shared" si="1"/>
        <v>46</v>
      </c>
      <c r="F48" t="str">
        <f t="shared" si="2"/>
        <v/>
      </c>
      <c r="J48" t="s">
        <v>172</v>
      </c>
      <c r="K48">
        <v>16999.200400000002</v>
      </c>
      <c r="L48">
        <v>-1350.1196</v>
      </c>
      <c r="M48">
        <v>-3.9100000000000003E-2</v>
      </c>
      <c r="N48">
        <f t="shared" si="3"/>
        <v>46</v>
      </c>
      <c r="O48" t="str">
        <f t="shared" si="4"/>
        <v/>
      </c>
      <c r="Q48">
        <f t="shared" si="5"/>
        <v>16999.200400000002</v>
      </c>
      <c r="R48">
        <f t="shared" si="6"/>
        <v>-8.4230000029492658E-3</v>
      </c>
      <c r="S48">
        <f t="shared" si="7"/>
        <v>3.1786999999894761E-2</v>
      </c>
      <c r="T48">
        <f t="shared" si="8"/>
        <v>-8.3509999999999973E-3</v>
      </c>
      <c r="Y48" t="s">
        <v>172</v>
      </c>
      <c r="Z48">
        <v>16999.191299999999</v>
      </c>
      <c r="AA48">
        <v>-1350.0746999999999</v>
      </c>
      <c r="AB48">
        <v>-5.0099999999999999E-2</v>
      </c>
    </row>
    <row r="49" spans="1:28" x14ac:dyDescent="0.2">
      <c r="A49" t="s">
        <v>173</v>
      </c>
      <c r="B49">
        <v>16499.157945999999</v>
      </c>
      <c r="C49">
        <v>-1350.091152</v>
      </c>
      <c r="D49">
        <v>-5.9941000000000001E-2</v>
      </c>
      <c r="E49">
        <f t="shared" si="1"/>
        <v>47</v>
      </c>
      <c r="F49" t="str">
        <f t="shared" si="2"/>
        <v/>
      </c>
      <c r="J49" t="s">
        <v>173</v>
      </c>
      <c r="K49">
        <v>16499.165300000001</v>
      </c>
      <c r="L49">
        <v>-1350.1101000000001</v>
      </c>
      <c r="M49">
        <v>-5.62E-2</v>
      </c>
      <c r="N49">
        <f t="shared" si="3"/>
        <v>47</v>
      </c>
      <c r="O49" t="str">
        <f t="shared" si="4"/>
        <v/>
      </c>
      <c r="Q49">
        <f t="shared" si="5"/>
        <v>16499.165300000001</v>
      </c>
      <c r="R49">
        <f t="shared" si="6"/>
        <v>-7.3540000012144446E-3</v>
      </c>
      <c r="S49">
        <f t="shared" si="7"/>
        <v>1.8948000000136744E-2</v>
      </c>
      <c r="T49">
        <f t="shared" si="8"/>
        <v>-3.7410000000000013E-3</v>
      </c>
      <c r="Y49" t="s">
        <v>173</v>
      </c>
      <c r="Z49">
        <v>16499.156200000001</v>
      </c>
      <c r="AA49">
        <v>-1350.0851</v>
      </c>
      <c r="AB49">
        <v>-6.0299999999999999E-2</v>
      </c>
    </row>
    <row r="50" spans="1:28" x14ac:dyDescent="0.2">
      <c r="A50" t="s">
        <v>174</v>
      </c>
      <c r="B50">
        <v>15999.154955</v>
      </c>
      <c r="C50">
        <v>-1350.035314</v>
      </c>
      <c r="D50">
        <v>-7.8456999999999999E-2</v>
      </c>
      <c r="E50">
        <f t="shared" si="1"/>
        <v>48</v>
      </c>
      <c r="F50" t="str">
        <f t="shared" si="2"/>
        <v/>
      </c>
      <c r="J50" t="s">
        <v>174</v>
      </c>
      <c r="K50">
        <v>15999.1582</v>
      </c>
      <c r="L50">
        <v>-1350.0944</v>
      </c>
      <c r="M50">
        <v>-6.13E-2</v>
      </c>
      <c r="N50">
        <f t="shared" si="3"/>
        <v>48</v>
      </c>
      <c r="O50" t="str">
        <f t="shared" si="4"/>
        <v/>
      </c>
      <c r="Q50">
        <f t="shared" si="5"/>
        <v>15999.1582</v>
      </c>
      <c r="R50">
        <f t="shared" si="6"/>
        <v>-3.2449999998789281E-3</v>
      </c>
      <c r="S50">
        <f t="shared" si="7"/>
        <v>5.9085999999979322E-2</v>
      </c>
      <c r="T50">
        <f t="shared" si="8"/>
        <v>-1.7156999999999999E-2</v>
      </c>
      <c r="Y50" t="s">
        <v>174</v>
      </c>
      <c r="Z50">
        <v>15999.1592</v>
      </c>
      <c r="AA50">
        <v>-1350.0168000000001</v>
      </c>
      <c r="AB50">
        <v>-8.4099999999999994E-2</v>
      </c>
    </row>
    <row r="51" spans="1:28" x14ac:dyDescent="0.2">
      <c r="A51" t="s">
        <v>175</v>
      </c>
      <c r="B51">
        <v>15499.148558000001</v>
      </c>
      <c r="C51">
        <v>-1350.028067</v>
      </c>
      <c r="D51">
        <v>-6.4166000000000001E-2</v>
      </c>
      <c r="E51">
        <f t="shared" si="1"/>
        <v>49</v>
      </c>
      <c r="F51" t="str">
        <f t="shared" si="2"/>
        <v/>
      </c>
      <c r="J51" t="s">
        <v>175</v>
      </c>
      <c r="K51">
        <v>15499.155000000001</v>
      </c>
      <c r="L51">
        <v>-1350.0472</v>
      </c>
      <c r="M51">
        <v>-4.7500000000000001E-2</v>
      </c>
      <c r="N51">
        <f t="shared" si="3"/>
        <v>49</v>
      </c>
      <c r="O51" t="str">
        <f t="shared" si="4"/>
        <v/>
      </c>
      <c r="Q51">
        <f t="shared" si="5"/>
        <v>15499.155000000001</v>
      </c>
      <c r="R51">
        <f t="shared" si="6"/>
        <v>-6.4419999998790445E-3</v>
      </c>
      <c r="S51">
        <f t="shared" si="7"/>
        <v>1.9133000000010725E-2</v>
      </c>
      <c r="T51">
        <f t="shared" si="8"/>
        <v>-1.6666E-2</v>
      </c>
      <c r="Y51" t="s">
        <v>175</v>
      </c>
      <c r="Z51">
        <v>15499.1484</v>
      </c>
      <c r="AA51">
        <v>-1350.0237</v>
      </c>
      <c r="AB51">
        <v>-6.7799999999999999E-2</v>
      </c>
    </row>
    <row r="52" spans="1:28" x14ac:dyDescent="0.2">
      <c r="A52" t="s">
        <v>176</v>
      </c>
      <c r="B52">
        <v>14999.137331</v>
      </c>
      <c r="C52">
        <v>-1349.9850530000001</v>
      </c>
      <c r="D52">
        <v>-3.2712999999999999E-2</v>
      </c>
      <c r="E52">
        <f t="shared" si="1"/>
        <v>50</v>
      </c>
      <c r="F52" t="str">
        <f t="shared" si="2"/>
        <v/>
      </c>
      <c r="J52" t="s">
        <v>176</v>
      </c>
      <c r="K52">
        <v>14999.158100000001</v>
      </c>
      <c r="L52">
        <v>-1350.0237999999999</v>
      </c>
      <c r="M52">
        <v>-2.9899999999999999E-2</v>
      </c>
      <c r="N52">
        <f t="shared" si="3"/>
        <v>50</v>
      </c>
      <c r="O52" t="str">
        <f t="shared" si="4"/>
        <v/>
      </c>
      <c r="Q52">
        <f t="shared" si="5"/>
        <v>14999.158100000001</v>
      </c>
      <c r="R52">
        <f t="shared" si="6"/>
        <v>-2.0769000000655069E-2</v>
      </c>
      <c r="S52">
        <f t="shared" si="7"/>
        <v>3.8746999999830223E-2</v>
      </c>
      <c r="T52">
        <f t="shared" si="8"/>
        <v>-2.8129999999999995E-3</v>
      </c>
      <c r="Y52" t="s">
        <v>176</v>
      </c>
      <c r="Z52">
        <v>14999.132600000001</v>
      </c>
      <c r="AA52">
        <v>-1349.9786999999999</v>
      </c>
      <c r="AB52">
        <v>-3.1300000000000001E-2</v>
      </c>
    </row>
    <row r="53" spans="1:28" x14ac:dyDescent="0.2">
      <c r="A53" t="s">
        <v>177</v>
      </c>
      <c r="B53">
        <v>14499.125931</v>
      </c>
      <c r="C53">
        <v>-1349.9445969999999</v>
      </c>
      <c r="D53">
        <v>-3.1510000000000003E-2</v>
      </c>
      <c r="E53">
        <f t="shared" si="1"/>
        <v>51</v>
      </c>
      <c r="F53" t="str">
        <f t="shared" si="2"/>
        <v/>
      </c>
      <c r="J53" t="s">
        <v>177</v>
      </c>
      <c r="K53">
        <v>14499.142</v>
      </c>
      <c r="L53">
        <v>-1350.0038</v>
      </c>
      <c r="M53">
        <v>-3.15E-2</v>
      </c>
      <c r="N53">
        <f t="shared" si="3"/>
        <v>51</v>
      </c>
      <c r="O53" t="str">
        <f t="shared" si="4"/>
        <v/>
      </c>
      <c r="Q53">
        <f t="shared" si="5"/>
        <v>14499.142</v>
      </c>
      <c r="R53">
        <f t="shared" si="6"/>
        <v>-1.6068999999333755E-2</v>
      </c>
      <c r="S53">
        <f t="shared" si="7"/>
        <v>5.9203000000024986E-2</v>
      </c>
      <c r="T53">
        <f t="shared" si="8"/>
        <v>-1.0000000000003062E-5</v>
      </c>
      <c r="Y53" t="s">
        <v>177</v>
      </c>
      <c r="Z53">
        <v>14499.123900000001</v>
      </c>
      <c r="AA53">
        <v>-1349.9355</v>
      </c>
      <c r="AB53">
        <v>-3.04E-2</v>
      </c>
    </row>
    <row r="54" spans="1:28" x14ac:dyDescent="0.2">
      <c r="A54" t="s">
        <v>178</v>
      </c>
      <c r="B54">
        <v>13999.147637</v>
      </c>
      <c r="C54">
        <v>-1349.9598980000001</v>
      </c>
      <c r="D54">
        <v>-4.9433999999999999E-2</v>
      </c>
      <c r="E54">
        <f t="shared" si="1"/>
        <v>52</v>
      </c>
      <c r="F54" t="str">
        <f t="shared" si="2"/>
        <v/>
      </c>
      <c r="J54" t="s">
        <v>178</v>
      </c>
      <c r="K54">
        <v>13999.179099999999</v>
      </c>
      <c r="L54">
        <v>-1349.9893999999999</v>
      </c>
      <c r="M54">
        <v>-3.9E-2</v>
      </c>
      <c r="N54">
        <f t="shared" si="3"/>
        <v>52</v>
      </c>
      <c r="O54" t="str">
        <f t="shared" si="4"/>
        <v/>
      </c>
      <c r="Q54">
        <f t="shared" si="5"/>
        <v>13999.179099999999</v>
      </c>
      <c r="R54">
        <f t="shared" si="6"/>
        <v>-3.146299999934854E-2</v>
      </c>
      <c r="S54">
        <f t="shared" si="7"/>
        <v>2.9501999999865802E-2</v>
      </c>
      <c r="T54">
        <f t="shared" si="8"/>
        <v>-1.0433999999999999E-2</v>
      </c>
      <c r="Y54" t="s">
        <v>178</v>
      </c>
      <c r="Z54">
        <v>13999.1412</v>
      </c>
      <c r="AA54">
        <v>-1349.9576999999999</v>
      </c>
      <c r="AB54">
        <v>-4.87E-2</v>
      </c>
    </row>
    <row r="55" spans="1:28" x14ac:dyDescent="0.2">
      <c r="A55" t="s">
        <v>179</v>
      </c>
      <c r="B55">
        <v>13499.124646</v>
      </c>
      <c r="C55">
        <v>-1349.923624</v>
      </c>
      <c r="D55">
        <v>-2.802E-2</v>
      </c>
      <c r="E55">
        <f t="shared" si="1"/>
        <v>53</v>
      </c>
      <c r="F55" t="str">
        <f t="shared" si="2"/>
        <v/>
      </c>
      <c r="J55" t="s">
        <v>179</v>
      </c>
      <c r="K55">
        <v>13499.1427</v>
      </c>
      <c r="L55">
        <v>-1349.9511</v>
      </c>
      <c r="M55">
        <v>-8.2000000000000007E-3</v>
      </c>
      <c r="N55">
        <f t="shared" si="3"/>
        <v>53</v>
      </c>
      <c r="O55" t="str">
        <f t="shared" si="4"/>
        <v/>
      </c>
      <c r="Q55">
        <f t="shared" si="5"/>
        <v>13499.1427</v>
      </c>
      <c r="R55">
        <f t="shared" si="6"/>
        <v>-1.8054000000120141E-2</v>
      </c>
      <c r="S55">
        <f t="shared" si="7"/>
        <v>2.747599999997874E-2</v>
      </c>
      <c r="T55">
        <f t="shared" si="8"/>
        <v>-1.9819999999999997E-2</v>
      </c>
      <c r="Y55" t="s">
        <v>179</v>
      </c>
      <c r="Z55">
        <v>13499.1222</v>
      </c>
      <c r="AA55">
        <v>-1349.9213999999999</v>
      </c>
      <c r="AB55">
        <v>-2.92E-2</v>
      </c>
    </row>
    <row r="56" spans="1:28" x14ac:dyDescent="0.2">
      <c r="A56" t="s">
        <v>180</v>
      </c>
      <c r="B56">
        <v>12999.11709</v>
      </c>
      <c r="C56">
        <v>-1349.890476</v>
      </c>
      <c r="D56">
        <v>-4.0653000000000002E-2</v>
      </c>
      <c r="E56">
        <f t="shared" si="1"/>
        <v>54</v>
      </c>
      <c r="F56" t="str">
        <f t="shared" si="2"/>
        <v/>
      </c>
      <c r="J56" t="s">
        <v>180</v>
      </c>
      <c r="K56">
        <v>12999.1358</v>
      </c>
      <c r="L56">
        <v>-1349.9794999999999</v>
      </c>
      <c r="M56">
        <v>-4.8099999999999997E-2</v>
      </c>
      <c r="N56">
        <f t="shared" si="3"/>
        <v>54</v>
      </c>
      <c r="O56" t="str">
        <f t="shared" si="4"/>
        <v/>
      </c>
      <c r="Q56">
        <f t="shared" si="5"/>
        <v>12999.1358</v>
      </c>
      <c r="R56">
        <f t="shared" si="6"/>
        <v>-1.8710000000282889E-2</v>
      </c>
      <c r="S56">
        <f t="shared" si="7"/>
        <v>8.9023999999881198E-2</v>
      </c>
      <c r="T56">
        <f t="shared" si="8"/>
        <v>7.4469999999999953E-3</v>
      </c>
      <c r="Y56" t="s">
        <v>180</v>
      </c>
      <c r="Z56">
        <v>12999.115599999999</v>
      </c>
      <c r="AA56">
        <v>-1349.883</v>
      </c>
      <c r="AB56">
        <v>-3.9300000000000002E-2</v>
      </c>
    </row>
    <row r="57" spans="1:28" x14ac:dyDescent="0.2">
      <c r="A57" t="s">
        <v>181</v>
      </c>
      <c r="B57">
        <v>12499.094266</v>
      </c>
      <c r="C57">
        <v>-1349.8662179999999</v>
      </c>
      <c r="D57">
        <v>-1.9186000000000002E-2</v>
      </c>
      <c r="E57">
        <f t="shared" si="1"/>
        <v>55</v>
      </c>
      <c r="F57" t="str">
        <f t="shared" si="2"/>
        <v/>
      </c>
      <c r="J57" t="s">
        <v>181</v>
      </c>
      <c r="K57">
        <v>12499.114600000001</v>
      </c>
      <c r="L57">
        <v>-1349.9152999999999</v>
      </c>
      <c r="M57">
        <v>-1.8700000000000001E-2</v>
      </c>
      <c r="N57">
        <f t="shared" si="3"/>
        <v>55</v>
      </c>
      <c r="O57" t="str">
        <f t="shared" si="4"/>
        <v/>
      </c>
      <c r="Q57">
        <f t="shared" si="5"/>
        <v>12499.114600000001</v>
      </c>
      <c r="R57">
        <f t="shared" si="6"/>
        <v>-2.0334000000730157E-2</v>
      </c>
      <c r="S57">
        <f t="shared" si="7"/>
        <v>4.9081999999998516E-2</v>
      </c>
      <c r="T57">
        <f t="shared" si="8"/>
        <v>-4.8600000000000032E-4</v>
      </c>
      <c r="Y57" t="s">
        <v>181</v>
      </c>
      <c r="Z57">
        <v>12499.092000000001</v>
      </c>
      <c r="AA57">
        <v>-1349.8632</v>
      </c>
      <c r="AB57">
        <v>-1.8599999999999998E-2</v>
      </c>
    </row>
    <row r="58" spans="1:28" x14ac:dyDescent="0.2">
      <c r="A58" t="s">
        <v>182</v>
      </c>
      <c r="B58">
        <v>11999.131228</v>
      </c>
      <c r="C58">
        <v>-1349.857581</v>
      </c>
      <c r="D58">
        <v>-2.3960000000000001E-3</v>
      </c>
      <c r="E58">
        <f t="shared" si="1"/>
        <v>56</v>
      </c>
      <c r="F58" t="str">
        <f t="shared" si="2"/>
        <v/>
      </c>
      <c r="J58" t="s">
        <v>182</v>
      </c>
      <c r="K58">
        <v>11999.1405</v>
      </c>
      <c r="L58">
        <v>-1349.8733</v>
      </c>
      <c r="M58">
        <v>2.3900000000000001E-2</v>
      </c>
      <c r="N58">
        <f t="shared" si="3"/>
        <v>56</v>
      </c>
      <c r="O58" t="str">
        <f t="shared" si="4"/>
        <v/>
      </c>
      <c r="Q58">
        <f t="shared" si="5"/>
        <v>11999.1405</v>
      </c>
      <c r="R58">
        <f t="shared" si="6"/>
        <v>-9.2719999993278179E-3</v>
      </c>
      <c r="S58">
        <f t="shared" si="7"/>
        <v>1.5718999999990046E-2</v>
      </c>
      <c r="T58">
        <f t="shared" si="8"/>
        <v>-2.6296E-2</v>
      </c>
      <c r="Y58" t="s">
        <v>182</v>
      </c>
      <c r="Z58">
        <v>11999.1306</v>
      </c>
      <c r="AA58">
        <v>-1349.8569</v>
      </c>
      <c r="AB58">
        <v>-3.5999999999999999E-3</v>
      </c>
    </row>
    <row r="59" spans="1:28" x14ac:dyDescent="0.2">
      <c r="A59" t="s">
        <v>183</v>
      </c>
      <c r="B59">
        <v>11499.107819000001</v>
      </c>
      <c r="C59">
        <v>-1349.8379849999999</v>
      </c>
      <c r="D59">
        <v>4.091E-3</v>
      </c>
      <c r="E59">
        <f t="shared" si="1"/>
        <v>57</v>
      </c>
      <c r="F59" t="str">
        <f t="shared" si="2"/>
        <v/>
      </c>
      <c r="J59" t="s">
        <v>183</v>
      </c>
      <c r="K59">
        <v>11499.1219</v>
      </c>
      <c r="L59">
        <v>-1349.8987</v>
      </c>
      <c r="M59">
        <v>3.2000000000000002E-3</v>
      </c>
      <c r="N59">
        <f t="shared" si="3"/>
        <v>57</v>
      </c>
      <c r="O59" t="str">
        <f t="shared" si="4"/>
        <v/>
      </c>
      <c r="Q59">
        <f t="shared" si="5"/>
        <v>11499.1219</v>
      </c>
      <c r="R59">
        <f t="shared" si="6"/>
        <v>-1.4080999999350752E-2</v>
      </c>
      <c r="S59">
        <f t="shared" si="7"/>
        <v>6.0715000000072905E-2</v>
      </c>
      <c r="T59">
        <f t="shared" si="8"/>
        <v>8.9099999999999987E-4</v>
      </c>
      <c r="Y59" t="s">
        <v>183</v>
      </c>
      <c r="Z59">
        <v>11499.106900000001</v>
      </c>
      <c r="AA59">
        <v>-1349.8353999999999</v>
      </c>
      <c r="AB59">
        <v>4.4000000000000003E-3</v>
      </c>
    </row>
    <row r="60" spans="1:28" x14ac:dyDescent="0.2">
      <c r="A60" t="s">
        <v>184</v>
      </c>
      <c r="B60">
        <v>10999.091206999999</v>
      </c>
      <c r="C60">
        <v>-1349.819624</v>
      </c>
      <c r="D60">
        <v>-7.7580000000000001E-3</v>
      </c>
      <c r="E60">
        <f t="shared" si="1"/>
        <v>58</v>
      </c>
      <c r="F60" t="str">
        <f t="shared" si="2"/>
        <v/>
      </c>
      <c r="J60" t="s">
        <v>184</v>
      </c>
      <c r="K60">
        <v>10999.1068</v>
      </c>
      <c r="L60">
        <v>-1349.8701000000001</v>
      </c>
      <c r="M60">
        <v>-1.2999999999999999E-3</v>
      </c>
      <c r="N60">
        <f t="shared" si="3"/>
        <v>58</v>
      </c>
      <c r="O60" t="str">
        <f t="shared" si="4"/>
        <v/>
      </c>
      <c r="Q60">
        <f t="shared" si="5"/>
        <v>10999.1068</v>
      </c>
      <c r="R60">
        <f t="shared" si="6"/>
        <v>-1.5593000000080792E-2</v>
      </c>
      <c r="S60">
        <f t="shared" si="7"/>
        <v>5.0476000000116983E-2</v>
      </c>
      <c r="T60">
        <f t="shared" si="8"/>
        <v>-6.4580000000000002E-3</v>
      </c>
      <c r="Y60" t="s">
        <v>184</v>
      </c>
      <c r="Z60">
        <v>10999.090200000001</v>
      </c>
      <c r="AA60">
        <v>-1349.818</v>
      </c>
      <c r="AB60">
        <v>-7.7999999999999996E-3</v>
      </c>
    </row>
    <row r="61" spans="1:28" x14ac:dyDescent="0.2">
      <c r="A61" t="s">
        <v>185</v>
      </c>
      <c r="B61">
        <v>10499.075075000001</v>
      </c>
      <c r="C61">
        <v>-1349.793885</v>
      </c>
      <c r="D61">
        <v>3.8500000000000001E-3</v>
      </c>
      <c r="E61">
        <f t="shared" si="1"/>
        <v>59</v>
      </c>
      <c r="F61" t="str">
        <f t="shared" si="2"/>
        <v/>
      </c>
      <c r="J61" t="s">
        <v>185</v>
      </c>
      <c r="K61">
        <v>10499.082700000001</v>
      </c>
      <c r="L61">
        <v>-1349.8422</v>
      </c>
      <c r="M61">
        <v>2.1100000000000001E-2</v>
      </c>
      <c r="N61">
        <f t="shared" si="3"/>
        <v>59</v>
      </c>
      <c r="O61" t="str">
        <f t="shared" si="4"/>
        <v/>
      </c>
      <c r="Q61">
        <f t="shared" si="5"/>
        <v>10499.082700000001</v>
      </c>
      <c r="R61">
        <f t="shared" si="6"/>
        <v>-7.6250000001891749E-3</v>
      </c>
      <c r="S61">
        <f t="shared" si="7"/>
        <v>4.8315000000002328E-2</v>
      </c>
      <c r="T61">
        <f t="shared" si="8"/>
        <v>-1.7250000000000001E-2</v>
      </c>
      <c r="Y61" t="s">
        <v>185</v>
      </c>
      <c r="Z61">
        <v>10499.0749</v>
      </c>
      <c r="AA61">
        <v>-1349.7925</v>
      </c>
      <c r="AB61">
        <v>3.3999999999999998E-3</v>
      </c>
    </row>
    <row r="62" spans="1:28" x14ac:dyDescent="0.2">
      <c r="A62" t="s">
        <v>186</v>
      </c>
      <c r="B62">
        <v>9999.1417070000007</v>
      </c>
      <c r="C62">
        <v>-1349.7770889999999</v>
      </c>
      <c r="D62">
        <v>9.1129999999999996E-3</v>
      </c>
      <c r="E62">
        <f t="shared" si="1"/>
        <v>60</v>
      </c>
      <c r="F62" t="str">
        <f t="shared" si="2"/>
        <v/>
      </c>
      <c r="J62" t="s">
        <v>186</v>
      </c>
      <c r="K62">
        <v>9999.1389999999992</v>
      </c>
      <c r="L62">
        <v>-1349.8226999999999</v>
      </c>
      <c r="M62">
        <v>3.49E-2</v>
      </c>
      <c r="N62">
        <f t="shared" si="3"/>
        <v>60</v>
      </c>
      <c r="O62" t="str">
        <f t="shared" si="4"/>
        <v/>
      </c>
      <c r="Q62">
        <f t="shared" si="5"/>
        <v>9999.1389999999992</v>
      </c>
      <c r="R62">
        <f t="shared" si="6"/>
        <v>2.7070000014646212E-3</v>
      </c>
      <c r="S62">
        <f t="shared" si="7"/>
        <v>4.5611000000008062E-2</v>
      </c>
      <c r="T62">
        <f t="shared" si="8"/>
        <v>-2.5787000000000001E-2</v>
      </c>
      <c r="Y62" t="s">
        <v>186</v>
      </c>
      <c r="Z62">
        <v>9999.1422000000002</v>
      </c>
      <c r="AA62">
        <v>-1349.7760000000001</v>
      </c>
      <c r="AB62">
        <v>8.5000000000000006E-3</v>
      </c>
    </row>
    <row r="63" spans="1:28" x14ac:dyDescent="0.2">
      <c r="A63" t="s">
        <v>187</v>
      </c>
      <c r="B63">
        <v>9499.1245600000002</v>
      </c>
      <c r="C63">
        <v>-1349.7729039999999</v>
      </c>
      <c r="D63">
        <v>1.5642E-2</v>
      </c>
      <c r="E63">
        <f t="shared" si="1"/>
        <v>61</v>
      </c>
      <c r="F63" t="str">
        <f t="shared" si="2"/>
        <v/>
      </c>
      <c r="J63" t="s">
        <v>187</v>
      </c>
      <c r="K63">
        <v>9499.1183000000001</v>
      </c>
      <c r="L63">
        <v>-1349.8064999999999</v>
      </c>
      <c r="M63">
        <v>2.5499999999999998E-2</v>
      </c>
      <c r="N63">
        <f t="shared" si="3"/>
        <v>61</v>
      </c>
      <c r="O63" t="str">
        <f t="shared" si="4"/>
        <v/>
      </c>
      <c r="Q63">
        <f t="shared" si="5"/>
        <v>9499.1183000000001</v>
      </c>
      <c r="R63">
        <f t="shared" si="6"/>
        <v>6.2600000001111766E-3</v>
      </c>
      <c r="S63">
        <f t="shared" si="7"/>
        <v>3.3595999999988635E-2</v>
      </c>
      <c r="T63">
        <f t="shared" si="8"/>
        <v>-9.8579999999999987E-3</v>
      </c>
      <c r="Y63" t="s">
        <v>187</v>
      </c>
      <c r="Z63">
        <v>9499.125</v>
      </c>
      <c r="AA63">
        <v>-1349.7722000000001</v>
      </c>
      <c r="AB63">
        <v>1.54E-2</v>
      </c>
    </row>
    <row r="64" spans="1:28" x14ac:dyDescent="0.2">
      <c r="A64" t="s">
        <v>188</v>
      </c>
      <c r="B64">
        <v>8999.1080450000009</v>
      </c>
      <c r="C64">
        <v>-1349.77331</v>
      </c>
      <c r="D64">
        <v>5.9369999999999996E-3</v>
      </c>
      <c r="E64">
        <f t="shared" si="1"/>
        <v>62</v>
      </c>
      <c r="F64" t="str">
        <f t="shared" si="2"/>
        <v/>
      </c>
      <c r="J64" t="s">
        <v>188</v>
      </c>
      <c r="K64">
        <v>8999.1018999999997</v>
      </c>
      <c r="L64">
        <v>-1349.8364999999999</v>
      </c>
      <c r="M64">
        <v>1.01E-2</v>
      </c>
      <c r="N64">
        <f t="shared" si="3"/>
        <v>62</v>
      </c>
      <c r="O64" t="str">
        <f t="shared" si="4"/>
        <v/>
      </c>
      <c r="Q64">
        <f t="shared" si="5"/>
        <v>8999.1018999999997</v>
      </c>
      <c r="R64">
        <f t="shared" si="6"/>
        <v>6.1450000011973316E-3</v>
      </c>
      <c r="S64">
        <f t="shared" si="7"/>
        <v>6.3189999999849533E-2</v>
      </c>
      <c r="T64">
        <f t="shared" si="8"/>
        <v>-4.163E-3</v>
      </c>
      <c r="Y64" t="s">
        <v>188</v>
      </c>
      <c r="Z64">
        <v>8999.1085000000003</v>
      </c>
      <c r="AA64">
        <v>-1349.7722000000001</v>
      </c>
      <c r="AB64">
        <v>5.7000000000000002E-3</v>
      </c>
    </row>
    <row r="65" spans="1:28" x14ac:dyDescent="0.2">
      <c r="A65" t="s">
        <v>189</v>
      </c>
      <c r="B65">
        <v>8499.1005600000008</v>
      </c>
      <c r="C65">
        <v>-1349.767486</v>
      </c>
      <c r="D65">
        <v>9.0530000000000003E-3</v>
      </c>
      <c r="E65">
        <f t="shared" si="1"/>
        <v>63</v>
      </c>
      <c r="F65" t="str">
        <f t="shared" si="2"/>
        <v/>
      </c>
      <c r="J65" t="s">
        <v>189</v>
      </c>
      <c r="K65">
        <v>8499.0686999999998</v>
      </c>
      <c r="L65">
        <v>-1349.7656999999999</v>
      </c>
      <c r="M65">
        <v>2.9499999999999998E-2</v>
      </c>
      <c r="N65">
        <f t="shared" si="3"/>
        <v>63</v>
      </c>
      <c r="O65" t="str">
        <f t="shared" si="4"/>
        <v/>
      </c>
      <c r="Q65">
        <f t="shared" si="5"/>
        <v>8499.0686999999998</v>
      </c>
      <c r="R65">
        <f t="shared" si="6"/>
        <v>3.1860000000961008E-2</v>
      </c>
      <c r="S65">
        <f t="shared" si="7"/>
        <v>-1.786000000038257E-3</v>
      </c>
      <c r="T65">
        <f t="shared" si="8"/>
        <v>-2.0447E-2</v>
      </c>
      <c r="Y65" t="s">
        <v>189</v>
      </c>
      <c r="Z65">
        <v>8499.1020000000008</v>
      </c>
      <c r="AA65">
        <v>-1349.7674</v>
      </c>
      <c r="AB65">
        <v>8.6E-3</v>
      </c>
    </row>
    <row r="66" spans="1:28" x14ac:dyDescent="0.2">
      <c r="A66" t="s">
        <v>190</v>
      </c>
      <c r="B66">
        <v>7999.1753360000002</v>
      </c>
      <c r="C66">
        <v>-1349.7602380000001</v>
      </c>
      <c r="D66">
        <v>1.2064999999999999E-2</v>
      </c>
      <c r="E66">
        <f t="shared" si="1"/>
        <v>64</v>
      </c>
      <c r="F66" t="str">
        <f t="shared" si="2"/>
        <v/>
      </c>
      <c r="J66" t="s">
        <v>190</v>
      </c>
      <c r="K66">
        <v>7999.1522999999997</v>
      </c>
      <c r="L66">
        <v>-1349.8312000000001</v>
      </c>
      <c r="M66">
        <v>4.2000000000000003E-2</v>
      </c>
      <c r="N66">
        <f t="shared" si="3"/>
        <v>64</v>
      </c>
      <c r="O66" t="str">
        <f t="shared" si="4"/>
        <v/>
      </c>
      <c r="Q66">
        <f t="shared" si="5"/>
        <v>7999.1522999999997</v>
      </c>
      <c r="R66">
        <f t="shared" si="6"/>
        <v>2.3036000000502099E-2</v>
      </c>
      <c r="S66">
        <f t="shared" si="7"/>
        <v>7.0962000000008629E-2</v>
      </c>
      <c r="T66">
        <f t="shared" si="8"/>
        <v>-2.9935000000000003E-2</v>
      </c>
      <c r="Y66" t="s">
        <v>190</v>
      </c>
      <c r="Z66">
        <v>7999.1767</v>
      </c>
      <c r="AA66">
        <v>-1349.7589</v>
      </c>
      <c r="AB66">
        <v>1.1299999999999999E-2</v>
      </c>
    </row>
    <row r="67" spans="1:28" x14ac:dyDescent="0.2">
      <c r="A67" t="s">
        <v>191</v>
      </c>
      <c r="B67">
        <v>7499.1606810000003</v>
      </c>
      <c r="C67">
        <v>-1349.7599769999999</v>
      </c>
      <c r="D67">
        <v>1.7552999999999999E-2</v>
      </c>
      <c r="E67">
        <f t="shared" si="1"/>
        <v>65</v>
      </c>
      <c r="F67" t="str">
        <f t="shared" si="2"/>
        <v/>
      </c>
      <c r="J67" t="s">
        <v>191</v>
      </c>
      <c r="K67">
        <v>7499.1220999999996</v>
      </c>
      <c r="L67">
        <v>-1349.7882999999999</v>
      </c>
      <c r="M67">
        <v>4.6199999999999998E-2</v>
      </c>
      <c r="N67">
        <f t="shared" si="3"/>
        <v>65</v>
      </c>
      <c r="O67" t="str">
        <f t="shared" si="4"/>
        <v/>
      </c>
      <c r="Q67">
        <f t="shared" si="5"/>
        <v>7499.1220999999996</v>
      </c>
      <c r="R67">
        <f t="shared" si="6"/>
        <v>3.858100000070408E-2</v>
      </c>
      <c r="S67">
        <f t="shared" si="7"/>
        <v>2.832300000000032E-2</v>
      </c>
      <c r="T67">
        <f t="shared" si="8"/>
        <v>-2.8646999999999999E-2</v>
      </c>
      <c r="Y67" t="s">
        <v>191</v>
      </c>
      <c r="Z67">
        <v>7499.1626999999999</v>
      </c>
      <c r="AA67">
        <v>-1349.7592999999999</v>
      </c>
      <c r="AB67">
        <v>1.6799999999999999E-2</v>
      </c>
    </row>
    <row r="68" spans="1:28" x14ac:dyDescent="0.2">
      <c r="A68" t="s">
        <v>192</v>
      </c>
      <c r="B68">
        <v>6999.1428400000004</v>
      </c>
      <c r="C68">
        <v>-1349.777531</v>
      </c>
      <c r="D68">
        <v>1.5765000000000001E-2</v>
      </c>
      <c r="E68">
        <f t="shared" ref="E68:E131" si="9">RIGHT(A68,LEN(A68)-FIND("_",A68,FIND("_",A68)+1))*1</f>
        <v>66</v>
      </c>
      <c r="F68" t="str">
        <f t="shared" ref="F68:F131" si="10">IF(E68&lt;&gt;1+E67,"err","")</f>
        <v/>
      </c>
      <c r="J68" t="s">
        <v>192</v>
      </c>
      <c r="K68">
        <v>6999.1003000000001</v>
      </c>
      <c r="L68">
        <v>-1349.8678</v>
      </c>
      <c r="M68">
        <v>0.04</v>
      </c>
      <c r="N68">
        <f t="shared" ref="N68:N131" si="11">RIGHT(J68,LEN(J68)-FIND("_",J68,FIND("_",J68)+1))*1</f>
        <v>66</v>
      </c>
      <c r="O68" t="str">
        <f t="shared" ref="O68:O131" si="12">IF(N68&lt;&gt;1+N67,"err","")</f>
        <v/>
      </c>
      <c r="Q68">
        <f t="shared" ref="Q68:Q131" si="13">K68</f>
        <v>6999.1003000000001</v>
      </c>
      <c r="R68">
        <f t="shared" ref="R68:R131" si="14">B68-K68</f>
        <v>4.2540000000371947E-2</v>
      </c>
      <c r="S68">
        <f t="shared" ref="S68:S131" si="15">C68-L68</f>
        <v>9.0269000000034794E-2</v>
      </c>
      <c r="T68">
        <f t="shared" ref="T68:T131" si="16">D68-M68</f>
        <v>-2.4235E-2</v>
      </c>
      <c r="Y68" t="s">
        <v>192</v>
      </c>
      <c r="Z68">
        <v>6999.1454999999996</v>
      </c>
      <c r="AA68">
        <v>-1349.7756999999999</v>
      </c>
      <c r="AB68">
        <v>1.5100000000000001E-2</v>
      </c>
    </row>
    <row r="69" spans="1:28" x14ac:dyDescent="0.2">
      <c r="A69" t="s">
        <v>193</v>
      </c>
      <c r="B69">
        <v>6499.1090910000003</v>
      </c>
      <c r="C69">
        <v>-1349.8075899999999</v>
      </c>
      <c r="D69">
        <v>2.2304999999999998E-2</v>
      </c>
      <c r="E69">
        <f t="shared" si="9"/>
        <v>67</v>
      </c>
      <c r="F69" t="str">
        <f t="shared" si="10"/>
        <v/>
      </c>
      <c r="J69" t="s">
        <v>193</v>
      </c>
      <c r="K69">
        <v>6499.0645000000004</v>
      </c>
      <c r="L69">
        <v>-1349.8672999999999</v>
      </c>
      <c r="M69">
        <v>4.0300000000000002E-2</v>
      </c>
      <c r="N69">
        <f t="shared" si="11"/>
        <v>67</v>
      </c>
      <c r="O69" t="str">
        <f t="shared" si="12"/>
        <v/>
      </c>
      <c r="Q69">
        <f t="shared" si="13"/>
        <v>6499.0645000000004</v>
      </c>
      <c r="R69">
        <f t="shared" si="14"/>
        <v>4.459099999985483E-2</v>
      </c>
      <c r="S69">
        <f t="shared" si="15"/>
        <v>5.9709999999995489E-2</v>
      </c>
      <c r="T69">
        <f t="shared" si="16"/>
        <v>-1.7995000000000004E-2</v>
      </c>
      <c r="Y69" t="s">
        <v>193</v>
      </c>
      <c r="Z69">
        <v>6499.1118999999999</v>
      </c>
      <c r="AA69">
        <v>-1349.8062</v>
      </c>
      <c r="AB69">
        <v>2.18E-2</v>
      </c>
    </row>
    <row r="70" spans="1:28" x14ac:dyDescent="0.2">
      <c r="A70" t="s">
        <v>194</v>
      </c>
      <c r="B70">
        <v>5999.1223490000002</v>
      </c>
      <c r="C70">
        <v>-1349.8256490000001</v>
      </c>
      <c r="D70">
        <v>2.6075000000000001E-2</v>
      </c>
      <c r="E70">
        <f t="shared" si="9"/>
        <v>68</v>
      </c>
      <c r="F70" t="str">
        <f t="shared" si="10"/>
        <v/>
      </c>
      <c r="J70" t="s">
        <v>194</v>
      </c>
      <c r="K70">
        <v>5999.0823</v>
      </c>
      <c r="L70">
        <v>-1349.8644999999999</v>
      </c>
      <c r="M70">
        <v>4.3200000000000002E-2</v>
      </c>
      <c r="N70">
        <f t="shared" si="11"/>
        <v>68</v>
      </c>
      <c r="O70" t="str">
        <f t="shared" si="12"/>
        <v/>
      </c>
      <c r="Q70">
        <f t="shared" si="13"/>
        <v>5999.0823</v>
      </c>
      <c r="R70">
        <f t="shared" si="14"/>
        <v>4.0049000000180968E-2</v>
      </c>
      <c r="S70">
        <f t="shared" si="15"/>
        <v>3.8850999999795022E-2</v>
      </c>
      <c r="T70">
        <f t="shared" si="16"/>
        <v>-1.7125000000000001E-2</v>
      </c>
      <c r="Y70" t="s">
        <v>194</v>
      </c>
      <c r="Z70">
        <v>5999.1251000000002</v>
      </c>
      <c r="AA70">
        <v>-1349.8246999999999</v>
      </c>
      <c r="AB70">
        <v>2.5700000000000001E-2</v>
      </c>
    </row>
    <row r="71" spans="1:28" x14ac:dyDescent="0.2">
      <c r="A71" t="s">
        <v>195</v>
      </c>
      <c r="B71">
        <v>5499.1143689999999</v>
      </c>
      <c r="C71">
        <v>-1349.827231</v>
      </c>
      <c r="D71">
        <v>3.9393999999999998E-2</v>
      </c>
      <c r="E71">
        <f t="shared" si="9"/>
        <v>69</v>
      </c>
      <c r="F71" t="str">
        <f t="shared" si="10"/>
        <v/>
      </c>
      <c r="J71" t="s">
        <v>195</v>
      </c>
      <c r="K71">
        <v>5499.0610999999999</v>
      </c>
      <c r="L71">
        <v>-1349.8909000000001</v>
      </c>
      <c r="M71">
        <v>6.7900000000000002E-2</v>
      </c>
      <c r="N71">
        <f t="shared" si="11"/>
        <v>69</v>
      </c>
      <c r="O71" t="str">
        <f t="shared" si="12"/>
        <v/>
      </c>
      <c r="Q71">
        <f t="shared" si="13"/>
        <v>5499.0610999999999</v>
      </c>
      <c r="R71">
        <f t="shared" si="14"/>
        <v>5.3269000000000233E-2</v>
      </c>
      <c r="S71">
        <f t="shared" si="15"/>
        <v>6.3669000000118103E-2</v>
      </c>
      <c r="T71">
        <f t="shared" si="16"/>
        <v>-2.8506000000000004E-2</v>
      </c>
      <c r="Y71" t="s">
        <v>195</v>
      </c>
      <c r="Z71">
        <v>5499.1184000000003</v>
      </c>
      <c r="AA71">
        <v>-1349.8254999999999</v>
      </c>
      <c r="AB71">
        <v>3.8800000000000001E-2</v>
      </c>
    </row>
    <row r="72" spans="1:28" x14ac:dyDescent="0.2">
      <c r="A72" t="s">
        <v>196</v>
      </c>
      <c r="B72">
        <v>4999.0878110000003</v>
      </c>
      <c r="C72">
        <v>-1349.8339570000001</v>
      </c>
      <c r="D72">
        <v>4.0082E-2</v>
      </c>
      <c r="E72">
        <f t="shared" si="9"/>
        <v>70</v>
      </c>
      <c r="F72" t="str">
        <f t="shared" si="10"/>
        <v/>
      </c>
      <c r="J72" t="s">
        <v>196</v>
      </c>
      <c r="K72">
        <v>4999.0335999999998</v>
      </c>
      <c r="L72">
        <v>-1349.8518999999999</v>
      </c>
      <c r="M72">
        <v>5.5399999999999998E-2</v>
      </c>
      <c r="N72">
        <f t="shared" si="11"/>
        <v>70</v>
      </c>
      <c r="O72" t="str">
        <f t="shared" si="12"/>
        <v/>
      </c>
      <c r="Q72">
        <f t="shared" si="13"/>
        <v>4999.0335999999998</v>
      </c>
      <c r="R72">
        <f t="shared" si="14"/>
        <v>5.4211000000577769E-2</v>
      </c>
      <c r="S72">
        <f t="shared" si="15"/>
        <v>1.7942999999831954E-2</v>
      </c>
      <c r="T72">
        <f t="shared" si="16"/>
        <v>-1.5317999999999998E-2</v>
      </c>
      <c r="Y72" t="s">
        <v>196</v>
      </c>
      <c r="Z72">
        <v>4999.0919999999996</v>
      </c>
      <c r="AA72">
        <v>-1349.8335</v>
      </c>
      <c r="AB72">
        <v>3.9899999999999998E-2</v>
      </c>
    </row>
    <row r="73" spans="1:28" x14ac:dyDescent="0.2">
      <c r="A73" t="s">
        <v>197</v>
      </c>
      <c r="B73">
        <v>4499.0484130000004</v>
      </c>
      <c r="C73">
        <v>-1349.84204</v>
      </c>
      <c r="D73">
        <v>4.4684000000000001E-2</v>
      </c>
      <c r="E73">
        <f t="shared" si="9"/>
        <v>71</v>
      </c>
      <c r="F73" t="str">
        <f t="shared" si="10"/>
        <v/>
      </c>
      <c r="J73" t="s">
        <v>197</v>
      </c>
      <c r="K73">
        <v>4499.0034999999998</v>
      </c>
      <c r="L73">
        <v>-1349.8692000000001</v>
      </c>
      <c r="M73">
        <v>8.2500000000000004E-2</v>
      </c>
      <c r="N73">
        <f t="shared" si="11"/>
        <v>71</v>
      </c>
      <c r="O73" t="str">
        <f t="shared" si="12"/>
        <v/>
      </c>
      <c r="Q73">
        <f t="shared" si="13"/>
        <v>4499.0034999999998</v>
      </c>
      <c r="R73">
        <f t="shared" si="14"/>
        <v>4.4913000000633474E-2</v>
      </c>
      <c r="S73">
        <f t="shared" si="15"/>
        <v>2.7160000000094442E-2</v>
      </c>
      <c r="T73">
        <f t="shared" si="16"/>
        <v>-3.7816000000000002E-2</v>
      </c>
      <c r="Y73" t="s">
        <v>197</v>
      </c>
      <c r="Z73">
        <v>4499.0522000000001</v>
      </c>
      <c r="AA73">
        <v>-1349.8412000000001</v>
      </c>
      <c r="AB73">
        <v>4.3799999999999999E-2</v>
      </c>
    </row>
    <row r="74" spans="1:28" x14ac:dyDescent="0.2">
      <c r="A74" t="s">
        <v>198</v>
      </c>
      <c r="B74">
        <v>3999.0881340000001</v>
      </c>
      <c r="C74">
        <v>-1349.8474639999999</v>
      </c>
      <c r="D74">
        <v>4.7544999999999997E-2</v>
      </c>
      <c r="E74">
        <f t="shared" si="9"/>
        <v>72</v>
      </c>
      <c r="F74" t="str">
        <f t="shared" si="10"/>
        <v/>
      </c>
      <c r="J74" t="s">
        <v>198</v>
      </c>
      <c r="K74">
        <v>3999.0338999999999</v>
      </c>
      <c r="L74">
        <v>-1349.8607</v>
      </c>
      <c r="M74">
        <v>6.0900000000000003E-2</v>
      </c>
      <c r="N74">
        <f t="shared" si="11"/>
        <v>72</v>
      </c>
      <c r="O74" t="str">
        <f t="shared" si="12"/>
        <v/>
      </c>
      <c r="Q74">
        <f t="shared" si="13"/>
        <v>3999.0338999999999</v>
      </c>
      <c r="R74">
        <f t="shared" si="14"/>
        <v>5.4234000000178639E-2</v>
      </c>
      <c r="S74">
        <f t="shared" si="15"/>
        <v>1.3236000000006243E-2</v>
      </c>
      <c r="T74">
        <f t="shared" si="16"/>
        <v>-1.3355000000000006E-2</v>
      </c>
      <c r="Y74" t="s">
        <v>198</v>
      </c>
      <c r="Z74">
        <v>3999.0929999999998</v>
      </c>
      <c r="AA74">
        <v>-1349.8471</v>
      </c>
      <c r="AB74">
        <v>4.7500000000000001E-2</v>
      </c>
    </row>
    <row r="75" spans="1:28" x14ac:dyDescent="0.2">
      <c r="A75" t="s">
        <v>199</v>
      </c>
      <c r="B75">
        <v>3499.069391</v>
      </c>
      <c r="C75">
        <v>-1349.843519</v>
      </c>
      <c r="D75">
        <v>5.1323000000000001E-2</v>
      </c>
      <c r="E75">
        <f t="shared" si="9"/>
        <v>73</v>
      </c>
      <c r="F75" t="str">
        <f t="shared" si="10"/>
        <v/>
      </c>
      <c r="J75" t="s">
        <v>199</v>
      </c>
      <c r="K75">
        <v>3499.0185000000001</v>
      </c>
      <c r="L75">
        <v>-1349.8753999999999</v>
      </c>
      <c r="M75">
        <v>2.6800000000000001E-2</v>
      </c>
      <c r="N75">
        <f t="shared" si="11"/>
        <v>73</v>
      </c>
      <c r="O75" t="str">
        <f t="shared" si="12"/>
        <v/>
      </c>
      <c r="Q75">
        <f t="shared" si="13"/>
        <v>3499.0185000000001</v>
      </c>
      <c r="R75">
        <f t="shared" si="14"/>
        <v>5.0890999999865016E-2</v>
      </c>
      <c r="S75">
        <f t="shared" si="15"/>
        <v>3.1880999999884807E-2</v>
      </c>
      <c r="T75">
        <f t="shared" si="16"/>
        <v>2.4523E-2</v>
      </c>
      <c r="Y75" t="s">
        <v>199</v>
      </c>
      <c r="Z75">
        <v>3499.0743000000002</v>
      </c>
      <c r="AA75">
        <v>-1349.8423</v>
      </c>
      <c r="AB75">
        <v>5.2999999999999999E-2</v>
      </c>
    </row>
    <row r="76" spans="1:28" x14ac:dyDescent="0.2">
      <c r="A76" t="s">
        <v>200</v>
      </c>
      <c r="B76">
        <v>2999.0563050000001</v>
      </c>
      <c r="C76">
        <v>-1349.8215049999999</v>
      </c>
      <c r="D76">
        <v>6.0769999999999998E-2</v>
      </c>
      <c r="E76">
        <f t="shared" si="9"/>
        <v>74</v>
      </c>
      <c r="F76" t="str">
        <f t="shared" si="10"/>
        <v/>
      </c>
      <c r="J76" t="s">
        <v>200</v>
      </c>
      <c r="K76">
        <v>2999.0127000000002</v>
      </c>
      <c r="L76">
        <v>-1349.9031</v>
      </c>
      <c r="M76">
        <v>8.0699999999999994E-2</v>
      </c>
      <c r="N76">
        <f t="shared" si="11"/>
        <v>74</v>
      </c>
      <c r="O76" t="str">
        <f t="shared" si="12"/>
        <v/>
      </c>
      <c r="Q76">
        <f t="shared" si="13"/>
        <v>2999.0127000000002</v>
      </c>
      <c r="R76">
        <f t="shared" si="14"/>
        <v>4.360499999984313E-2</v>
      </c>
      <c r="S76">
        <f t="shared" si="15"/>
        <v>8.1595000000106666E-2</v>
      </c>
      <c r="T76">
        <f t="shared" si="16"/>
        <v>-1.9929999999999996E-2</v>
      </c>
      <c r="Y76" t="s">
        <v>200</v>
      </c>
      <c r="Z76">
        <v>2999.0608000000002</v>
      </c>
      <c r="AA76">
        <v>-1349.8177000000001</v>
      </c>
      <c r="AB76">
        <v>6.0499999999999998E-2</v>
      </c>
    </row>
    <row r="77" spans="1:28" x14ac:dyDescent="0.2">
      <c r="A77" t="s">
        <v>201</v>
      </c>
      <c r="B77">
        <v>2499.0520849999998</v>
      </c>
      <c r="C77">
        <v>-1349.8064260000001</v>
      </c>
      <c r="D77">
        <v>4.7588999999999999E-2</v>
      </c>
      <c r="E77">
        <f t="shared" si="9"/>
        <v>75</v>
      </c>
      <c r="F77" t="str">
        <f t="shared" si="10"/>
        <v/>
      </c>
      <c r="J77" t="s">
        <v>201</v>
      </c>
      <c r="K77">
        <v>2498.9994999999999</v>
      </c>
      <c r="L77">
        <v>-1349.9041999999999</v>
      </c>
      <c r="M77">
        <v>6.3200000000000006E-2</v>
      </c>
      <c r="N77">
        <f t="shared" si="11"/>
        <v>75</v>
      </c>
      <c r="O77" t="str">
        <f t="shared" si="12"/>
        <v/>
      </c>
      <c r="Q77">
        <f t="shared" si="13"/>
        <v>2498.9994999999999</v>
      </c>
      <c r="R77">
        <f t="shared" si="14"/>
        <v>5.2584999999908177E-2</v>
      </c>
      <c r="S77">
        <f t="shared" si="15"/>
        <v>9.7773999999844818E-2</v>
      </c>
      <c r="T77">
        <f t="shared" si="16"/>
        <v>-1.5611000000000007E-2</v>
      </c>
      <c r="Y77" t="s">
        <v>201</v>
      </c>
      <c r="Z77">
        <v>2499.0578</v>
      </c>
      <c r="AA77">
        <v>-1349.8013000000001</v>
      </c>
      <c r="AB77">
        <v>4.7699999999999999E-2</v>
      </c>
    </row>
    <row r="78" spans="1:28" x14ac:dyDescent="0.2">
      <c r="A78" t="s">
        <v>202</v>
      </c>
      <c r="B78">
        <v>1999.0701550000001</v>
      </c>
      <c r="C78">
        <v>-1349.7734190000001</v>
      </c>
      <c r="D78">
        <v>5.5405000000000003E-2</v>
      </c>
      <c r="E78">
        <f t="shared" si="9"/>
        <v>76</v>
      </c>
      <c r="F78" t="str">
        <f t="shared" si="10"/>
        <v/>
      </c>
      <c r="J78" t="s">
        <v>202</v>
      </c>
      <c r="K78">
        <v>1999.0353</v>
      </c>
      <c r="L78">
        <v>-1349.819</v>
      </c>
      <c r="M78">
        <v>8.9499999999999996E-2</v>
      </c>
      <c r="N78">
        <f t="shared" si="11"/>
        <v>76</v>
      </c>
      <c r="O78" t="str">
        <f t="shared" si="12"/>
        <v/>
      </c>
      <c r="Q78">
        <f t="shared" si="13"/>
        <v>1999.0353</v>
      </c>
      <c r="R78">
        <f t="shared" si="14"/>
        <v>3.4855000000106884E-2</v>
      </c>
      <c r="S78">
        <f t="shared" si="15"/>
        <v>4.5580999999856431E-2</v>
      </c>
      <c r="T78">
        <f t="shared" si="16"/>
        <v>-3.4094999999999993E-2</v>
      </c>
      <c r="Y78" t="s">
        <v>202</v>
      </c>
      <c r="Z78">
        <v>1999.0741</v>
      </c>
      <c r="AA78">
        <v>-1349.7709</v>
      </c>
      <c r="AB78">
        <v>5.3999999999999999E-2</v>
      </c>
    </row>
    <row r="79" spans="1:28" x14ac:dyDescent="0.2">
      <c r="A79" t="s">
        <v>203</v>
      </c>
      <c r="B79">
        <v>1499.047474</v>
      </c>
      <c r="C79">
        <v>-1349.774498</v>
      </c>
      <c r="D79">
        <v>6.2204000000000002E-2</v>
      </c>
      <c r="E79">
        <f t="shared" si="9"/>
        <v>77</v>
      </c>
      <c r="F79" t="str">
        <f t="shared" si="10"/>
        <v/>
      </c>
      <c r="J79" t="s">
        <v>203</v>
      </c>
      <c r="K79">
        <v>1499.0137</v>
      </c>
      <c r="L79">
        <v>-1349.8382999999999</v>
      </c>
      <c r="M79">
        <v>8.1600000000000006E-2</v>
      </c>
      <c r="N79">
        <f t="shared" si="11"/>
        <v>77</v>
      </c>
      <c r="O79" t="str">
        <f t="shared" si="12"/>
        <v/>
      </c>
      <c r="Q79">
        <f t="shared" si="13"/>
        <v>1499.0137</v>
      </c>
      <c r="R79">
        <f t="shared" si="14"/>
        <v>3.3773999999993976E-2</v>
      </c>
      <c r="S79">
        <f t="shared" si="15"/>
        <v>6.3801999999895997E-2</v>
      </c>
      <c r="T79">
        <f t="shared" si="16"/>
        <v>-1.9396000000000004E-2</v>
      </c>
      <c r="Y79" t="s">
        <v>203</v>
      </c>
      <c r="Z79">
        <v>1499.0515</v>
      </c>
      <c r="AA79">
        <v>-1349.7705000000001</v>
      </c>
      <c r="AB79">
        <v>6.1699999999999998E-2</v>
      </c>
    </row>
    <row r="80" spans="1:28" x14ac:dyDescent="0.2">
      <c r="A80" t="s">
        <v>204</v>
      </c>
      <c r="B80">
        <v>999.01350300000001</v>
      </c>
      <c r="C80">
        <v>-1349.753166</v>
      </c>
      <c r="D80">
        <v>7.2627999999999998E-2</v>
      </c>
      <c r="E80">
        <f t="shared" si="9"/>
        <v>78</v>
      </c>
      <c r="F80" t="str">
        <f t="shared" si="10"/>
        <v/>
      </c>
      <c r="J80" t="s">
        <v>204</v>
      </c>
      <c r="K80">
        <v>998.98119999999994</v>
      </c>
      <c r="L80">
        <v>-1349.8054999999999</v>
      </c>
      <c r="M80">
        <v>9.4500000000000001E-2</v>
      </c>
      <c r="N80">
        <f t="shared" si="11"/>
        <v>78</v>
      </c>
      <c r="O80" t="str">
        <f t="shared" si="12"/>
        <v/>
      </c>
      <c r="Q80">
        <f t="shared" si="13"/>
        <v>998.98119999999994</v>
      </c>
      <c r="R80">
        <f t="shared" si="14"/>
        <v>3.2303000000069915E-2</v>
      </c>
      <c r="S80">
        <f t="shared" si="15"/>
        <v>5.2333999999973457E-2</v>
      </c>
      <c r="T80">
        <f t="shared" si="16"/>
        <v>-2.1872000000000003E-2</v>
      </c>
      <c r="Y80" t="s">
        <v>204</v>
      </c>
      <c r="Z80">
        <v>999.01750000000004</v>
      </c>
      <c r="AA80">
        <v>-1349.7496000000001</v>
      </c>
      <c r="AB80">
        <v>7.1800000000000003E-2</v>
      </c>
    </row>
    <row r="81" spans="1:28" x14ac:dyDescent="0.2">
      <c r="A81" t="s">
        <v>205</v>
      </c>
      <c r="B81">
        <v>498.96853199999998</v>
      </c>
      <c r="C81">
        <v>-1349.7759470000001</v>
      </c>
      <c r="D81">
        <v>6.8848999999999994E-2</v>
      </c>
      <c r="E81">
        <f t="shared" si="9"/>
        <v>79</v>
      </c>
      <c r="F81" t="str">
        <f t="shared" si="10"/>
        <v/>
      </c>
      <c r="J81" t="s">
        <v>205</v>
      </c>
      <c r="K81">
        <v>498.93209999999999</v>
      </c>
      <c r="L81">
        <v>-1349.7530999999999</v>
      </c>
      <c r="M81">
        <v>7.6200000000000004E-2</v>
      </c>
      <c r="N81">
        <f t="shared" si="11"/>
        <v>79</v>
      </c>
      <c r="O81" t="str">
        <f t="shared" si="12"/>
        <v/>
      </c>
      <c r="Q81">
        <f t="shared" si="13"/>
        <v>498.93209999999999</v>
      </c>
      <c r="R81">
        <f t="shared" si="14"/>
        <v>3.6431999999990694E-2</v>
      </c>
      <c r="S81">
        <f t="shared" si="15"/>
        <v>-2.2847000000183471E-2</v>
      </c>
      <c r="T81">
        <f t="shared" si="16"/>
        <v>-7.3510000000000103E-3</v>
      </c>
      <c r="Y81" t="s">
        <v>205</v>
      </c>
      <c r="Z81">
        <v>498.97329999999999</v>
      </c>
      <c r="AA81">
        <v>-1349.7781</v>
      </c>
      <c r="AB81">
        <v>6.8900000000000003E-2</v>
      </c>
    </row>
    <row r="82" spans="1:28" x14ac:dyDescent="0.2">
      <c r="A82" t="s">
        <v>206</v>
      </c>
      <c r="B82">
        <v>999.00551199999995</v>
      </c>
      <c r="C82">
        <v>-1349.7395690000001</v>
      </c>
      <c r="D82">
        <v>6.8468000000000001E-2</v>
      </c>
      <c r="E82">
        <f t="shared" si="9"/>
        <v>80</v>
      </c>
      <c r="F82" t="str">
        <f t="shared" si="10"/>
        <v/>
      </c>
      <c r="J82" t="s">
        <v>206</v>
      </c>
      <c r="K82">
        <v>998.97130000000004</v>
      </c>
      <c r="L82">
        <v>-1349.6876999999999</v>
      </c>
      <c r="M82">
        <v>9.8400000000000001E-2</v>
      </c>
      <c r="N82">
        <f t="shared" si="11"/>
        <v>80</v>
      </c>
      <c r="O82" t="str">
        <f t="shared" si="12"/>
        <v/>
      </c>
      <c r="Q82">
        <f t="shared" si="13"/>
        <v>998.97130000000004</v>
      </c>
      <c r="R82">
        <f t="shared" si="14"/>
        <v>3.4211999999911313E-2</v>
      </c>
      <c r="S82">
        <f t="shared" si="15"/>
        <v>-5.1869000000124288E-2</v>
      </c>
      <c r="T82">
        <f t="shared" si="16"/>
        <v>-2.9932E-2</v>
      </c>
      <c r="Y82" t="s">
        <v>206</v>
      </c>
      <c r="Z82">
        <v>999.00969999999995</v>
      </c>
      <c r="AA82">
        <v>-1349.7437</v>
      </c>
      <c r="AB82">
        <v>6.6799999999999998E-2</v>
      </c>
    </row>
    <row r="83" spans="1:28" x14ac:dyDescent="0.2">
      <c r="A83" t="s">
        <v>207</v>
      </c>
      <c r="B83">
        <v>1499.0414510000001</v>
      </c>
      <c r="C83">
        <v>-1349.750573</v>
      </c>
      <c r="D83">
        <v>5.9855999999999999E-2</v>
      </c>
      <c r="E83">
        <f t="shared" si="9"/>
        <v>81</v>
      </c>
      <c r="F83" t="str">
        <f t="shared" si="10"/>
        <v/>
      </c>
      <c r="J83" t="s">
        <v>207</v>
      </c>
      <c r="K83">
        <v>1499.0073</v>
      </c>
      <c r="L83">
        <v>-1349.7791999999999</v>
      </c>
      <c r="M83">
        <v>8.2000000000000003E-2</v>
      </c>
      <c r="N83">
        <f t="shared" si="11"/>
        <v>81</v>
      </c>
      <c r="O83" t="str">
        <f t="shared" si="12"/>
        <v/>
      </c>
      <c r="Q83">
        <f t="shared" si="13"/>
        <v>1499.0073</v>
      </c>
      <c r="R83">
        <f t="shared" si="14"/>
        <v>3.4151000000065324E-2</v>
      </c>
      <c r="S83">
        <f t="shared" si="15"/>
        <v>2.8626999999914915E-2</v>
      </c>
      <c r="T83">
        <f t="shared" si="16"/>
        <v>-2.2144000000000004E-2</v>
      </c>
      <c r="Y83" t="s">
        <v>207</v>
      </c>
      <c r="Z83">
        <v>1499.0454999999999</v>
      </c>
      <c r="AA83">
        <v>-1349.7489</v>
      </c>
      <c r="AB83">
        <v>5.91E-2</v>
      </c>
    </row>
    <row r="84" spans="1:28" x14ac:dyDescent="0.2">
      <c r="A84" t="s">
        <v>208</v>
      </c>
      <c r="B84">
        <v>1999.061688</v>
      </c>
      <c r="C84">
        <v>-1349.771792</v>
      </c>
      <c r="D84">
        <v>5.4695000000000001E-2</v>
      </c>
      <c r="E84">
        <f t="shared" si="9"/>
        <v>82</v>
      </c>
      <c r="F84" t="str">
        <f t="shared" si="10"/>
        <v/>
      </c>
      <c r="J84" t="s">
        <v>208</v>
      </c>
      <c r="K84">
        <v>1999.0292999999999</v>
      </c>
      <c r="L84">
        <v>-1349.7571</v>
      </c>
      <c r="M84">
        <v>7.46E-2</v>
      </c>
      <c r="N84">
        <f t="shared" si="11"/>
        <v>82</v>
      </c>
      <c r="O84" t="str">
        <f t="shared" si="12"/>
        <v/>
      </c>
      <c r="Q84">
        <f t="shared" si="13"/>
        <v>1999.0292999999999</v>
      </c>
      <c r="R84">
        <f t="shared" si="14"/>
        <v>3.2388000000082684E-2</v>
      </c>
      <c r="S84">
        <f t="shared" si="15"/>
        <v>-1.4691999999968175E-2</v>
      </c>
      <c r="T84">
        <f t="shared" si="16"/>
        <v>-1.9904999999999999E-2</v>
      </c>
      <c r="Y84" t="s">
        <v>208</v>
      </c>
      <c r="Z84">
        <v>1999.0653</v>
      </c>
      <c r="AA84">
        <v>-1349.7728999999999</v>
      </c>
      <c r="AB84">
        <v>5.3999999999999999E-2</v>
      </c>
    </row>
    <row r="85" spans="1:28" x14ac:dyDescent="0.2">
      <c r="A85" t="s">
        <v>209</v>
      </c>
      <c r="B85">
        <v>2499.0307739999998</v>
      </c>
      <c r="C85">
        <v>-1349.7874529999999</v>
      </c>
      <c r="D85">
        <v>3.5291000000000003E-2</v>
      </c>
      <c r="E85">
        <f t="shared" si="9"/>
        <v>83</v>
      </c>
      <c r="F85" t="str">
        <f t="shared" si="10"/>
        <v/>
      </c>
      <c r="J85" t="s">
        <v>209</v>
      </c>
      <c r="K85">
        <v>2498.9956999999999</v>
      </c>
      <c r="L85">
        <v>-1349.7376999999999</v>
      </c>
      <c r="M85">
        <v>8.3400000000000002E-2</v>
      </c>
      <c r="N85">
        <f t="shared" si="11"/>
        <v>83</v>
      </c>
      <c r="O85" t="str">
        <f t="shared" si="12"/>
        <v/>
      </c>
      <c r="Q85">
        <f t="shared" si="13"/>
        <v>2498.9956999999999</v>
      </c>
      <c r="R85">
        <f t="shared" si="14"/>
        <v>3.5073999999895022E-2</v>
      </c>
      <c r="S85">
        <f t="shared" si="15"/>
        <v>-4.9753000000009706E-2</v>
      </c>
      <c r="T85">
        <f t="shared" si="16"/>
        <v>-4.8108999999999999E-2</v>
      </c>
      <c r="Y85" t="s">
        <v>209</v>
      </c>
      <c r="Z85">
        <v>2499.0344</v>
      </c>
      <c r="AA85">
        <v>-1349.7905000000001</v>
      </c>
      <c r="AB85">
        <v>3.3099999999999997E-2</v>
      </c>
    </row>
    <row r="86" spans="1:28" x14ac:dyDescent="0.2">
      <c r="A86" t="s">
        <v>210</v>
      </c>
      <c r="B86">
        <v>2999.0521709999998</v>
      </c>
      <c r="C86">
        <v>-1349.8130980000001</v>
      </c>
      <c r="D86">
        <v>4.9417999999999997E-2</v>
      </c>
      <c r="E86">
        <f t="shared" si="9"/>
        <v>84</v>
      </c>
      <c r="F86" t="str">
        <f t="shared" si="10"/>
        <v/>
      </c>
      <c r="J86" t="s">
        <v>210</v>
      </c>
      <c r="K86">
        <v>2998.9940000000001</v>
      </c>
      <c r="L86">
        <v>-1349.7698</v>
      </c>
      <c r="M86">
        <v>7.5399999999999995E-2</v>
      </c>
      <c r="N86">
        <f t="shared" si="11"/>
        <v>84</v>
      </c>
      <c r="O86" t="str">
        <f t="shared" si="12"/>
        <v/>
      </c>
      <c r="Q86">
        <f t="shared" si="13"/>
        <v>2998.9940000000001</v>
      </c>
      <c r="R86">
        <f t="shared" si="14"/>
        <v>5.8170999999674677E-2</v>
      </c>
      <c r="S86">
        <f t="shared" si="15"/>
        <v>-4.3298000000049797E-2</v>
      </c>
      <c r="T86">
        <f t="shared" si="16"/>
        <v>-2.5981999999999998E-2</v>
      </c>
      <c r="Y86" t="s">
        <v>210</v>
      </c>
      <c r="Z86">
        <v>2999.058</v>
      </c>
      <c r="AA86">
        <v>-1349.8155999999999</v>
      </c>
      <c r="AB86">
        <v>4.8800000000000003E-2</v>
      </c>
    </row>
    <row r="87" spans="1:28" x14ac:dyDescent="0.2">
      <c r="A87" t="s">
        <v>211</v>
      </c>
      <c r="B87">
        <v>3499.0715479999999</v>
      </c>
      <c r="C87">
        <v>-1349.8277760000001</v>
      </c>
      <c r="D87">
        <v>3.8497999999999998E-2</v>
      </c>
      <c r="E87">
        <f t="shared" si="9"/>
        <v>85</v>
      </c>
      <c r="F87" t="str">
        <f t="shared" si="10"/>
        <v/>
      </c>
      <c r="J87" t="s">
        <v>211</v>
      </c>
      <c r="K87">
        <v>3499.0201000000002</v>
      </c>
      <c r="L87">
        <v>-1349.7533000000001</v>
      </c>
      <c r="M87">
        <v>7.5499999999999998E-2</v>
      </c>
      <c r="N87">
        <f t="shared" si="11"/>
        <v>85</v>
      </c>
      <c r="O87" t="str">
        <f t="shared" si="12"/>
        <v/>
      </c>
      <c r="Q87">
        <f t="shared" si="13"/>
        <v>3499.0201000000002</v>
      </c>
      <c r="R87">
        <f t="shared" si="14"/>
        <v>5.1447999999709282E-2</v>
      </c>
      <c r="S87">
        <f t="shared" si="15"/>
        <v>-7.4476000000004206E-2</v>
      </c>
      <c r="T87">
        <f t="shared" si="16"/>
        <v>-3.7002E-2</v>
      </c>
      <c r="Y87" t="s">
        <v>211</v>
      </c>
      <c r="Z87">
        <v>3499.0763000000002</v>
      </c>
      <c r="AA87">
        <v>-1349.8314</v>
      </c>
      <c r="AB87">
        <v>3.73E-2</v>
      </c>
    </row>
    <row r="88" spans="1:28" x14ac:dyDescent="0.2">
      <c r="A88" t="s">
        <v>212</v>
      </c>
      <c r="B88">
        <v>3999.071277</v>
      </c>
      <c r="C88">
        <v>-1349.816018</v>
      </c>
      <c r="D88">
        <v>2.6875E-2</v>
      </c>
      <c r="E88">
        <f t="shared" si="9"/>
        <v>86</v>
      </c>
      <c r="F88" t="str">
        <f t="shared" si="10"/>
        <v/>
      </c>
      <c r="J88" t="s">
        <v>212</v>
      </c>
      <c r="K88">
        <v>3999.0315000000001</v>
      </c>
      <c r="L88">
        <v>-1349.8204000000001</v>
      </c>
      <c r="M88">
        <v>6.6500000000000004E-2</v>
      </c>
      <c r="N88">
        <f t="shared" si="11"/>
        <v>86</v>
      </c>
      <c r="O88" t="str">
        <f t="shared" si="12"/>
        <v/>
      </c>
      <c r="Q88">
        <f t="shared" si="13"/>
        <v>3999.0315000000001</v>
      </c>
      <c r="R88">
        <f t="shared" si="14"/>
        <v>3.9776999999958207E-2</v>
      </c>
      <c r="S88">
        <f t="shared" si="15"/>
        <v>4.3820000000778236E-3</v>
      </c>
      <c r="T88">
        <f t="shared" si="16"/>
        <v>-3.9625000000000007E-2</v>
      </c>
      <c r="Y88" t="s">
        <v>212</v>
      </c>
      <c r="Z88">
        <v>3999.0747999999999</v>
      </c>
      <c r="AA88">
        <v>-1349.816</v>
      </c>
      <c r="AB88">
        <v>2.5700000000000001E-2</v>
      </c>
    </row>
    <row r="89" spans="1:28" x14ac:dyDescent="0.2">
      <c r="A89" t="s">
        <v>213</v>
      </c>
      <c r="B89">
        <v>4499.0439839999999</v>
      </c>
      <c r="C89">
        <v>-1349.8314640000001</v>
      </c>
      <c r="D89">
        <v>3.7386999999999997E-2</v>
      </c>
      <c r="E89">
        <f t="shared" si="9"/>
        <v>87</v>
      </c>
      <c r="F89" t="str">
        <f t="shared" si="10"/>
        <v/>
      </c>
      <c r="J89" t="s">
        <v>213</v>
      </c>
      <c r="K89">
        <v>4499.0005000000001</v>
      </c>
      <c r="L89">
        <v>-1349.8148000000001</v>
      </c>
      <c r="M89">
        <v>6.88E-2</v>
      </c>
      <c r="N89">
        <f t="shared" si="11"/>
        <v>87</v>
      </c>
      <c r="O89" t="str">
        <f t="shared" si="12"/>
        <v/>
      </c>
      <c r="Q89">
        <f t="shared" si="13"/>
        <v>4499.0005000000001</v>
      </c>
      <c r="R89">
        <f t="shared" si="14"/>
        <v>4.3483999999807565E-2</v>
      </c>
      <c r="S89">
        <f t="shared" si="15"/>
        <v>-1.6663999999991574E-2</v>
      </c>
      <c r="T89">
        <f t="shared" si="16"/>
        <v>-3.1413000000000003E-2</v>
      </c>
      <c r="Y89" t="s">
        <v>213</v>
      </c>
      <c r="Z89">
        <v>4499.0475999999999</v>
      </c>
      <c r="AA89">
        <v>-1349.8322000000001</v>
      </c>
      <c r="AB89">
        <v>3.6600000000000001E-2</v>
      </c>
    </row>
    <row r="90" spans="1:28" x14ac:dyDescent="0.2">
      <c r="A90" t="s">
        <v>214</v>
      </c>
      <c r="B90">
        <v>4999.074337</v>
      </c>
      <c r="C90">
        <v>-1349.8106780000001</v>
      </c>
      <c r="D90">
        <v>3.5534000000000003E-2</v>
      </c>
      <c r="E90">
        <f t="shared" si="9"/>
        <v>88</v>
      </c>
      <c r="F90" t="str">
        <f t="shared" si="10"/>
        <v/>
      </c>
      <c r="J90" t="s">
        <v>214</v>
      </c>
      <c r="K90">
        <v>4999.0338000000002</v>
      </c>
      <c r="L90">
        <v>-1349.8050000000001</v>
      </c>
      <c r="M90">
        <v>6.7799999999999999E-2</v>
      </c>
      <c r="N90">
        <f t="shared" si="11"/>
        <v>88</v>
      </c>
      <c r="O90" t="str">
        <f t="shared" si="12"/>
        <v/>
      </c>
      <c r="Q90">
        <f t="shared" si="13"/>
        <v>4999.0338000000002</v>
      </c>
      <c r="R90">
        <f t="shared" si="14"/>
        <v>4.0536999999858381E-2</v>
      </c>
      <c r="S90">
        <f t="shared" si="15"/>
        <v>-5.6779999999889696E-3</v>
      </c>
      <c r="T90">
        <f t="shared" si="16"/>
        <v>-3.2265999999999996E-2</v>
      </c>
      <c r="Y90" t="s">
        <v>214</v>
      </c>
      <c r="Z90">
        <v>4999.0775000000003</v>
      </c>
      <c r="AA90">
        <v>-1349.8108999999999</v>
      </c>
      <c r="AB90">
        <v>3.4799999999999998E-2</v>
      </c>
    </row>
    <row r="91" spans="1:28" x14ac:dyDescent="0.2">
      <c r="A91" t="s">
        <v>215</v>
      </c>
      <c r="B91">
        <v>5499.0983900000001</v>
      </c>
      <c r="C91">
        <v>-1349.8291919999999</v>
      </c>
      <c r="D91">
        <v>2.8517000000000001E-2</v>
      </c>
      <c r="E91">
        <f t="shared" si="9"/>
        <v>89</v>
      </c>
      <c r="F91" t="str">
        <f t="shared" si="10"/>
        <v/>
      </c>
      <c r="J91" t="s">
        <v>215</v>
      </c>
      <c r="K91">
        <v>5499.0578999999998</v>
      </c>
      <c r="L91">
        <v>-1349.7791</v>
      </c>
      <c r="M91">
        <v>7.0199999999999999E-2</v>
      </c>
      <c r="N91">
        <f t="shared" si="11"/>
        <v>89</v>
      </c>
      <c r="O91" t="str">
        <f t="shared" si="12"/>
        <v/>
      </c>
      <c r="Q91">
        <f t="shared" si="13"/>
        <v>5499.0578999999998</v>
      </c>
      <c r="R91">
        <f t="shared" si="14"/>
        <v>4.0490000000318105E-2</v>
      </c>
      <c r="S91">
        <f t="shared" si="15"/>
        <v>-5.0091999999949621E-2</v>
      </c>
      <c r="T91">
        <f t="shared" si="16"/>
        <v>-4.1682999999999998E-2</v>
      </c>
      <c r="Y91" t="s">
        <v>215</v>
      </c>
      <c r="Z91">
        <v>5499.1012000000001</v>
      </c>
      <c r="AA91">
        <v>-1349.8305</v>
      </c>
      <c r="AB91">
        <v>2.75E-2</v>
      </c>
    </row>
    <row r="92" spans="1:28" x14ac:dyDescent="0.2">
      <c r="A92" t="s">
        <v>216</v>
      </c>
      <c r="B92">
        <v>5999.1116709999997</v>
      </c>
      <c r="C92">
        <v>-1349.8066879999999</v>
      </c>
      <c r="D92">
        <v>1.2983E-2</v>
      </c>
      <c r="E92">
        <f t="shared" si="9"/>
        <v>90</v>
      </c>
      <c r="F92" t="str">
        <f t="shared" si="10"/>
        <v/>
      </c>
      <c r="J92" t="s">
        <v>216</v>
      </c>
      <c r="K92">
        <v>5999.0802999999996</v>
      </c>
      <c r="L92">
        <v>-1349.8214</v>
      </c>
      <c r="M92">
        <v>4.2599999999999999E-2</v>
      </c>
      <c r="N92">
        <f t="shared" si="11"/>
        <v>90</v>
      </c>
      <c r="O92" t="str">
        <f t="shared" si="12"/>
        <v/>
      </c>
      <c r="Q92">
        <f t="shared" si="13"/>
        <v>5999.0802999999996</v>
      </c>
      <c r="R92">
        <f t="shared" si="14"/>
        <v>3.1371000000035565E-2</v>
      </c>
      <c r="S92">
        <f t="shared" si="15"/>
        <v>1.4712000000145053E-2</v>
      </c>
      <c r="T92">
        <f t="shared" si="16"/>
        <v>-2.9616999999999997E-2</v>
      </c>
      <c r="Y92" t="s">
        <v>216</v>
      </c>
      <c r="Z92">
        <v>5999.1138000000001</v>
      </c>
      <c r="AA92">
        <v>-1349.8063</v>
      </c>
      <c r="AB92">
        <v>1.23E-2</v>
      </c>
    </row>
    <row r="93" spans="1:28" x14ac:dyDescent="0.2">
      <c r="A93" t="s">
        <v>217</v>
      </c>
      <c r="B93">
        <v>6499.0901560000002</v>
      </c>
      <c r="C93">
        <v>-1349.790471</v>
      </c>
      <c r="D93">
        <v>2.1066000000000001E-2</v>
      </c>
      <c r="E93">
        <f t="shared" si="9"/>
        <v>91</v>
      </c>
      <c r="F93" t="str">
        <f t="shared" si="10"/>
        <v/>
      </c>
      <c r="J93" t="s">
        <v>217</v>
      </c>
      <c r="K93">
        <v>6499.0537999999997</v>
      </c>
      <c r="L93">
        <v>-1349.8053</v>
      </c>
      <c r="M93">
        <v>5.1799999999999999E-2</v>
      </c>
      <c r="N93">
        <f t="shared" si="11"/>
        <v>91</v>
      </c>
      <c r="O93" t="str">
        <f t="shared" si="12"/>
        <v/>
      </c>
      <c r="Q93">
        <f t="shared" si="13"/>
        <v>6499.0537999999997</v>
      </c>
      <c r="R93">
        <f t="shared" si="14"/>
        <v>3.6356000000523636E-2</v>
      </c>
      <c r="S93">
        <f t="shared" si="15"/>
        <v>1.4828999999963344E-2</v>
      </c>
      <c r="T93">
        <f t="shared" si="16"/>
        <v>-3.0733999999999997E-2</v>
      </c>
      <c r="Y93" t="s">
        <v>217</v>
      </c>
      <c r="Z93">
        <v>6499.0924000000005</v>
      </c>
      <c r="AA93">
        <v>-1349.79</v>
      </c>
      <c r="AB93">
        <v>2.0400000000000001E-2</v>
      </c>
    </row>
    <row r="94" spans="1:28" x14ac:dyDescent="0.2">
      <c r="A94" t="s">
        <v>218</v>
      </c>
      <c r="B94">
        <v>6999.1328400000002</v>
      </c>
      <c r="C94">
        <v>-1349.7785759999999</v>
      </c>
      <c r="D94">
        <v>4.6249999999999998E-3</v>
      </c>
      <c r="E94">
        <f t="shared" si="9"/>
        <v>92</v>
      </c>
      <c r="F94" t="str">
        <f t="shared" si="10"/>
        <v/>
      </c>
      <c r="J94" t="s">
        <v>218</v>
      </c>
      <c r="K94">
        <v>6999.0922</v>
      </c>
      <c r="L94">
        <v>-1349.7356</v>
      </c>
      <c r="M94">
        <v>5.6500000000000002E-2</v>
      </c>
      <c r="N94">
        <f t="shared" si="11"/>
        <v>92</v>
      </c>
      <c r="O94" t="str">
        <f t="shared" si="12"/>
        <v/>
      </c>
      <c r="Q94">
        <f t="shared" si="13"/>
        <v>6999.0922</v>
      </c>
      <c r="R94">
        <f t="shared" si="14"/>
        <v>4.0640000000166765E-2</v>
      </c>
      <c r="S94">
        <f t="shared" si="15"/>
        <v>-4.2975999999953274E-2</v>
      </c>
      <c r="T94">
        <f t="shared" si="16"/>
        <v>-5.1875000000000004E-2</v>
      </c>
      <c r="Y94" t="s">
        <v>218</v>
      </c>
      <c r="Z94">
        <v>6999.1350000000002</v>
      </c>
      <c r="AA94">
        <v>-1349.7791</v>
      </c>
      <c r="AB94">
        <v>3.5000000000000001E-3</v>
      </c>
    </row>
    <row r="95" spans="1:28" x14ac:dyDescent="0.2">
      <c r="A95" t="s">
        <v>219</v>
      </c>
      <c r="B95">
        <v>7499.1450530000002</v>
      </c>
      <c r="C95">
        <v>-1349.7598310000001</v>
      </c>
      <c r="D95">
        <v>6.0740000000000004E-3</v>
      </c>
      <c r="E95">
        <f t="shared" si="9"/>
        <v>93</v>
      </c>
      <c r="F95" t="str">
        <f t="shared" si="10"/>
        <v/>
      </c>
      <c r="J95" t="s">
        <v>219</v>
      </c>
      <c r="K95">
        <v>7499.1156000000001</v>
      </c>
      <c r="L95">
        <v>-1349.7389000000001</v>
      </c>
      <c r="M95">
        <v>6.2E-2</v>
      </c>
      <c r="N95">
        <f t="shared" si="11"/>
        <v>93</v>
      </c>
      <c r="O95" t="str">
        <f t="shared" si="12"/>
        <v/>
      </c>
      <c r="Q95">
        <f t="shared" si="13"/>
        <v>7499.1156000000001</v>
      </c>
      <c r="R95">
        <f t="shared" si="14"/>
        <v>2.9453000000103202E-2</v>
      </c>
      <c r="S95">
        <f t="shared" si="15"/>
        <v>-2.0931000000018685E-2</v>
      </c>
      <c r="T95">
        <f t="shared" si="16"/>
        <v>-5.5925999999999997E-2</v>
      </c>
      <c r="Y95" t="s">
        <v>219</v>
      </c>
      <c r="Z95">
        <v>7499.1464999999998</v>
      </c>
      <c r="AA95">
        <v>-1349.76</v>
      </c>
      <c r="AB95">
        <v>5.0000000000000001E-3</v>
      </c>
    </row>
    <row r="96" spans="1:28" x14ac:dyDescent="0.2">
      <c r="A96" t="s">
        <v>220</v>
      </c>
      <c r="B96">
        <v>7999.1537879999996</v>
      </c>
      <c r="C96">
        <v>-1349.7627649999999</v>
      </c>
      <c r="D96">
        <v>1.2824E-2</v>
      </c>
      <c r="E96">
        <f t="shared" si="9"/>
        <v>94</v>
      </c>
      <c r="F96" t="str">
        <f t="shared" si="10"/>
        <v/>
      </c>
      <c r="J96" t="s">
        <v>220</v>
      </c>
      <c r="K96">
        <v>7999.1310000000003</v>
      </c>
      <c r="L96">
        <v>-1349.7143000000001</v>
      </c>
      <c r="M96">
        <v>5.1200000000000002E-2</v>
      </c>
      <c r="N96">
        <f t="shared" si="11"/>
        <v>94</v>
      </c>
      <c r="O96" t="str">
        <f t="shared" si="12"/>
        <v/>
      </c>
      <c r="Q96">
        <f t="shared" si="13"/>
        <v>7999.1310000000003</v>
      </c>
      <c r="R96">
        <f t="shared" si="14"/>
        <v>2.278799999930925E-2</v>
      </c>
      <c r="S96">
        <f t="shared" si="15"/>
        <v>-4.8464999999850988E-2</v>
      </c>
      <c r="T96">
        <f t="shared" si="16"/>
        <v>-3.8376E-2</v>
      </c>
      <c r="Y96" t="s">
        <v>220</v>
      </c>
      <c r="Z96">
        <v>7999.1547</v>
      </c>
      <c r="AA96">
        <v>-1349.7634</v>
      </c>
      <c r="AB96">
        <v>1.21E-2</v>
      </c>
    </row>
    <row r="97" spans="1:28" x14ac:dyDescent="0.2">
      <c r="A97" t="s">
        <v>221</v>
      </c>
      <c r="B97">
        <v>8499.0851469999998</v>
      </c>
      <c r="C97">
        <v>-1349.769256</v>
      </c>
      <c r="D97">
        <v>1.162E-2</v>
      </c>
      <c r="E97">
        <f t="shared" si="9"/>
        <v>95</v>
      </c>
      <c r="F97" t="str">
        <f t="shared" si="10"/>
        <v/>
      </c>
      <c r="J97" t="s">
        <v>221</v>
      </c>
      <c r="K97">
        <v>8499.0635999999995</v>
      </c>
      <c r="L97">
        <v>-1349.7453</v>
      </c>
      <c r="M97">
        <v>2.2499999999999999E-2</v>
      </c>
      <c r="N97">
        <f t="shared" si="11"/>
        <v>95</v>
      </c>
      <c r="O97" t="str">
        <f t="shared" si="12"/>
        <v/>
      </c>
      <c r="Q97">
        <f t="shared" si="13"/>
        <v>8499.0635999999995</v>
      </c>
      <c r="R97">
        <f t="shared" si="14"/>
        <v>2.1547000000282424E-2</v>
      </c>
      <c r="S97">
        <f t="shared" si="15"/>
        <v>-2.3955999999998312E-2</v>
      </c>
      <c r="T97">
        <f t="shared" si="16"/>
        <v>-1.0879999999999999E-2</v>
      </c>
      <c r="Y97" t="s">
        <v>221</v>
      </c>
      <c r="Z97">
        <v>8499.0859999999993</v>
      </c>
      <c r="AA97">
        <v>-1349.7695000000001</v>
      </c>
      <c r="AB97">
        <v>1.14E-2</v>
      </c>
    </row>
    <row r="98" spans="1:28" x14ac:dyDescent="0.2">
      <c r="A98" t="s">
        <v>222</v>
      </c>
      <c r="B98">
        <v>8999.0931799999998</v>
      </c>
      <c r="C98">
        <v>-1349.7767369999999</v>
      </c>
      <c r="D98">
        <v>1.1379E-2</v>
      </c>
      <c r="E98">
        <f t="shared" si="9"/>
        <v>96</v>
      </c>
      <c r="F98" t="str">
        <f t="shared" si="10"/>
        <v/>
      </c>
      <c r="J98" t="s">
        <v>222</v>
      </c>
      <c r="K98">
        <v>8999.0895999999993</v>
      </c>
      <c r="L98">
        <v>-1349.7455</v>
      </c>
      <c r="M98">
        <v>7.7999999999999996E-3</v>
      </c>
      <c r="N98">
        <f t="shared" si="11"/>
        <v>96</v>
      </c>
      <c r="O98" t="str">
        <f t="shared" si="12"/>
        <v/>
      </c>
      <c r="Q98">
        <f t="shared" si="13"/>
        <v>8999.0895999999993</v>
      </c>
      <c r="R98">
        <f t="shared" si="14"/>
        <v>3.5800000005110633E-3</v>
      </c>
      <c r="S98">
        <f t="shared" si="15"/>
        <v>-3.1236999999919135E-2</v>
      </c>
      <c r="T98">
        <f t="shared" si="16"/>
        <v>3.5790000000000006E-3</v>
      </c>
      <c r="Y98" t="s">
        <v>222</v>
      </c>
      <c r="Z98">
        <v>8999.0931999999993</v>
      </c>
      <c r="AA98">
        <v>-1349.7773</v>
      </c>
      <c r="AB98">
        <v>1.15E-2</v>
      </c>
    </row>
    <row r="99" spans="1:28" x14ac:dyDescent="0.2">
      <c r="A99" t="s">
        <v>223</v>
      </c>
      <c r="B99">
        <v>9499.1028439999991</v>
      </c>
      <c r="C99">
        <v>-1349.7792400000001</v>
      </c>
      <c r="D99">
        <v>1.4348E-2</v>
      </c>
      <c r="E99">
        <f t="shared" si="9"/>
        <v>97</v>
      </c>
      <c r="F99" t="str">
        <f t="shared" si="10"/>
        <v/>
      </c>
      <c r="J99" t="s">
        <v>223</v>
      </c>
      <c r="K99">
        <v>9499.1152000000002</v>
      </c>
      <c r="L99">
        <v>-1349.7619</v>
      </c>
      <c r="M99">
        <v>2.1000000000000001E-2</v>
      </c>
      <c r="N99">
        <f t="shared" si="11"/>
        <v>97</v>
      </c>
      <c r="O99" t="str">
        <f t="shared" si="12"/>
        <v/>
      </c>
      <c r="Q99">
        <f t="shared" si="13"/>
        <v>9499.1152000000002</v>
      </c>
      <c r="R99">
        <f t="shared" si="14"/>
        <v>-1.2356000001091161E-2</v>
      </c>
      <c r="S99">
        <f t="shared" si="15"/>
        <v>-1.7340000000103828E-2</v>
      </c>
      <c r="T99">
        <f t="shared" si="16"/>
        <v>-6.6520000000000017E-3</v>
      </c>
      <c r="Y99" t="s">
        <v>223</v>
      </c>
      <c r="Z99">
        <v>9499.1021999999994</v>
      </c>
      <c r="AA99">
        <v>-1349.7796000000001</v>
      </c>
      <c r="AB99">
        <v>1.43E-2</v>
      </c>
    </row>
    <row r="100" spans="1:28" x14ac:dyDescent="0.2">
      <c r="A100" t="s">
        <v>224</v>
      </c>
      <c r="B100">
        <v>9999.1128019999996</v>
      </c>
      <c r="C100">
        <v>-1349.7938409999999</v>
      </c>
      <c r="D100">
        <v>2.3560000000000001E-2</v>
      </c>
      <c r="E100">
        <f t="shared" si="9"/>
        <v>98</v>
      </c>
      <c r="F100" t="str">
        <f t="shared" si="10"/>
        <v/>
      </c>
      <c r="J100" t="s">
        <v>224</v>
      </c>
      <c r="K100">
        <v>9999.1339000000007</v>
      </c>
      <c r="L100">
        <v>-1349.7483999999999</v>
      </c>
      <c r="M100">
        <v>4.3200000000000002E-2</v>
      </c>
      <c r="N100">
        <f t="shared" si="11"/>
        <v>98</v>
      </c>
      <c r="O100" t="str">
        <f t="shared" si="12"/>
        <v/>
      </c>
      <c r="Q100">
        <f t="shared" si="13"/>
        <v>9999.1339000000007</v>
      </c>
      <c r="R100">
        <f t="shared" si="14"/>
        <v>-2.1098000001074979E-2</v>
      </c>
      <c r="S100">
        <f t="shared" si="15"/>
        <v>-4.5440999999982523E-2</v>
      </c>
      <c r="T100">
        <f t="shared" si="16"/>
        <v>-1.9640000000000001E-2</v>
      </c>
      <c r="Y100" t="s">
        <v>224</v>
      </c>
      <c r="Z100">
        <v>9999.1113000000005</v>
      </c>
      <c r="AA100">
        <v>-1349.7950000000001</v>
      </c>
      <c r="AB100">
        <v>2.3199999999999998E-2</v>
      </c>
    </row>
    <row r="101" spans="1:28" x14ac:dyDescent="0.2">
      <c r="A101" t="s">
        <v>225</v>
      </c>
      <c r="B101">
        <v>10499.053449999999</v>
      </c>
      <c r="C101">
        <v>-1349.813625</v>
      </c>
      <c r="D101">
        <v>2.1298000000000001E-2</v>
      </c>
      <c r="E101">
        <f t="shared" si="9"/>
        <v>99</v>
      </c>
      <c r="F101" t="str">
        <f t="shared" si="10"/>
        <v/>
      </c>
      <c r="J101" t="s">
        <v>225</v>
      </c>
      <c r="K101">
        <v>10499.083699999999</v>
      </c>
      <c r="L101">
        <v>-1349.7899</v>
      </c>
      <c r="M101">
        <v>2.5100000000000001E-2</v>
      </c>
      <c r="N101">
        <f t="shared" si="11"/>
        <v>99</v>
      </c>
      <c r="O101" t="str">
        <f t="shared" si="12"/>
        <v/>
      </c>
      <c r="Q101">
        <f t="shared" si="13"/>
        <v>10499.083699999999</v>
      </c>
      <c r="R101">
        <f t="shared" si="14"/>
        <v>-3.0249999999796273E-2</v>
      </c>
      <c r="S101">
        <f t="shared" si="15"/>
        <v>-2.3725000000013097E-2</v>
      </c>
      <c r="T101">
        <f t="shared" si="16"/>
        <v>-3.8019999999999998E-3</v>
      </c>
      <c r="Y101" t="s">
        <v>225</v>
      </c>
      <c r="Z101">
        <v>10499.050999999999</v>
      </c>
      <c r="AA101">
        <v>-1349.8145</v>
      </c>
      <c r="AB101">
        <v>2.1399999999999999E-2</v>
      </c>
    </row>
    <row r="102" spans="1:28" x14ac:dyDescent="0.2">
      <c r="A102" t="s">
        <v>226</v>
      </c>
      <c r="B102">
        <v>10999.063133</v>
      </c>
      <c r="C102">
        <v>-1349.8384329999999</v>
      </c>
      <c r="D102">
        <v>1.2215E-2</v>
      </c>
      <c r="E102">
        <f t="shared" si="9"/>
        <v>100</v>
      </c>
      <c r="F102" t="str">
        <f t="shared" si="10"/>
        <v/>
      </c>
      <c r="J102" t="s">
        <v>226</v>
      </c>
      <c r="K102">
        <v>10999.105100000001</v>
      </c>
      <c r="L102">
        <v>-1349.7971</v>
      </c>
      <c r="M102">
        <v>2.9399999999999999E-2</v>
      </c>
      <c r="N102">
        <f t="shared" si="11"/>
        <v>100</v>
      </c>
      <c r="O102" t="str">
        <f t="shared" si="12"/>
        <v/>
      </c>
      <c r="Q102">
        <f t="shared" si="13"/>
        <v>10999.105100000001</v>
      </c>
      <c r="R102">
        <f t="shared" si="14"/>
        <v>-4.1967000001022825E-2</v>
      </c>
      <c r="S102">
        <f t="shared" si="15"/>
        <v>-4.1332999999895037E-2</v>
      </c>
      <c r="T102">
        <f t="shared" si="16"/>
        <v>-1.7184999999999999E-2</v>
      </c>
      <c r="Y102" t="s">
        <v>226</v>
      </c>
      <c r="Z102">
        <v>10999.058999999999</v>
      </c>
      <c r="AA102">
        <v>-1349.8403000000001</v>
      </c>
      <c r="AB102">
        <v>1.21E-2</v>
      </c>
    </row>
    <row r="103" spans="1:28" x14ac:dyDescent="0.2">
      <c r="A103" t="s">
        <v>227</v>
      </c>
      <c r="B103">
        <v>11499.080416999999</v>
      </c>
      <c r="C103">
        <v>-1349.858835</v>
      </c>
      <c r="D103">
        <v>2.2537999999999999E-2</v>
      </c>
      <c r="E103">
        <f t="shared" si="9"/>
        <v>101</v>
      </c>
      <c r="F103" t="str">
        <f t="shared" si="10"/>
        <v/>
      </c>
      <c r="J103" t="s">
        <v>227</v>
      </c>
      <c r="K103">
        <v>11499.1245</v>
      </c>
      <c r="L103">
        <v>-1349.8586</v>
      </c>
      <c r="M103">
        <v>2.23E-2</v>
      </c>
      <c r="N103">
        <f t="shared" si="11"/>
        <v>101</v>
      </c>
      <c r="O103" t="str">
        <f t="shared" si="12"/>
        <v/>
      </c>
      <c r="Q103">
        <f t="shared" si="13"/>
        <v>11499.1245</v>
      </c>
      <c r="R103">
        <f t="shared" si="14"/>
        <v>-4.4083000000682659E-2</v>
      </c>
      <c r="S103">
        <f t="shared" si="15"/>
        <v>-2.3499999997511622E-4</v>
      </c>
      <c r="T103">
        <f t="shared" si="16"/>
        <v>2.3799999999999863E-4</v>
      </c>
      <c r="Y103" t="s">
        <v>227</v>
      </c>
      <c r="Z103">
        <v>11499.075500000001</v>
      </c>
      <c r="AA103">
        <v>-1349.8595</v>
      </c>
      <c r="AB103">
        <v>2.3300000000000001E-2</v>
      </c>
    </row>
    <row r="104" spans="1:28" x14ac:dyDescent="0.2">
      <c r="A104" t="s">
        <v>228</v>
      </c>
      <c r="B104">
        <v>11999.105294999999</v>
      </c>
      <c r="C104">
        <v>-1349.8856290000001</v>
      </c>
      <c r="D104">
        <v>1.8707999999999999E-2</v>
      </c>
      <c r="E104">
        <f t="shared" si="9"/>
        <v>102</v>
      </c>
      <c r="F104" t="str">
        <f t="shared" si="10"/>
        <v/>
      </c>
      <c r="J104" t="s">
        <v>228</v>
      </c>
      <c r="K104">
        <v>11999.144200000001</v>
      </c>
      <c r="L104">
        <v>-1349.8634</v>
      </c>
      <c r="M104">
        <v>1.34E-2</v>
      </c>
      <c r="N104">
        <f t="shared" si="11"/>
        <v>102</v>
      </c>
      <c r="O104" t="str">
        <f t="shared" si="12"/>
        <v/>
      </c>
      <c r="Q104">
        <f t="shared" si="13"/>
        <v>11999.144200000001</v>
      </c>
      <c r="R104">
        <f t="shared" si="14"/>
        <v>-3.8905000001250301E-2</v>
      </c>
      <c r="S104">
        <f t="shared" si="15"/>
        <v>-2.2229000000152155E-2</v>
      </c>
      <c r="T104">
        <f t="shared" si="16"/>
        <v>5.3079999999999985E-3</v>
      </c>
      <c r="Y104" t="s">
        <v>228</v>
      </c>
      <c r="Z104">
        <v>11999.099700000001</v>
      </c>
      <c r="AA104">
        <v>-1349.8878</v>
      </c>
      <c r="AB104">
        <v>0.02</v>
      </c>
    </row>
    <row r="105" spans="1:28" x14ac:dyDescent="0.2">
      <c r="A105" t="s">
        <v>229</v>
      </c>
      <c r="B105">
        <v>12499.077835</v>
      </c>
      <c r="C105">
        <v>-1349.900251</v>
      </c>
      <c r="D105">
        <v>9.7400000000000004E-3</v>
      </c>
      <c r="E105">
        <f t="shared" si="9"/>
        <v>103</v>
      </c>
      <c r="F105" t="str">
        <f t="shared" si="10"/>
        <v/>
      </c>
      <c r="J105" t="s">
        <v>229</v>
      </c>
      <c r="K105">
        <v>12499.1167</v>
      </c>
      <c r="L105">
        <v>-1349.8897999999999</v>
      </c>
      <c r="M105">
        <v>-1.04E-2</v>
      </c>
      <c r="N105">
        <f t="shared" si="11"/>
        <v>103</v>
      </c>
      <c r="O105" t="str">
        <f t="shared" si="12"/>
        <v/>
      </c>
      <c r="Q105">
        <f t="shared" si="13"/>
        <v>12499.1167</v>
      </c>
      <c r="R105">
        <f t="shared" si="14"/>
        <v>-3.8865000000441796E-2</v>
      </c>
      <c r="S105">
        <f t="shared" si="15"/>
        <v>-1.0451000000102795E-2</v>
      </c>
      <c r="T105">
        <f t="shared" si="16"/>
        <v>2.0139999999999998E-2</v>
      </c>
      <c r="Y105" t="s">
        <v>229</v>
      </c>
      <c r="Z105">
        <v>12499.071099999999</v>
      </c>
      <c r="AA105">
        <v>-1349.9022</v>
      </c>
      <c r="AB105">
        <v>1.2500000000000001E-2</v>
      </c>
    </row>
    <row r="106" spans="1:28" x14ac:dyDescent="0.2">
      <c r="A106" t="s">
        <v>230</v>
      </c>
      <c r="B106">
        <v>12999.093756</v>
      </c>
      <c r="C106">
        <v>-1349.9205890000001</v>
      </c>
      <c r="D106">
        <v>3.5200000000000001E-3</v>
      </c>
      <c r="E106">
        <f t="shared" si="9"/>
        <v>104</v>
      </c>
      <c r="F106" t="str">
        <f t="shared" si="10"/>
        <v/>
      </c>
      <c r="J106" t="s">
        <v>230</v>
      </c>
      <c r="K106">
        <v>12999.123</v>
      </c>
      <c r="L106">
        <v>-1349.8692000000001</v>
      </c>
      <c r="M106">
        <v>-2.9600000000000001E-2</v>
      </c>
      <c r="N106">
        <f t="shared" si="11"/>
        <v>104</v>
      </c>
      <c r="O106" t="str">
        <f t="shared" si="12"/>
        <v/>
      </c>
      <c r="Q106">
        <f t="shared" si="13"/>
        <v>12999.123</v>
      </c>
      <c r="R106">
        <f t="shared" si="14"/>
        <v>-2.9243999999380321E-2</v>
      </c>
      <c r="S106">
        <f t="shared" si="15"/>
        <v>-5.1388999999971929E-2</v>
      </c>
      <c r="T106">
        <f t="shared" si="16"/>
        <v>3.3120000000000004E-2</v>
      </c>
      <c r="Y106" t="s">
        <v>230</v>
      </c>
      <c r="Z106">
        <v>12999.086300000001</v>
      </c>
      <c r="AA106">
        <v>-1349.9265</v>
      </c>
      <c r="AB106">
        <v>7.9000000000000008E-3</v>
      </c>
    </row>
    <row r="107" spans="1:28" x14ac:dyDescent="0.2">
      <c r="A107" t="s">
        <v>231</v>
      </c>
      <c r="B107">
        <v>13499.103528</v>
      </c>
      <c r="C107">
        <v>-1349.950736</v>
      </c>
      <c r="D107">
        <v>6.8529999999999997E-3</v>
      </c>
      <c r="E107">
        <f t="shared" si="9"/>
        <v>105</v>
      </c>
      <c r="F107" t="str">
        <f t="shared" si="10"/>
        <v/>
      </c>
      <c r="J107" t="s">
        <v>231</v>
      </c>
      <c r="K107">
        <v>13499.144399999999</v>
      </c>
      <c r="L107">
        <v>-1349.9215999999999</v>
      </c>
      <c r="M107">
        <v>-8.3999999999999995E-3</v>
      </c>
      <c r="N107">
        <f t="shared" si="11"/>
        <v>105</v>
      </c>
      <c r="O107" t="str">
        <f t="shared" si="12"/>
        <v/>
      </c>
      <c r="Q107">
        <f t="shared" si="13"/>
        <v>13499.144399999999</v>
      </c>
      <c r="R107">
        <f t="shared" si="14"/>
        <v>-4.0871999999581021E-2</v>
      </c>
      <c r="S107">
        <f t="shared" si="15"/>
        <v>-2.9136000000107742E-2</v>
      </c>
      <c r="T107">
        <f t="shared" si="16"/>
        <v>1.5252999999999999E-2</v>
      </c>
      <c r="Y107" t="s">
        <v>231</v>
      </c>
      <c r="Z107">
        <v>13499.0934</v>
      </c>
      <c r="AA107">
        <v>-1349.9562000000001</v>
      </c>
      <c r="AB107">
        <v>1.0999999999999999E-2</v>
      </c>
    </row>
    <row r="108" spans="1:28" x14ac:dyDescent="0.2">
      <c r="A108" t="s">
        <v>232</v>
      </c>
      <c r="B108">
        <v>13999.126904999999</v>
      </c>
      <c r="C108">
        <v>-1349.9715859999999</v>
      </c>
      <c r="D108">
        <v>5.3E-3</v>
      </c>
      <c r="E108">
        <f t="shared" si="9"/>
        <v>106</v>
      </c>
      <c r="F108" t="str">
        <f t="shared" si="10"/>
        <v/>
      </c>
      <c r="J108" t="s">
        <v>232</v>
      </c>
      <c r="K108">
        <v>13999.1643</v>
      </c>
      <c r="L108">
        <v>-1349.9503</v>
      </c>
      <c r="M108">
        <v>-2.64E-2</v>
      </c>
      <c r="N108">
        <f t="shared" si="11"/>
        <v>106</v>
      </c>
      <c r="O108" t="str">
        <f t="shared" si="12"/>
        <v/>
      </c>
      <c r="Q108">
        <f t="shared" si="13"/>
        <v>13999.1643</v>
      </c>
      <c r="R108">
        <f t="shared" si="14"/>
        <v>-3.7395000001197332E-2</v>
      </c>
      <c r="S108">
        <f t="shared" si="15"/>
        <v>-2.1285999999918204E-2</v>
      </c>
      <c r="T108">
        <f t="shared" si="16"/>
        <v>3.1699999999999999E-2</v>
      </c>
      <c r="Y108" t="s">
        <v>232</v>
      </c>
      <c r="Z108">
        <v>13999.1155</v>
      </c>
      <c r="AA108">
        <v>-1349.9771000000001</v>
      </c>
      <c r="AB108">
        <v>1.2500000000000001E-2</v>
      </c>
    </row>
    <row r="109" spans="1:28" x14ac:dyDescent="0.2">
      <c r="A109" t="s">
        <v>233</v>
      </c>
      <c r="B109">
        <v>14499.108271999999</v>
      </c>
      <c r="C109">
        <v>-1350.001835</v>
      </c>
      <c r="D109">
        <v>1.0632000000000001E-2</v>
      </c>
      <c r="E109">
        <f t="shared" si="9"/>
        <v>107</v>
      </c>
      <c r="F109" t="str">
        <f t="shared" si="10"/>
        <v/>
      </c>
      <c r="J109" t="s">
        <v>233</v>
      </c>
      <c r="K109">
        <v>14499.145200000001</v>
      </c>
      <c r="L109">
        <v>-1349.9847</v>
      </c>
      <c r="M109">
        <v>-1.17E-2</v>
      </c>
      <c r="N109">
        <f t="shared" si="11"/>
        <v>107</v>
      </c>
      <c r="O109" t="str">
        <f t="shared" si="12"/>
        <v/>
      </c>
      <c r="Q109">
        <f t="shared" si="13"/>
        <v>14499.145200000001</v>
      </c>
      <c r="R109">
        <f t="shared" si="14"/>
        <v>-3.6928000001353212E-2</v>
      </c>
      <c r="S109">
        <f t="shared" si="15"/>
        <v>-1.7135000000052969E-2</v>
      </c>
      <c r="T109">
        <f t="shared" si="16"/>
        <v>2.2332000000000001E-2</v>
      </c>
      <c r="Y109" t="s">
        <v>233</v>
      </c>
      <c r="Z109">
        <v>14499.095799999999</v>
      </c>
      <c r="AA109">
        <v>-1350.0078000000001</v>
      </c>
      <c r="AB109">
        <v>1.7899999999999999E-2</v>
      </c>
    </row>
    <row r="110" spans="1:28" x14ac:dyDescent="0.2">
      <c r="A110" t="s">
        <v>234</v>
      </c>
      <c r="B110">
        <v>14999.122234</v>
      </c>
      <c r="C110">
        <v>-1350.0150080000001</v>
      </c>
      <c r="D110">
        <v>6.4009999999999996E-3</v>
      </c>
      <c r="E110">
        <f t="shared" si="9"/>
        <v>108</v>
      </c>
      <c r="F110" t="str">
        <f t="shared" si="10"/>
        <v/>
      </c>
      <c r="J110" t="s">
        <v>234</v>
      </c>
      <c r="K110">
        <v>14999.1474</v>
      </c>
      <c r="L110">
        <v>-1349.9853000000001</v>
      </c>
      <c r="M110">
        <v>-1.41E-2</v>
      </c>
      <c r="N110">
        <f t="shared" si="11"/>
        <v>108</v>
      </c>
      <c r="O110" t="str">
        <f t="shared" si="12"/>
        <v/>
      </c>
      <c r="Q110">
        <f t="shared" si="13"/>
        <v>14999.1474</v>
      </c>
      <c r="R110">
        <f t="shared" si="14"/>
        <v>-2.5165999999444466E-2</v>
      </c>
      <c r="S110">
        <f t="shared" si="15"/>
        <v>-2.9708000000027823E-2</v>
      </c>
      <c r="T110">
        <f t="shared" si="16"/>
        <v>2.0500999999999998E-2</v>
      </c>
      <c r="Y110" t="s">
        <v>234</v>
      </c>
      <c r="Z110">
        <v>14999.1111</v>
      </c>
      <c r="AA110">
        <v>-1350.0238999999999</v>
      </c>
      <c r="AB110">
        <v>1.37E-2</v>
      </c>
    </row>
    <row r="111" spans="1:28" x14ac:dyDescent="0.2">
      <c r="A111" t="s">
        <v>235</v>
      </c>
      <c r="B111">
        <v>15499.132911000001</v>
      </c>
      <c r="C111">
        <v>-1350.0441310000001</v>
      </c>
      <c r="D111">
        <v>-6.9280000000000001E-3</v>
      </c>
      <c r="E111">
        <f t="shared" si="9"/>
        <v>109</v>
      </c>
      <c r="F111" t="str">
        <f t="shared" si="10"/>
        <v/>
      </c>
      <c r="J111" t="s">
        <v>235</v>
      </c>
      <c r="K111">
        <v>15499.161899999999</v>
      </c>
      <c r="L111">
        <v>-1350.0214000000001</v>
      </c>
      <c r="M111">
        <v>-2.2800000000000001E-2</v>
      </c>
      <c r="N111">
        <f t="shared" si="11"/>
        <v>109</v>
      </c>
      <c r="O111" t="str">
        <f t="shared" si="12"/>
        <v/>
      </c>
      <c r="Q111">
        <f t="shared" si="13"/>
        <v>15499.161899999999</v>
      </c>
      <c r="R111">
        <f t="shared" si="14"/>
        <v>-2.8988999998546205E-2</v>
      </c>
      <c r="S111">
        <f t="shared" si="15"/>
        <v>-2.2731000000021595E-2</v>
      </c>
      <c r="T111">
        <f t="shared" si="16"/>
        <v>1.5872000000000001E-2</v>
      </c>
      <c r="Y111" t="s">
        <v>235</v>
      </c>
      <c r="Z111">
        <v>15499.1193</v>
      </c>
      <c r="AA111">
        <v>-1350.0536</v>
      </c>
      <c r="AB111">
        <v>1.2999999999999999E-3</v>
      </c>
    </row>
    <row r="112" spans="1:28" x14ac:dyDescent="0.2">
      <c r="A112" t="s">
        <v>236</v>
      </c>
      <c r="B112">
        <v>15999.134823</v>
      </c>
      <c r="C112">
        <v>-1350.086084</v>
      </c>
      <c r="D112">
        <v>-1.9574999999999999E-2</v>
      </c>
      <c r="E112">
        <f t="shared" si="9"/>
        <v>110</v>
      </c>
      <c r="F112" t="str">
        <f t="shared" si="10"/>
        <v/>
      </c>
      <c r="J112" t="s">
        <v>236</v>
      </c>
      <c r="K112">
        <v>15999.159</v>
      </c>
      <c r="L112">
        <v>-1350.0735999999999</v>
      </c>
      <c r="M112">
        <v>-3.9E-2</v>
      </c>
      <c r="N112">
        <f t="shared" si="11"/>
        <v>110</v>
      </c>
      <c r="O112" t="str">
        <f t="shared" si="12"/>
        <v/>
      </c>
      <c r="Q112">
        <f t="shared" si="13"/>
        <v>15999.159</v>
      </c>
      <c r="R112">
        <f t="shared" si="14"/>
        <v>-2.4176999999326654E-2</v>
      </c>
      <c r="S112">
        <f t="shared" si="15"/>
        <v>-1.2484000000085871E-2</v>
      </c>
      <c r="T112">
        <f t="shared" si="16"/>
        <v>1.9425000000000001E-2</v>
      </c>
      <c r="Y112" t="s">
        <v>236</v>
      </c>
      <c r="Z112">
        <v>15999.1217</v>
      </c>
      <c r="AA112">
        <v>-1350.0935999999999</v>
      </c>
      <c r="AB112">
        <v>-9.4999999999999998E-3</v>
      </c>
    </row>
    <row r="113" spans="1:28" x14ac:dyDescent="0.2">
      <c r="A113" t="s">
        <v>237</v>
      </c>
      <c r="B113">
        <v>16499.143709</v>
      </c>
      <c r="C113">
        <v>-1350.097291</v>
      </c>
      <c r="D113">
        <v>-1.5185000000000001E-2</v>
      </c>
      <c r="E113">
        <f t="shared" si="9"/>
        <v>111</v>
      </c>
      <c r="F113" t="str">
        <f t="shared" si="10"/>
        <v/>
      </c>
      <c r="J113" t="s">
        <v>237</v>
      </c>
      <c r="K113">
        <v>16499.157299999999</v>
      </c>
      <c r="L113">
        <v>-1350.0553</v>
      </c>
      <c r="M113">
        <v>-3.6999999999999998E-2</v>
      </c>
      <c r="N113">
        <f t="shared" si="11"/>
        <v>111</v>
      </c>
      <c r="O113" t="str">
        <f t="shared" si="12"/>
        <v/>
      </c>
      <c r="Q113">
        <f t="shared" si="13"/>
        <v>16499.157299999999</v>
      </c>
      <c r="R113">
        <f t="shared" si="14"/>
        <v>-1.3590999998996267E-2</v>
      </c>
      <c r="S113">
        <f t="shared" si="15"/>
        <v>-4.1991000000052736E-2</v>
      </c>
      <c r="T113">
        <f t="shared" si="16"/>
        <v>2.1814999999999998E-2</v>
      </c>
      <c r="Y113" t="s">
        <v>237</v>
      </c>
      <c r="Z113">
        <v>16499.1312</v>
      </c>
      <c r="AA113">
        <v>-1350.116</v>
      </c>
      <c r="AB113">
        <v>-3.7000000000000002E-3</v>
      </c>
    </row>
    <row r="114" spans="1:28" x14ac:dyDescent="0.2">
      <c r="A114" t="s">
        <v>238</v>
      </c>
      <c r="B114">
        <v>16999.178705999999</v>
      </c>
      <c r="C114">
        <v>-1350.0948020000001</v>
      </c>
      <c r="D114">
        <v>3.578E-3</v>
      </c>
      <c r="E114">
        <f t="shared" si="9"/>
        <v>112</v>
      </c>
      <c r="F114" t="str">
        <f t="shared" si="10"/>
        <v/>
      </c>
      <c r="J114" t="s">
        <v>238</v>
      </c>
      <c r="K114">
        <v>16999.1983</v>
      </c>
      <c r="L114">
        <v>-1350.0713000000001</v>
      </c>
      <c r="M114">
        <v>-2.5999999999999999E-2</v>
      </c>
      <c r="N114">
        <f t="shared" si="11"/>
        <v>112</v>
      </c>
      <c r="O114" t="str">
        <f t="shared" si="12"/>
        <v/>
      </c>
      <c r="Q114">
        <f t="shared" si="13"/>
        <v>16999.1983</v>
      </c>
      <c r="R114">
        <f t="shared" si="14"/>
        <v>-1.9594000001234235E-2</v>
      </c>
      <c r="S114">
        <f t="shared" si="15"/>
        <v>-2.3502000000007683E-2</v>
      </c>
      <c r="T114">
        <f t="shared" si="16"/>
        <v>2.9578E-2</v>
      </c>
      <c r="Y114" t="s">
        <v>238</v>
      </c>
      <c r="Z114">
        <v>16999.161700000001</v>
      </c>
      <c r="AA114">
        <v>-1350.1101000000001</v>
      </c>
      <c r="AB114">
        <v>2.1899999999999999E-2</v>
      </c>
    </row>
    <row r="115" spans="1:28" x14ac:dyDescent="0.2">
      <c r="A115" t="s">
        <v>239</v>
      </c>
      <c r="B115">
        <v>17499.209648</v>
      </c>
      <c r="C115">
        <v>-1350.108837</v>
      </c>
      <c r="D115">
        <v>9.5029999999999993E-3</v>
      </c>
      <c r="E115">
        <f t="shared" si="9"/>
        <v>113</v>
      </c>
      <c r="F115" t="str">
        <f t="shared" si="10"/>
        <v/>
      </c>
      <c r="J115" t="s">
        <v>239</v>
      </c>
      <c r="K115">
        <v>17499.224200000001</v>
      </c>
      <c r="L115">
        <v>-1350.0831000000001</v>
      </c>
      <c r="M115">
        <v>-2.0299999999999999E-2</v>
      </c>
      <c r="N115">
        <f t="shared" si="11"/>
        <v>113</v>
      </c>
      <c r="O115" t="str">
        <f t="shared" si="12"/>
        <v/>
      </c>
      <c r="Q115">
        <f t="shared" si="13"/>
        <v>17499.224200000001</v>
      </c>
      <c r="R115">
        <f t="shared" si="14"/>
        <v>-1.4552000000549015E-2</v>
      </c>
      <c r="S115">
        <f t="shared" si="15"/>
        <v>-2.5736999999935506E-2</v>
      </c>
      <c r="T115">
        <f t="shared" si="16"/>
        <v>2.9802999999999996E-2</v>
      </c>
      <c r="Y115" t="s">
        <v>239</v>
      </c>
      <c r="Z115">
        <v>17499.1931</v>
      </c>
      <c r="AA115">
        <v>-1350.1271999999999</v>
      </c>
      <c r="AB115">
        <v>3.0300000000000001E-2</v>
      </c>
    </row>
    <row r="116" spans="1:28" x14ac:dyDescent="0.2">
      <c r="A116" t="s">
        <v>240</v>
      </c>
      <c r="B116">
        <v>17999.248439999999</v>
      </c>
      <c r="C116">
        <v>-1350.1067370000001</v>
      </c>
      <c r="D116">
        <v>-1.0149E-2</v>
      </c>
      <c r="E116">
        <f t="shared" si="9"/>
        <v>114</v>
      </c>
      <c r="F116" t="str">
        <f t="shared" si="10"/>
        <v/>
      </c>
      <c r="J116" t="s">
        <v>240</v>
      </c>
      <c r="K116">
        <v>17999.2559</v>
      </c>
      <c r="L116">
        <v>-1350.0744999999999</v>
      </c>
      <c r="M116">
        <v>-0.03</v>
      </c>
      <c r="N116">
        <f t="shared" si="11"/>
        <v>114</v>
      </c>
      <c r="O116" t="str">
        <f t="shared" si="12"/>
        <v/>
      </c>
      <c r="Q116">
        <f t="shared" si="13"/>
        <v>17999.2559</v>
      </c>
      <c r="R116">
        <f t="shared" si="14"/>
        <v>-7.4600000007194467E-3</v>
      </c>
      <c r="S116">
        <f t="shared" si="15"/>
        <v>-3.2237000000122862E-2</v>
      </c>
      <c r="T116">
        <f t="shared" si="16"/>
        <v>1.9851000000000001E-2</v>
      </c>
      <c r="Y116" t="s">
        <v>240</v>
      </c>
      <c r="Z116">
        <v>17999.2353</v>
      </c>
      <c r="AA116">
        <v>-1350.1306999999999</v>
      </c>
      <c r="AB116">
        <v>6.3E-3</v>
      </c>
    </row>
    <row r="117" spans="1:28" x14ac:dyDescent="0.2">
      <c r="A117" t="s">
        <v>241</v>
      </c>
      <c r="B117">
        <v>18499.229386999999</v>
      </c>
      <c r="C117">
        <v>-1350.1183860000001</v>
      </c>
      <c r="D117">
        <v>-2.2995999999999999E-2</v>
      </c>
      <c r="E117">
        <f t="shared" si="9"/>
        <v>115</v>
      </c>
      <c r="F117" t="str">
        <f t="shared" si="10"/>
        <v/>
      </c>
      <c r="J117" t="s">
        <v>241</v>
      </c>
      <c r="K117">
        <v>18499.2438</v>
      </c>
      <c r="L117">
        <v>-1350.0953999999999</v>
      </c>
      <c r="M117">
        <v>-4.07E-2</v>
      </c>
      <c r="N117">
        <f t="shared" si="11"/>
        <v>115</v>
      </c>
      <c r="O117" t="str">
        <f t="shared" si="12"/>
        <v/>
      </c>
      <c r="Q117">
        <f t="shared" si="13"/>
        <v>18499.2438</v>
      </c>
      <c r="R117">
        <f t="shared" si="14"/>
        <v>-1.4413000000786269E-2</v>
      </c>
      <c r="S117">
        <f t="shared" si="15"/>
        <v>-2.298600000017359E-2</v>
      </c>
      <c r="T117">
        <f t="shared" si="16"/>
        <v>1.7704000000000001E-2</v>
      </c>
      <c r="Y117" t="s">
        <v>241</v>
      </c>
      <c r="Z117">
        <v>18499.2101</v>
      </c>
      <c r="AA117">
        <v>-1350.1420000000001</v>
      </c>
      <c r="AB117">
        <v>-2.8999999999999998E-3</v>
      </c>
    </row>
    <row r="118" spans="1:28" x14ac:dyDescent="0.2">
      <c r="A118" t="s">
        <v>242</v>
      </c>
      <c r="B118">
        <v>18999.236473000001</v>
      </c>
      <c r="C118">
        <v>-1350.1096669999999</v>
      </c>
      <c r="D118">
        <v>-2.4308E-2</v>
      </c>
      <c r="E118">
        <f t="shared" si="9"/>
        <v>116</v>
      </c>
      <c r="F118" t="str">
        <f t="shared" si="10"/>
        <v/>
      </c>
      <c r="J118" t="s">
        <v>242</v>
      </c>
      <c r="K118">
        <v>18999.252400000001</v>
      </c>
      <c r="L118">
        <v>-1350.068</v>
      </c>
      <c r="M118">
        <v>-4.7199999999999999E-2</v>
      </c>
      <c r="N118">
        <f t="shared" si="11"/>
        <v>116</v>
      </c>
      <c r="O118" t="str">
        <f t="shared" si="12"/>
        <v/>
      </c>
      <c r="Q118">
        <f t="shared" si="13"/>
        <v>18999.252400000001</v>
      </c>
      <c r="R118">
        <f t="shared" si="14"/>
        <v>-1.5927000000374392E-2</v>
      </c>
      <c r="S118">
        <f t="shared" si="15"/>
        <v>-4.1666999999961263E-2</v>
      </c>
      <c r="T118">
        <f t="shared" si="16"/>
        <v>2.2891999999999999E-2</v>
      </c>
      <c r="Y118" t="s">
        <v>242</v>
      </c>
      <c r="Z118">
        <v>18999.208299999998</v>
      </c>
      <c r="AA118">
        <v>-1350.1563000000001</v>
      </c>
      <c r="AB118">
        <v>6.1999999999999998E-3</v>
      </c>
    </row>
    <row r="119" spans="1:28" x14ac:dyDescent="0.2">
      <c r="A119" t="s">
        <v>243</v>
      </c>
      <c r="B119">
        <v>19499.270887999999</v>
      </c>
      <c r="C119">
        <v>-1350.1166470000001</v>
      </c>
      <c r="D119">
        <v>-3.4703999999999999E-2</v>
      </c>
      <c r="E119">
        <f t="shared" si="9"/>
        <v>117</v>
      </c>
      <c r="F119" t="str">
        <f t="shared" si="10"/>
        <v/>
      </c>
      <c r="J119" t="s">
        <v>243</v>
      </c>
      <c r="K119">
        <v>19499.283899999999</v>
      </c>
      <c r="L119">
        <v>-1350.0877</v>
      </c>
      <c r="M119">
        <v>-4.8899999999999999E-2</v>
      </c>
      <c r="N119">
        <f t="shared" si="11"/>
        <v>117</v>
      </c>
      <c r="O119" t="str">
        <f t="shared" si="12"/>
        <v/>
      </c>
      <c r="Q119">
        <f t="shared" si="13"/>
        <v>19499.283899999999</v>
      </c>
      <c r="R119">
        <f t="shared" si="14"/>
        <v>-1.301199999943492E-2</v>
      </c>
      <c r="S119">
        <f t="shared" si="15"/>
        <v>-2.8947000000016487E-2</v>
      </c>
      <c r="T119">
        <f t="shared" si="16"/>
        <v>1.4196E-2</v>
      </c>
      <c r="Y119" t="s">
        <v>243</v>
      </c>
      <c r="Z119">
        <v>19499.246500000001</v>
      </c>
      <c r="AA119">
        <v>-1350.1560999999999</v>
      </c>
      <c r="AB119">
        <v>-1.03E-2</v>
      </c>
    </row>
    <row r="120" spans="1:28" x14ac:dyDescent="0.2">
      <c r="A120" t="s">
        <v>244</v>
      </c>
      <c r="B120">
        <v>19999.28385</v>
      </c>
      <c r="C120">
        <v>-1350.1239559999999</v>
      </c>
      <c r="D120">
        <v>-3.0030000000000001E-2</v>
      </c>
      <c r="E120">
        <f t="shared" si="9"/>
        <v>118</v>
      </c>
      <c r="F120" t="str">
        <f t="shared" si="10"/>
        <v/>
      </c>
      <c r="J120" t="s">
        <v>244</v>
      </c>
      <c r="K120">
        <v>19999.299500000001</v>
      </c>
      <c r="L120">
        <v>-1350.1085</v>
      </c>
      <c r="M120">
        <v>-0.04</v>
      </c>
      <c r="N120">
        <f t="shared" si="11"/>
        <v>118</v>
      </c>
      <c r="O120" t="str">
        <f t="shared" si="12"/>
        <v/>
      </c>
      <c r="Q120">
        <f t="shared" si="13"/>
        <v>19999.299500000001</v>
      </c>
      <c r="R120">
        <f t="shared" si="14"/>
        <v>-1.5650000001187436E-2</v>
      </c>
      <c r="S120">
        <f t="shared" si="15"/>
        <v>-1.545599999985825E-2</v>
      </c>
      <c r="T120">
        <f t="shared" si="16"/>
        <v>9.9699999999999997E-3</v>
      </c>
      <c r="Y120" t="s">
        <v>244</v>
      </c>
      <c r="Z120">
        <v>19999.2572</v>
      </c>
      <c r="AA120">
        <v>-1350.1538</v>
      </c>
      <c r="AB120">
        <v>-6.4000000000000003E-3</v>
      </c>
    </row>
    <row r="121" spans="1:28" x14ac:dyDescent="0.2">
      <c r="A121" t="s">
        <v>245</v>
      </c>
      <c r="B121">
        <v>20499.272185999998</v>
      </c>
      <c r="C121">
        <v>-1350.1347060000001</v>
      </c>
      <c r="D121">
        <v>-3.1306E-2</v>
      </c>
      <c r="E121">
        <f t="shared" si="9"/>
        <v>119</v>
      </c>
      <c r="F121" t="str">
        <f t="shared" si="10"/>
        <v/>
      </c>
      <c r="J121" t="s">
        <v>245</v>
      </c>
      <c r="K121">
        <v>20499.290199999999</v>
      </c>
      <c r="L121">
        <v>-1350.1215</v>
      </c>
      <c r="M121">
        <v>-3.8699999999999998E-2</v>
      </c>
      <c r="N121">
        <f t="shared" si="11"/>
        <v>119</v>
      </c>
      <c r="O121" t="str">
        <f t="shared" si="12"/>
        <v/>
      </c>
      <c r="Q121">
        <f t="shared" si="13"/>
        <v>20499.290199999999</v>
      </c>
      <c r="R121">
        <f t="shared" si="14"/>
        <v>-1.8014000001130626E-2</v>
      </c>
      <c r="S121">
        <f t="shared" si="15"/>
        <v>-1.3206000000081985E-2</v>
      </c>
      <c r="T121">
        <f t="shared" si="16"/>
        <v>7.3939999999999978E-3</v>
      </c>
      <c r="Y121" t="s">
        <v>245</v>
      </c>
      <c r="Z121">
        <v>20499.239799999999</v>
      </c>
      <c r="AA121">
        <v>-1350.1678999999999</v>
      </c>
      <c r="AB121">
        <v>-5.8999999999999999E-3</v>
      </c>
    </row>
    <row r="122" spans="1:28" x14ac:dyDescent="0.2">
      <c r="A122" t="s">
        <v>246</v>
      </c>
      <c r="B122">
        <v>20999.288494</v>
      </c>
      <c r="C122">
        <v>-1350.130617</v>
      </c>
      <c r="D122">
        <v>-3.9724000000000002E-2</v>
      </c>
      <c r="E122">
        <f t="shared" si="9"/>
        <v>120</v>
      </c>
      <c r="F122" t="str">
        <f t="shared" si="10"/>
        <v/>
      </c>
      <c r="J122" t="s">
        <v>246</v>
      </c>
      <c r="K122">
        <v>20999.300899999998</v>
      </c>
      <c r="L122">
        <v>-1350.1255000000001</v>
      </c>
      <c r="M122">
        <v>-5.0700000000000002E-2</v>
      </c>
      <c r="N122">
        <f t="shared" si="11"/>
        <v>120</v>
      </c>
      <c r="O122" t="str">
        <f t="shared" si="12"/>
        <v/>
      </c>
      <c r="Q122">
        <f t="shared" si="13"/>
        <v>20999.300899999998</v>
      </c>
      <c r="R122">
        <f t="shared" si="14"/>
        <v>-1.2405999998009065E-2</v>
      </c>
      <c r="S122">
        <f t="shared" si="15"/>
        <v>-5.1169999999274296E-3</v>
      </c>
      <c r="T122">
        <f t="shared" si="16"/>
        <v>1.0976E-2</v>
      </c>
      <c r="Y122" t="s">
        <v>246</v>
      </c>
      <c r="Z122">
        <v>20999.262200000001</v>
      </c>
      <c r="AA122">
        <v>-1350.1507999999999</v>
      </c>
      <c r="AB122">
        <v>-8.5000000000000006E-3</v>
      </c>
    </row>
    <row r="123" spans="1:28" x14ac:dyDescent="0.2">
      <c r="A123" t="s">
        <v>247</v>
      </c>
      <c r="B123">
        <v>21499.281374999999</v>
      </c>
      <c r="C123">
        <v>-1350.1463940000001</v>
      </c>
      <c r="D123">
        <v>-5.0603000000000002E-2</v>
      </c>
      <c r="E123">
        <f t="shared" si="9"/>
        <v>121</v>
      </c>
      <c r="F123" t="str">
        <f t="shared" si="10"/>
        <v/>
      </c>
      <c r="J123" t="s">
        <v>247</v>
      </c>
      <c r="K123">
        <v>21499.297299999998</v>
      </c>
      <c r="L123">
        <v>-1350.1247000000001</v>
      </c>
      <c r="M123">
        <v>-5.3600000000000002E-2</v>
      </c>
      <c r="N123">
        <f t="shared" si="11"/>
        <v>121</v>
      </c>
      <c r="O123" t="str">
        <f t="shared" si="12"/>
        <v/>
      </c>
      <c r="Q123">
        <f t="shared" si="13"/>
        <v>21499.297299999998</v>
      </c>
      <c r="R123">
        <f t="shared" si="14"/>
        <v>-1.592499999969732E-2</v>
      </c>
      <c r="S123">
        <f t="shared" si="15"/>
        <v>-2.1694000000024971E-2</v>
      </c>
      <c r="T123">
        <f t="shared" si="16"/>
        <v>2.9969999999999997E-3</v>
      </c>
      <c r="Y123" t="s">
        <v>247</v>
      </c>
      <c r="Z123">
        <v>21499.241399999999</v>
      </c>
      <c r="AA123">
        <v>-1350.2102</v>
      </c>
      <c r="AB123">
        <v>-2.5499999999999998E-2</v>
      </c>
    </row>
    <row r="124" spans="1:28" x14ac:dyDescent="0.2">
      <c r="A124" t="s">
        <v>248</v>
      </c>
      <c r="B124">
        <v>21999.275977000001</v>
      </c>
      <c r="C124">
        <v>-1350.1402109999999</v>
      </c>
      <c r="D124">
        <v>-5.4844999999999998E-2</v>
      </c>
      <c r="E124">
        <f t="shared" si="9"/>
        <v>122</v>
      </c>
      <c r="F124" t="str">
        <f t="shared" si="10"/>
        <v/>
      </c>
      <c r="J124" t="s">
        <v>248</v>
      </c>
      <c r="K124">
        <v>21999.286100000001</v>
      </c>
      <c r="L124">
        <v>-1350.1249</v>
      </c>
      <c r="M124">
        <v>-6.0600000000000001E-2</v>
      </c>
      <c r="N124">
        <f t="shared" si="11"/>
        <v>122</v>
      </c>
      <c r="O124" t="str">
        <f t="shared" si="12"/>
        <v/>
      </c>
      <c r="Q124">
        <f t="shared" si="13"/>
        <v>21999.286100000001</v>
      </c>
      <c r="R124">
        <f t="shared" si="14"/>
        <v>-1.012300000002142E-2</v>
      </c>
      <c r="S124">
        <f t="shared" si="15"/>
        <v>-1.5310999999883279E-2</v>
      </c>
      <c r="T124">
        <f t="shared" si="16"/>
        <v>5.7550000000000032E-3</v>
      </c>
      <c r="Y124" t="s">
        <v>248</v>
      </c>
      <c r="Z124">
        <v>21999.244200000001</v>
      </c>
      <c r="AA124">
        <v>-1350.1934000000001</v>
      </c>
      <c r="AB124">
        <v>-2.53E-2</v>
      </c>
    </row>
    <row r="125" spans="1:28" x14ac:dyDescent="0.2">
      <c r="A125" t="s">
        <v>249</v>
      </c>
      <c r="B125">
        <v>22499.247931000002</v>
      </c>
      <c r="C125">
        <v>-1350.1426799999999</v>
      </c>
      <c r="D125">
        <v>-5.6401E-2</v>
      </c>
      <c r="E125">
        <f t="shared" si="9"/>
        <v>123</v>
      </c>
      <c r="F125" t="str">
        <f t="shared" si="10"/>
        <v/>
      </c>
      <c r="J125" t="s">
        <v>249</v>
      </c>
      <c r="K125">
        <v>22499.257900000001</v>
      </c>
      <c r="L125">
        <v>-1350.1283000000001</v>
      </c>
      <c r="M125">
        <v>-6.0900000000000003E-2</v>
      </c>
      <c r="N125">
        <f t="shared" si="11"/>
        <v>123</v>
      </c>
      <c r="O125" t="str">
        <f t="shared" si="12"/>
        <v/>
      </c>
      <c r="Q125">
        <f t="shared" si="13"/>
        <v>22499.257900000001</v>
      </c>
      <c r="R125">
        <f t="shared" si="14"/>
        <v>-9.9689999988186173E-3</v>
      </c>
      <c r="S125">
        <f t="shared" si="15"/>
        <v>-1.4379999999846405E-2</v>
      </c>
      <c r="T125">
        <f t="shared" si="16"/>
        <v>4.499000000000003E-3</v>
      </c>
      <c r="Y125" t="s">
        <v>249</v>
      </c>
      <c r="Z125">
        <v>22499.213</v>
      </c>
      <c r="AA125">
        <v>-1350.2028</v>
      </c>
      <c r="AB125">
        <v>-2.5700000000000001E-2</v>
      </c>
    </row>
    <row r="126" spans="1:28" x14ac:dyDescent="0.2">
      <c r="A126" t="s">
        <v>250</v>
      </c>
      <c r="B126">
        <v>22999.281724</v>
      </c>
      <c r="C126">
        <v>-1350.1675969999999</v>
      </c>
      <c r="D126">
        <v>-7.6305999999999999E-2</v>
      </c>
      <c r="E126">
        <f t="shared" si="9"/>
        <v>124</v>
      </c>
      <c r="F126" t="str">
        <f t="shared" si="10"/>
        <v/>
      </c>
      <c r="J126" t="s">
        <v>250</v>
      </c>
      <c r="K126">
        <v>22999.292099999999</v>
      </c>
      <c r="L126">
        <v>-1350.1485</v>
      </c>
      <c r="M126">
        <v>-7.3800000000000004E-2</v>
      </c>
      <c r="N126">
        <f t="shared" si="11"/>
        <v>124</v>
      </c>
      <c r="O126" t="str">
        <f t="shared" si="12"/>
        <v/>
      </c>
      <c r="Q126">
        <f t="shared" si="13"/>
        <v>22999.292099999999</v>
      </c>
      <c r="R126">
        <f t="shared" si="14"/>
        <v>-1.0375999998359475E-2</v>
      </c>
      <c r="S126">
        <f t="shared" si="15"/>
        <v>-1.9096999999874242E-2</v>
      </c>
      <c r="T126">
        <f t="shared" si="16"/>
        <v>-2.5059999999999943E-3</v>
      </c>
      <c r="Y126" t="s">
        <v>250</v>
      </c>
      <c r="Z126">
        <v>22999.247500000001</v>
      </c>
      <c r="AA126">
        <v>-1350.2266</v>
      </c>
      <c r="AB126">
        <v>-3.1199999999999999E-2</v>
      </c>
    </row>
    <row r="127" spans="1:28" x14ac:dyDescent="0.2">
      <c r="A127" t="s">
        <v>251</v>
      </c>
      <c r="B127">
        <v>23499.290690000002</v>
      </c>
      <c r="C127">
        <v>-1350.182157</v>
      </c>
      <c r="D127">
        <v>-6.6087999999999994E-2</v>
      </c>
      <c r="E127">
        <f t="shared" si="9"/>
        <v>125</v>
      </c>
      <c r="F127" t="str">
        <f t="shared" si="10"/>
        <v/>
      </c>
      <c r="J127" t="s">
        <v>251</v>
      </c>
      <c r="K127">
        <v>23499.295999999998</v>
      </c>
      <c r="L127">
        <v>-1350.1757</v>
      </c>
      <c r="M127">
        <v>-7.6799999999999993E-2</v>
      </c>
      <c r="N127">
        <f t="shared" si="11"/>
        <v>125</v>
      </c>
      <c r="O127" t="str">
        <f t="shared" si="12"/>
        <v/>
      </c>
      <c r="Q127">
        <f t="shared" si="13"/>
        <v>23499.295999999998</v>
      </c>
      <c r="R127">
        <f t="shared" si="14"/>
        <v>-5.3099999968253542E-3</v>
      </c>
      <c r="S127">
        <f t="shared" si="15"/>
        <v>-6.45699999995486E-3</v>
      </c>
      <c r="T127">
        <f t="shared" si="16"/>
        <v>1.0711999999999999E-2</v>
      </c>
      <c r="Y127" t="s">
        <v>251</v>
      </c>
      <c r="Z127">
        <v>23499.26</v>
      </c>
      <c r="AA127">
        <v>-1350.2257999999999</v>
      </c>
      <c r="AB127">
        <v>-4.0000000000000001E-3</v>
      </c>
    </row>
    <row r="128" spans="1:28" x14ac:dyDescent="0.2">
      <c r="A128" t="s">
        <v>252</v>
      </c>
      <c r="B128">
        <v>23999.311259999999</v>
      </c>
      <c r="C128">
        <v>-1350.2316169999999</v>
      </c>
      <c r="D128">
        <v>-8.8901999999999995E-2</v>
      </c>
      <c r="E128">
        <f t="shared" si="9"/>
        <v>126</v>
      </c>
      <c r="F128" t="str">
        <f t="shared" si="10"/>
        <v/>
      </c>
      <c r="J128" t="s">
        <v>252</v>
      </c>
      <c r="K128">
        <v>23999.317999999999</v>
      </c>
      <c r="L128">
        <v>-1350.2222999999999</v>
      </c>
      <c r="M128">
        <v>-9.4299999999999995E-2</v>
      </c>
      <c r="N128">
        <f t="shared" si="11"/>
        <v>126</v>
      </c>
      <c r="O128" t="str">
        <f t="shared" si="12"/>
        <v/>
      </c>
      <c r="Q128">
        <f t="shared" si="13"/>
        <v>23999.317999999999</v>
      </c>
      <c r="R128">
        <f t="shared" si="14"/>
        <v>-6.7400000007182825E-3</v>
      </c>
      <c r="S128">
        <f t="shared" si="15"/>
        <v>-9.3170000000100117E-3</v>
      </c>
      <c r="T128">
        <f t="shared" si="16"/>
        <v>5.398E-3</v>
      </c>
      <c r="Y128" t="s">
        <v>252</v>
      </c>
      <c r="Z128">
        <v>23999.2736</v>
      </c>
      <c r="AA128">
        <v>-1350.3006</v>
      </c>
      <c r="AB128">
        <v>-4.0099999999999997E-2</v>
      </c>
    </row>
    <row r="129" spans="1:28" x14ac:dyDescent="0.2">
      <c r="A129" t="s">
        <v>253</v>
      </c>
      <c r="B129">
        <v>24499.356552000001</v>
      </c>
      <c r="C129">
        <v>-1350.253798</v>
      </c>
      <c r="D129">
        <v>-0.102523</v>
      </c>
      <c r="E129">
        <f t="shared" si="9"/>
        <v>127</v>
      </c>
      <c r="F129" t="str">
        <f t="shared" si="10"/>
        <v/>
      </c>
      <c r="J129" t="s">
        <v>253</v>
      </c>
      <c r="K129">
        <v>24499.365600000001</v>
      </c>
      <c r="L129">
        <v>-1350.2453</v>
      </c>
      <c r="M129">
        <v>-0.1074</v>
      </c>
      <c r="N129">
        <f t="shared" si="11"/>
        <v>127</v>
      </c>
      <c r="O129" t="str">
        <f t="shared" si="12"/>
        <v/>
      </c>
      <c r="Q129">
        <f t="shared" si="13"/>
        <v>24499.365600000001</v>
      </c>
      <c r="R129">
        <f t="shared" si="14"/>
        <v>-9.0479999998933636E-3</v>
      </c>
      <c r="S129">
        <f t="shared" si="15"/>
        <v>-8.497999999917738E-3</v>
      </c>
      <c r="T129">
        <f t="shared" si="16"/>
        <v>4.8769999999999925E-3</v>
      </c>
      <c r="Y129" t="s">
        <v>253</v>
      </c>
      <c r="Z129">
        <v>24499.3053</v>
      </c>
      <c r="AA129">
        <v>-1350.3357000000001</v>
      </c>
      <c r="AB129">
        <v>-4.36E-2</v>
      </c>
    </row>
    <row r="130" spans="1:28" x14ac:dyDescent="0.2">
      <c r="A130" t="s">
        <v>254</v>
      </c>
      <c r="B130">
        <v>24999.393623</v>
      </c>
      <c r="C130">
        <v>-1350.2836110000001</v>
      </c>
      <c r="D130">
        <v>-0.10846600000000001</v>
      </c>
      <c r="E130">
        <f t="shared" si="9"/>
        <v>128</v>
      </c>
      <c r="F130" t="str">
        <f t="shared" si="10"/>
        <v/>
      </c>
      <c r="J130" t="s">
        <v>254</v>
      </c>
      <c r="K130">
        <v>24999.402300000002</v>
      </c>
      <c r="L130">
        <v>-1350.2637</v>
      </c>
      <c r="M130">
        <v>-0.10100000000000001</v>
      </c>
      <c r="N130">
        <f t="shared" si="11"/>
        <v>128</v>
      </c>
      <c r="O130" t="str">
        <f t="shared" si="12"/>
        <v/>
      </c>
      <c r="Q130">
        <f t="shared" si="13"/>
        <v>24999.402300000002</v>
      </c>
      <c r="R130">
        <f t="shared" si="14"/>
        <v>-8.6770000016258564E-3</v>
      </c>
      <c r="S130">
        <f t="shared" si="15"/>
        <v>-1.9911000000092827E-2</v>
      </c>
      <c r="T130">
        <f t="shared" si="16"/>
        <v>-7.4660000000000004E-3</v>
      </c>
      <c r="Y130" t="s">
        <v>254</v>
      </c>
      <c r="Z130">
        <v>24999.3406</v>
      </c>
      <c r="AA130">
        <v>-1350.3502000000001</v>
      </c>
      <c r="AB130">
        <v>-4.8300000000000003E-2</v>
      </c>
    </row>
    <row r="131" spans="1:28" x14ac:dyDescent="0.2">
      <c r="A131" t="s">
        <v>255</v>
      </c>
      <c r="B131">
        <v>25499.393851000001</v>
      </c>
      <c r="C131">
        <v>-1350.2951399999999</v>
      </c>
      <c r="D131">
        <v>-0.101275</v>
      </c>
      <c r="E131">
        <f t="shared" si="9"/>
        <v>129</v>
      </c>
      <c r="F131" t="str">
        <f t="shared" si="10"/>
        <v/>
      </c>
      <c r="J131" t="s">
        <v>255</v>
      </c>
      <c r="K131">
        <v>25499.400699999998</v>
      </c>
      <c r="L131">
        <v>-1350.2858000000001</v>
      </c>
      <c r="M131">
        <v>-0.1042</v>
      </c>
      <c r="N131">
        <f t="shared" si="11"/>
        <v>129</v>
      </c>
      <c r="O131" t="str">
        <f t="shared" si="12"/>
        <v/>
      </c>
      <c r="Q131">
        <f t="shared" si="13"/>
        <v>25499.400699999998</v>
      </c>
      <c r="R131">
        <f t="shared" si="14"/>
        <v>-6.848999997600913E-3</v>
      </c>
      <c r="S131">
        <f t="shared" si="15"/>
        <v>-9.3399999998382555E-3</v>
      </c>
      <c r="T131">
        <f t="shared" si="16"/>
        <v>2.924999999999997E-3</v>
      </c>
      <c r="Y131" t="s">
        <v>255</v>
      </c>
      <c r="Z131">
        <v>25499.340199999999</v>
      </c>
      <c r="AA131">
        <v>-1350.4145000000001</v>
      </c>
      <c r="AB131">
        <v>-4.2599999999999999E-2</v>
      </c>
    </row>
    <row r="132" spans="1:28" x14ac:dyDescent="0.2">
      <c r="A132" t="s">
        <v>256</v>
      </c>
      <c r="B132">
        <v>25999.425189000001</v>
      </c>
      <c r="C132">
        <v>-1350.328698</v>
      </c>
      <c r="D132">
        <v>-0.11203200000000001</v>
      </c>
      <c r="E132">
        <f t="shared" ref="E132:E195" si="17">RIGHT(A132,LEN(A132)-FIND("_",A132,FIND("_",A132)+1))*1</f>
        <v>130</v>
      </c>
      <c r="F132" t="str">
        <f t="shared" ref="F132:F195" si="18">IF(E132&lt;&gt;1+E131,"err","")</f>
        <v/>
      </c>
      <c r="J132" t="s">
        <v>256</v>
      </c>
      <c r="K132">
        <v>25999.432400000002</v>
      </c>
      <c r="L132">
        <v>-1350.3259</v>
      </c>
      <c r="M132">
        <v>-0.115</v>
      </c>
      <c r="N132">
        <f t="shared" ref="N132:N179" si="19">RIGHT(J132,LEN(J132)-FIND("_",J132,FIND("_",J132)+1))*1</f>
        <v>130</v>
      </c>
      <c r="O132" t="str">
        <f t="shared" ref="O132:O195" si="20">IF(N132&lt;&gt;1+N131,"err","")</f>
        <v/>
      </c>
      <c r="Q132">
        <f t="shared" ref="Q132:Q195" si="21">K132</f>
        <v>25999.432400000002</v>
      </c>
      <c r="R132">
        <f t="shared" ref="R132:R179" si="22">B132-K132</f>
        <v>-7.211000000097556E-3</v>
      </c>
      <c r="S132">
        <f t="shared" ref="S132:S179" si="23">C132-L132</f>
        <v>-2.797999999984313E-3</v>
      </c>
      <c r="T132">
        <f t="shared" ref="T132:T179" si="24">D132-M132</f>
        <v>2.9679999999999984E-3</v>
      </c>
      <c r="Y132" t="s">
        <v>256</v>
      </c>
      <c r="Z132">
        <v>25999.372299999999</v>
      </c>
      <c r="AA132">
        <v>-1350.3893</v>
      </c>
      <c r="AB132">
        <v>-4.9299999999999997E-2</v>
      </c>
    </row>
    <row r="133" spans="1:28" x14ac:dyDescent="0.2">
      <c r="A133" t="s">
        <v>257</v>
      </c>
      <c r="B133">
        <v>26499.414325999998</v>
      </c>
      <c r="C133">
        <v>-1350.339993</v>
      </c>
      <c r="D133">
        <v>-0.136938</v>
      </c>
      <c r="E133">
        <f t="shared" si="17"/>
        <v>131</v>
      </c>
      <c r="F133" t="str">
        <f t="shared" si="18"/>
        <v/>
      </c>
      <c r="J133" t="s">
        <v>257</v>
      </c>
      <c r="K133">
        <v>26499.417799999999</v>
      </c>
      <c r="L133">
        <v>-1350.335</v>
      </c>
      <c r="M133">
        <v>-0.14099999999999999</v>
      </c>
      <c r="N133">
        <f t="shared" si="19"/>
        <v>131</v>
      </c>
      <c r="O133" t="str">
        <f t="shared" si="20"/>
        <v/>
      </c>
      <c r="Q133">
        <f t="shared" si="21"/>
        <v>26499.417799999999</v>
      </c>
      <c r="R133">
        <f t="shared" si="22"/>
        <v>-3.4740000010060612E-3</v>
      </c>
      <c r="S133">
        <f t="shared" si="23"/>
        <v>-4.9930000000131258E-3</v>
      </c>
      <c r="T133">
        <f t="shared" si="24"/>
        <v>4.0619999999999823E-3</v>
      </c>
      <c r="Y133" t="s">
        <v>257</v>
      </c>
      <c r="Z133">
        <v>26499.3737</v>
      </c>
      <c r="AA133">
        <v>-1350.4362000000001</v>
      </c>
      <c r="AB133">
        <v>-5.5199999999999999E-2</v>
      </c>
    </row>
    <row r="134" spans="1:28" x14ac:dyDescent="0.2">
      <c r="A134" t="s">
        <v>258</v>
      </c>
      <c r="B134">
        <v>26999.460056</v>
      </c>
      <c r="C134">
        <v>-1350.3616669999999</v>
      </c>
      <c r="D134">
        <v>-0.15640499999999999</v>
      </c>
      <c r="E134">
        <f t="shared" si="17"/>
        <v>132</v>
      </c>
      <c r="F134" t="str">
        <f t="shared" si="18"/>
        <v/>
      </c>
      <c r="J134" t="s">
        <v>258</v>
      </c>
      <c r="K134">
        <v>26999.469799999999</v>
      </c>
      <c r="L134">
        <v>-1350.3577</v>
      </c>
      <c r="M134">
        <v>-0.15090000000000001</v>
      </c>
      <c r="N134">
        <f t="shared" si="19"/>
        <v>132</v>
      </c>
      <c r="O134" t="str">
        <f t="shared" si="20"/>
        <v/>
      </c>
      <c r="Q134">
        <f t="shared" si="21"/>
        <v>26999.469799999999</v>
      </c>
      <c r="R134">
        <f t="shared" si="22"/>
        <v>-9.7439999990456272E-3</v>
      </c>
      <c r="S134">
        <f t="shared" si="23"/>
        <v>-3.9669999998750427E-3</v>
      </c>
      <c r="T134">
        <f t="shared" si="24"/>
        <v>-5.5049999999999821E-3</v>
      </c>
      <c r="Y134" t="s">
        <v>258</v>
      </c>
      <c r="Z134">
        <v>26999.401999999998</v>
      </c>
      <c r="AA134">
        <v>-1350.4244000000001</v>
      </c>
      <c r="AB134">
        <v>-6.3299999999999995E-2</v>
      </c>
    </row>
    <row r="135" spans="1:28" x14ac:dyDescent="0.2">
      <c r="A135" t="s">
        <v>259</v>
      </c>
      <c r="B135">
        <v>27499.459252000001</v>
      </c>
      <c r="C135">
        <v>-1350.361854</v>
      </c>
      <c r="D135">
        <v>-0.12984799999999999</v>
      </c>
      <c r="E135">
        <f t="shared" si="17"/>
        <v>133</v>
      </c>
      <c r="F135" t="str">
        <f t="shared" si="18"/>
        <v/>
      </c>
      <c r="J135" t="s">
        <v>259</v>
      </c>
      <c r="K135">
        <v>27499.463800000001</v>
      </c>
      <c r="L135">
        <v>-1350.3592000000001</v>
      </c>
      <c r="M135">
        <v>-0.13250000000000001</v>
      </c>
      <c r="N135">
        <f t="shared" si="19"/>
        <v>133</v>
      </c>
      <c r="O135" t="str">
        <f t="shared" si="20"/>
        <v/>
      </c>
      <c r="Q135">
        <f t="shared" si="21"/>
        <v>27499.463800000001</v>
      </c>
      <c r="R135">
        <f t="shared" si="22"/>
        <v>-4.5480000007955823E-3</v>
      </c>
      <c r="S135">
        <f t="shared" si="23"/>
        <v>-2.6539999998931307E-3</v>
      </c>
      <c r="T135">
        <f t="shared" si="24"/>
        <v>2.6520000000000155E-3</v>
      </c>
      <c r="Y135" t="s">
        <v>259</v>
      </c>
      <c r="Z135">
        <v>27499.406999999999</v>
      </c>
      <c r="AA135">
        <v>-1350.4418000000001</v>
      </c>
      <c r="AB135">
        <v>-4.8800000000000003E-2</v>
      </c>
    </row>
    <row r="136" spans="1:28" x14ac:dyDescent="0.2">
      <c r="A136" t="s">
        <v>260</v>
      </c>
      <c r="B136">
        <v>27999.484849</v>
      </c>
      <c r="C136">
        <v>-1350.366313</v>
      </c>
      <c r="D136">
        <v>-0.11974700000000001</v>
      </c>
      <c r="E136">
        <f t="shared" si="17"/>
        <v>134</v>
      </c>
      <c r="F136" t="str">
        <f t="shared" si="18"/>
        <v/>
      </c>
      <c r="J136" t="s">
        <v>260</v>
      </c>
      <c r="K136">
        <v>27999.488700000002</v>
      </c>
      <c r="L136">
        <v>-1350.3625</v>
      </c>
      <c r="M136">
        <v>-0.12189999999999999</v>
      </c>
      <c r="N136">
        <f t="shared" si="19"/>
        <v>134</v>
      </c>
      <c r="O136" t="str">
        <f t="shared" si="20"/>
        <v/>
      </c>
      <c r="Q136">
        <f t="shared" si="21"/>
        <v>27999.488700000002</v>
      </c>
      <c r="R136">
        <f t="shared" si="22"/>
        <v>-3.8510000013047829E-3</v>
      </c>
      <c r="S136">
        <f t="shared" si="23"/>
        <v>-3.8130000000364817E-3</v>
      </c>
      <c r="T136">
        <f t="shared" si="24"/>
        <v>2.1529999999999883E-3</v>
      </c>
      <c r="Y136" t="s">
        <v>260</v>
      </c>
      <c r="Z136">
        <v>27999.431799999998</v>
      </c>
      <c r="AA136">
        <v>-1350.4873</v>
      </c>
      <c r="AB136">
        <v>-4.19E-2</v>
      </c>
    </row>
    <row r="137" spans="1:28" x14ac:dyDescent="0.2">
      <c r="A137" t="s">
        <v>261</v>
      </c>
      <c r="B137">
        <v>28499.485984999999</v>
      </c>
      <c r="C137">
        <v>-1350.366348</v>
      </c>
      <c r="D137">
        <v>-0.12813099999999999</v>
      </c>
      <c r="E137">
        <f t="shared" si="17"/>
        <v>135</v>
      </c>
      <c r="F137" t="str">
        <f t="shared" si="18"/>
        <v/>
      </c>
      <c r="J137" t="s">
        <v>261</v>
      </c>
      <c r="K137">
        <v>28499.4892</v>
      </c>
      <c r="L137">
        <v>-1350.3626999999999</v>
      </c>
      <c r="M137">
        <v>-0.13070000000000001</v>
      </c>
      <c r="N137">
        <f t="shared" si="19"/>
        <v>135</v>
      </c>
      <c r="O137" t="str">
        <f t="shared" si="20"/>
        <v/>
      </c>
      <c r="Q137">
        <f t="shared" si="21"/>
        <v>28499.4892</v>
      </c>
      <c r="R137">
        <f t="shared" si="22"/>
        <v>-3.2150000006367918E-3</v>
      </c>
      <c r="S137">
        <f t="shared" si="23"/>
        <v>-3.6480000001120061E-3</v>
      </c>
      <c r="T137">
        <f t="shared" si="24"/>
        <v>2.5690000000000157E-3</v>
      </c>
      <c r="Y137" t="s">
        <v>261</v>
      </c>
      <c r="Z137">
        <v>28499.434700000002</v>
      </c>
      <c r="AA137">
        <v>-1350.4974</v>
      </c>
      <c r="AB137">
        <v>-3.2099999999999997E-2</v>
      </c>
    </row>
    <row r="138" spans="1:28" x14ac:dyDescent="0.2">
      <c r="A138" t="s">
        <v>262</v>
      </c>
      <c r="B138">
        <v>28999.500523999999</v>
      </c>
      <c r="C138">
        <v>-1350.3626630000001</v>
      </c>
      <c r="D138">
        <v>-0.17043900000000001</v>
      </c>
      <c r="E138">
        <f t="shared" si="17"/>
        <v>136</v>
      </c>
      <c r="F138" t="str">
        <f t="shared" si="18"/>
        <v/>
      </c>
      <c r="J138" t="s">
        <v>262</v>
      </c>
      <c r="K138">
        <v>28999.502400000001</v>
      </c>
      <c r="L138">
        <v>-1350.3588</v>
      </c>
      <c r="M138">
        <v>-0.17269999999999999</v>
      </c>
      <c r="N138">
        <f t="shared" si="19"/>
        <v>136</v>
      </c>
      <c r="O138" t="str">
        <f t="shared" si="20"/>
        <v/>
      </c>
      <c r="Q138">
        <f t="shared" si="21"/>
        <v>28999.502400000001</v>
      </c>
      <c r="R138">
        <f t="shared" si="22"/>
        <v>-1.8760000020847656E-3</v>
      </c>
      <c r="S138">
        <f t="shared" si="23"/>
        <v>-3.8630000001376175E-3</v>
      </c>
      <c r="T138">
        <f t="shared" si="24"/>
        <v>2.2609999999999852E-3</v>
      </c>
      <c r="Y138" t="s">
        <v>262</v>
      </c>
      <c r="Z138">
        <v>28999.461599999999</v>
      </c>
      <c r="AA138">
        <v>-1350.5139999999999</v>
      </c>
      <c r="AB138">
        <v>-7.8799999999999995E-2</v>
      </c>
    </row>
    <row r="139" spans="1:28" x14ac:dyDescent="0.2">
      <c r="A139" t="s">
        <v>263</v>
      </c>
      <c r="B139">
        <v>29499.419583999999</v>
      </c>
      <c r="C139">
        <v>-1350.373141</v>
      </c>
      <c r="D139">
        <v>-0.19889599999999999</v>
      </c>
      <c r="E139">
        <f t="shared" si="17"/>
        <v>137</v>
      </c>
      <c r="F139" t="str">
        <f t="shared" si="18"/>
        <v/>
      </c>
      <c r="J139" t="s">
        <v>263</v>
      </c>
      <c r="K139">
        <v>29499.420999999998</v>
      </c>
      <c r="L139">
        <v>-1350.3707999999999</v>
      </c>
      <c r="M139">
        <v>-0.20100000000000001</v>
      </c>
      <c r="N139">
        <f t="shared" si="19"/>
        <v>137</v>
      </c>
      <c r="O139" t="str">
        <f t="shared" si="20"/>
        <v/>
      </c>
      <c r="Q139">
        <f t="shared" si="21"/>
        <v>29499.420999999998</v>
      </c>
      <c r="R139">
        <f t="shared" si="22"/>
        <v>-1.4159999991534278E-3</v>
      </c>
      <c r="S139">
        <f t="shared" si="23"/>
        <v>-2.3410000001149456E-3</v>
      </c>
      <c r="T139">
        <f t="shared" si="24"/>
        <v>2.1040000000000225E-3</v>
      </c>
      <c r="Y139" t="s">
        <v>263</v>
      </c>
      <c r="Z139">
        <v>29499.388299999999</v>
      </c>
      <c r="AA139">
        <v>-1350.4727</v>
      </c>
      <c r="AB139">
        <v>-0.1082</v>
      </c>
    </row>
    <row r="140" spans="1:28" x14ac:dyDescent="0.2">
      <c r="A140" t="s">
        <v>264</v>
      </c>
      <c r="B140">
        <v>29999.423823000001</v>
      </c>
      <c r="C140">
        <v>-1350.383605</v>
      </c>
      <c r="D140">
        <v>-0.20318800000000001</v>
      </c>
      <c r="E140">
        <f t="shared" si="17"/>
        <v>138</v>
      </c>
      <c r="F140" t="str">
        <f t="shared" si="18"/>
        <v/>
      </c>
      <c r="J140" t="s">
        <v>264</v>
      </c>
      <c r="K140">
        <v>29999.424500000001</v>
      </c>
      <c r="L140">
        <v>-1350.3806</v>
      </c>
      <c r="M140">
        <v>-0.20569999999999999</v>
      </c>
      <c r="N140">
        <f t="shared" si="19"/>
        <v>138</v>
      </c>
      <c r="O140" t="str">
        <f t="shared" si="20"/>
        <v/>
      </c>
      <c r="Q140">
        <f t="shared" si="21"/>
        <v>29999.424500000001</v>
      </c>
      <c r="R140">
        <f t="shared" si="22"/>
        <v>-6.7699999999604188E-4</v>
      </c>
      <c r="S140">
        <f t="shared" si="23"/>
        <v>-3.0050000000301225E-3</v>
      </c>
      <c r="T140">
        <f t="shared" si="24"/>
        <v>2.5119999999999865E-3</v>
      </c>
      <c r="Y140" t="s">
        <v>264</v>
      </c>
      <c r="Z140">
        <v>29999.399300000001</v>
      </c>
      <c r="AA140">
        <v>-1350.5187000000001</v>
      </c>
      <c r="AB140">
        <v>-9.3200000000000005E-2</v>
      </c>
    </row>
    <row r="141" spans="1:28" x14ac:dyDescent="0.2">
      <c r="A141" t="s">
        <v>265</v>
      </c>
      <c r="B141">
        <v>30499.432821999999</v>
      </c>
      <c r="C141">
        <v>-1350.3949580000001</v>
      </c>
      <c r="D141">
        <v>-0.19463</v>
      </c>
      <c r="E141">
        <f t="shared" si="17"/>
        <v>139</v>
      </c>
      <c r="F141" t="str">
        <f t="shared" si="18"/>
        <v/>
      </c>
      <c r="J141" t="s">
        <v>265</v>
      </c>
      <c r="K141">
        <v>30499.433000000001</v>
      </c>
      <c r="L141">
        <v>-1350.3920000000001</v>
      </c>
      <c r="M141">
        <v>-0.19689999999999999</v>
      </c>
      <c r="N141">
        <f t="shared" si="19"/>
        <v>139</v>
      </c>
      <c r="O141" t="str">
        <f t="shared" si="20"/>
        <v/>
      </c>
      <c r="Q141">
        <f t="shared" si="21"/>
        <v>30499.433000000001</v>
      </c>
      <c r="R141">
        <f t="shared" si="22"/>
        <v>-1.7800000205170363E-4</v>
      </c>
      <c r="S141">
        <f t="shared" si="23"/>
        <v>-2.9580000000350992E-3</v>
      </c>
      <c r="T141">
        <f t="shared" si="24"/>
        <v>2.2699999999999942E-3</v>
      </c>
      <c r="Y141" t="s">
        <v>265</v>
      </c>
      <c r="Z141">
        <v>30499.418000000001</v>
      </c>
      <c r="AA141">
        <v>-1350.5283999999999</v>
      </c>
      <c r="AB141">
        <v>-9.0700000000000003E-2</v>
      </c>
    </row>
    <row r="142" spans="1:28" x14ac:dyDescent="0.2">
      <c r="A142" t="s">
        <v>266</v>
      </c>
      <c r="B142">
        <v>30999.423415000001</v>
      </c>
      <c r="C142">
        <v>-1350.425432</v>
      </c>
      <c r="D142">
        <v>-0.18698300000000001</v>
      </c>
      <c r="E142">
        <f t="shared" si="17"/>
        <v>140</v>
      </c>
      <c r="F142" t="str">
        <f t="shared" si="18"/>
        <v/>
      </c>
      <c r="J142" t="s">
        <v>266</v>
      </c>
      <c r="K142">
        <v>30999.434300000001</v>
      </c>
      <c r="L142">
        <v>-1350.4194</v>
      </c>
      <c r="M142">
        <v>-0.19359999999999999</v>
      </c>
      <c r="N142">
        <f t="shared" si="19"/>
        <v>140</v>
      </c>
      <c r="O142" t="str">
        <f t="shared" si="20"/>
        <v/>
      </c>
      <c r="Q142">
        <f t="shared" si="21"/>
        <v>30999.434300000001</v>
      </c>
      <c r="R142">
        <f t="shared" si="22"/>
        <v>-1.0884999999689171E-2</v>
      </c>
      <c r="S142">
        <f t="shared" si="23"/>
        <v>-6.0320000000047003E-3</v>
      </c>
      <c r="T142">
        <f t="shared" si="24"/>
        <v>6.616999999999984E-3</v>
      </c>
      <c r="Y142" t="s">
        <v>266</v>
      </c>
      <c r="Z142">
        <v>30999.417099999999</v>
      </c>
      <c r="AA142">
        <v>-1350.5329999999999</v>
      </c>
      <c r="AB142">
        <v>-9.0999999999999998E-2</v>
      </c>
    </row>
    <row r="143" spans="1:28" x14ac:dyDescent="0.2">
      <c r="A143" t="s">
        <v>267</v>
      </c>
      <c r="B143">
        <v>31499.434517000002</v>
      </c>
      <c r="C143">
        <v>-1350.4499659999999</v>
      </c>
      <c r="D143">
        <v>-0.20317299999999999</v>
      </c>
      <c r="E143">
        <f t="shared" si="17"/>
        <v>141</v>
      </c>
      <c r="F143" t="str">
        <f t="shared" si="18"/>
        <v/>
      </c>
      <c r="J143" t="s">
        <v>267</v>
      </c>
      <c r="K143">
        <v>31499.434799999999</v>
      </c>
      <c r="L143">
        <v>-1350.4477999999999</v>
      </c>
      <c r="M143">
        <v>-0.20530000000000001</v>
      </c>
      <c r="N143">
        <f t="shared" si="19"/>
        <v>141</v>
      </c>
      <c r="O143" t="str">
        <f t="shared" si="20"/>
        <v/>
      </c>
      <c r="Q143">
        <f t="shared" si="21"/>
        <v>31499.434799999999</v>
      </c>
      <c r="R143">
        <f t="shared" si="22"/>
        <v>-2.8299999758019112E-4</v>
      </c>
      <c r="S143">
        <f t="shared" si="23"/>
        <v>-2.1659999999883439E-3</v>
      </c>
      <c r="T143">
        <f t="shared" si="24"/>
        <v>2.1270000000000178E-3</v>
      </c>
      <c r="Y143" t="s">
        <v>267</v>
      </c>
      <c r="Z143">
        <v>31499.422299999998</v>
      </c>
      <c r="AA143">
        <v>-1350.5483999999999</v>
      </c>
      <c r="AB143">
        <v>-0.1079</v>
      </c>
    </row>
    <row r="144" spans="1:28" x14ac:dyDescent="0.2">
      <c r="A144" t="s">
        <v>268</v>
      </c>
      <c r="B144">
        <v>31999.477346</v>
      </c>
      <c r="C144">
        <v>-1350.4710700000001</v>
      </c>
      <c r="D144">
        <v>-0.22753799999999999</v>
      </c>
      <c r="E144">
        <f t="shared" si="17"/>
        <v>142</v>
      </c>
      <c r="F144" t="str">
        <f t="shared" si="18"/>
        <v/>
      </c>
      <c r="J144" t="s">
        <v>268</v>
      </c>
      <c r="K144">
        <v>31999.477699999999</v>
      </c>
      <c r="L144">
        <v>-1350.4684999999999</v>
      </c>
      <c r="M144">
        <v>-0.2303</v>
      </c>
      <c r="N144">
        <f t="shared" si="19"/>
        <v>142</v>
      </c>
      <c r="O144" t="str">
        <f t="shared" si="20"/>
        <v/>
      </c>
      <c r="Q144">
        <f t="shared" si="21"/>
        <v>31999.477699999999</v>
      </c>
      <c r="R144">
        <f t="shared" si="22"/>
        <v>-3.5399999978835694E-4</v>
      </c>
      <c r="S144">
        <f t="shared" si="23"/>
        <v>-2.5700000001052103E-3</v>
      </c>
      <c r="T144">
        <f t="shared" si="24"/>
        <v>2.7620000000000144E-3</v>
      </c>
      <c r="Y144" t="s">
        <v>268</v>
      </c>
      <c r="Z144">
        <v>31999.464599999999</v>
      </c>
      <c r="AA144">
        <v>-1350.5798</v>
      </c>
      <c r="AB144">
        <v>-0.1135</v>
      </c>
    </row>
    <row r="145" spans="1:28" x14ac:dyDescent="0.2">
      <c r="A145" t="s">
        <v>269</v>
      </c>
      <c r="B145">
        <v>32499.502820999998</v>
      </c>
      <c r="C145">
        <v>-1350.5017740000001</v>
      </c>
      <c r="D145">
        <v>-0.22953000000000001</v>
      </c>
      <c r="E145">
        <f t="shared" si="17"/>
        <v>143</v>
      </c>
      <c r="F145" t="str">
        <f t="shared" si="18"/>
        <v/>
      </c>
      <c r="J145" t="s">
        <v>269</v>
      </c>
      <c r="K145">
        <v>32499.5033</v>
      </c>
      <c r="L145">
        <v>-1350.4973</v>
      </c>
      <c r="M145">
        <v>-0.23219999999999999</v>
      </c>
      <c r="N145">
        <f t="shared" si="19"/>
        <v>143</v>
      </c>
      <c r="O145" t="str">
        <f t="shared" si="20"/>
        <v/>
      </c>
      <c r="Q145">
        <f t="shared" si="21"/>
        <v>32499.5033</v>
      </c>
      <c r="R145">
        <f t="shared" si="22"/>
        <v>-4.7900000208755955E-4</v>
      </c>
      <c r="S145">
        <f t="shared" si="23"/>
        <v>-4.4740000000729196E-3</v>
      </c>
      <c r="T145">
        <f t="shared" si="24"/>
        <v>2.6699999999999779E-3</v>
      </c>
      <c r="Y145" t="s">
        <v>269</v>
      </c>
      <c r="Z145">
        <v>32499.4899</v>
      </c>
      <c r="AA145">
        <v>-1350.6727000000001</v>
      </c>
      <c r="AB145">
        <v>-0.123</v>
      </c>
    </row>
    <row r="146" spans="1:28" x14ac:dyDescent="0.2">
      <c r="A146" t="s">
        <v>270</v>
      </c>
      <c r="B146">
        <v>32999.543228000002</v>
      </c>
      <c r="C146">
        <v>-1350.5162929999999</v>
      </c>
      <c r="D146">
        <v>-0.24399799999999999</v>
      </c>
      <c r="E146">
        <f t="shared" si="17"/>
        <v>144</v>
      </c>
      <c r="F146" t="str">
        <f t="shared" si="18"/>
        <v/>
      </c>
      <c r="J146" t="s">
        <v>270</v>
      </c>
      <c r="K146">
        <v>32999.5334</v>
      </c>
      <c r="L146">
        <v>-1350.5336</v>
      </c>
      <c r="M146">
        <v>-0.24390000000000001</v>
      </c>
      <c r="N146">
        <f t="shared" si="19"/>
        <v>144</v>
      </c>
      <c r="O146" t="str">
        <f t="shared" si="20"/>
        <v/>
      </c>
      <c r="Q146">
        <f t="shared" si="21"/>
        <v>32999.5334</v>
      </c>
      <c r="R146">
        <f t="shared" si="22"/>
        <v>9.828000002016779E-3</v>
      </c>
      <c r="S146">
        <f t="shared" si="23"/>
        <v>1.7307000000073458E-2</v>
      </c>
      <c r="T146">
        <f t="shared" si="24"/>
        <v>-9.7999999999986986E-5</v>
      </c>
      <c r="Y146" t="s">
        <v>270</v>
      </c>
      <c r="Z146">
        <v>32999.516499999998</v>
      </c>
      <c r="AA146">
        <v>-1350.6821</v>
      </c>
      <c r="AB146">
        <v>-0.1424</v>
      </c>
    </row>
    <row r="147" spans="1:28" x14ac:dyDescent="0.2">
      <c r="A147" t="s">
        <v>271</v>
      </c>
      <c r="B147">
        <v>33499.475837999998</v>
      </c>
      <c r="C147">
        <v>-1350.5410469999999</v>
      </c>
      <c r="D147">
        <v>-0.250884</v>
      </c>
      <c r="E147">
        <f t="shared" si="17"/>
        <v>145</v>
      </c>
      <c r="F147" t="str">
        <f t="shared" si="18"/>
        <v/>
      </c>
      <c r="J147" t="s">
        <v>271</v>
      </c>
      <c r="K147">
        <v>33499.476999999999</v>
      </c>
      <c r="L147">
        <v>-1350.5364</v>
      </c>
      <c r="M147">
        <v>-0.25480000000000003</v>
      </c>
      <c r="N147">
        <f t="shared" si="19"/>
        <v>145</v>
      </c>
      <c r="O147" t="str">
        <f t="shared" si="20"/>
        <v/>
      </c>
      <c r="Q147">
        <f t="shared" si="21"/>
        <v>33499.476999999999</v>
      </c>
      <c r="R147">
        <f t="shared" si="22"/>
        <v>-1.1620000004768372E-3</v>
      </c>
      <c r="S147">
        <f t="shared" si="23"/>
        <v>-4.6469999999771971E-3</v>
      </c>
      <c r="T147">
        <f t="shared" si="24"/>
        <v>3.9160000000000306E-3</v>
      </c>
      <c r="Y147" t="s">
        <v>271</v>
      </c>
      <c r="Z147">
        <v>33499.460800000001</v>
      </c>
      <c r="AA147">
        <v>-1350.6855</v>
      </c>
      <c r="AB147">
        <v>-0.12820000000000001</v>
      </c>
    </row>
    <row r="148" spans="1:28" x14ac:dyDescent="0.2">
      <c r="A148" t="s">
        <v>272</v>
      </c>
      <c r="B148">
        <v>33999.464919999999</v>
      </c>
      <c r="C148">
        <v>-1350.573171</v>
      </c>
      <c r="D148">
        <v>-0.279277</v>
      </c>
      <c r="E148">
        <f t="shared" si="17"/>
        <v>146</v>
      </c>
      <c r="F148" t="str">
        <f t="shared" si="18"/>
        <v/>
      </c>
      <c r="J148" t="s">
        <v>272</v>
      </c>
      <c r="K148">
        <v>33999.464999999997</v>
      </c>
      <c r="L148">
        <v>-1350.5668000000001</v>
      </c>
      <c r="M148">
        <v>-0.2828</v>
      </c>
      <c r="N148">
        <f t="shared" si="19"/>
        <v>146</v>
      </c>
      <c r="O148" t="str">
        <f t="shared" si="20"/>
        <v/>
      </c>
      <c r="Q148">
        <f t="shared" si="21"/>
        <v>33999.464999999997</v>
      </c>
      <c r="R148">
        <f t="shared" si="22"/>
        <v>-7.9999997979030013E-5</v>
      </c>
      <c r="S148">
        <f t="shared" si="23"/>
        <v>-6.3709999999446154E-3</v>
      </c>
      <c r="T148">
        <f t="shared" si="24"/>
        <v>3.5229999999999984E-3</v>
      </c>
      <c r="Y148" t="s">
        <v>272</v>
      </c>
      <c r="Z148">
        <v>33999.464699999997</v>
      </c>
      <c r="AA148">
        <v>-1350.7529</v>
      </c>
      <c r="AB148">
        <v>-0.1729</v>
      </c>
    </row>
    <row r="149" spans="1:28" x14ac:dyDescent="0.2">
      <c r="A149" t="s">
        <v>273</v>
      </c>
      <c r="B149">
        <v>34499.487032999998</v>
      </c>
      <c r="C149">
        <v>-1350.582009</v>
      </c>
      <c r="D149">
        <v>-0.27413199999999999</v>
      </c>
      <c r="E149">
        <f t="shared" si="17"/>
        <v>147</v>
      </c>
      <c r="F149" t="str">
        <f t="shared" si="18"/>
        <v/>
      </c>
      <c r="J149" t="s">
        <v>273</v>
      </c>
      <c r="K149">
        <v>34499.487500000003</v>
      </c>
      <c r="L149">
        <v>-1350.5762999999999</v>
      </c>
      <c r="M149">
        <v>-0.27900000000000003</v>
      </c>
      <c r="N149">
        <f t="shared" si="19"/>
        <v>147</v>
      </c>
      <c r="O149" t="str">
        <f t="shared" si="20"/>
        <v/>
      </c>
      <c r="Q149">
        <f t="shared" si="21"/>
        <v>34499.487500000003</v>
      </c>
      <c r="R149">
        <f t="shared" si="22"/>
        <v>-4.6700000530108809E-4</v>
      </c>
      <c r="S149">
        <f t="shared" si="23"/>
        <v>-5.709000000024389E-3</v>
      </c>
      <c r="T149">
        <f t="shared" si="24"/>
        <v>4.868000000000039E-3</v>
      </c>
      <c r="Y149" t="s">
        <v>273</v>
      </c>
      <c r="Z149">
        <v>34499.484900000003</v>
      </c>
      <c r="AA149">
        <v>-1350.7289000000001</v>
      </c>
      <c r="AB149">
        <v>-0.1484</v>
      </c>
    </row>
    <row r="150" spans="1:28" x14ac:dyDescent="0.2">
      <c r="A150" t="s">
        <v>274</v>
      </c>
      <c r="B150">
        <v>34999.515081999998</v>
      </c>
      <c r="C150">
        <v>-1350.6028309999999</v>
      </c>
      <c r="D150">
        <v>-0.27911200000000003</v>
      </c>
      <c r="E150">
        <f t="shared" si="17"/>
        <v>148</v>
      </c>
      <c r="F150" t="str">
        <f t="shared" si="18"/>
        <v/>
      </c>
      <c r="J150" t="s">
        <v>274</v>
      </c>
      <c r="K150">
        <v>34999.514799999997</v>
      </c>
      <c r="L150">
        <v>-1350.5984000000001</v>
      </c>
      <c r="M150">
        <v>-0.28510000000000002</v>
      </c>
      <c r="N150">
        <f t="shared" si="19"/>
        <v>148</v>
      </c>
      <c r="O150" t="str">
        <f t="shared" si="20"/>
        <v/>
      </c>
      <c r="Q150">
        <f t="shared" si="21"/>
        <v>34999.514799999997</v>
      </c>
      <c r="R150">
        <f t="shared" si="22"/>
        <v>2.8200000087963417E-4</v>
      </c>
      <c r="S150">
        <f t="shared" si="23"/>
        <v>-4.4309999998404237E-3</v>
      </c>
      <c r="T150">
        <f t="shared" si="24"/>
        <v>5.9879999999999933E-3</v>
      </c>
      <c r="Y150" t="s">
        <v>274</v>
      </c>
      <c r="Z150">
        <v>34999.520799999998</v>
      </c>
      <c r="AA150">
        <v>-1350.7094999999999</v>
      </c>
      <c r="AB150">
        <v>-0.1439</v>
      </c>
    </row>
    <row r="151" spans="1:28" x14ac:dyDescent="0.2">
      <c r="A151" t="s">
        <v>275</v>
      </c>
      <c r="B151">
        <v>35499.515791999998</v>
      </c>
      <c r="C151">
        <v>-1350.6247940000001</v>
      </c>
      <c r="D151">
        <v>-0.269762</v>
      </c>
      <c r="E151">
        <f t="shared" si="17"/>
        <v>149</v>
      </c>
      <c r="F151" t="str">
        <f t="shared" si="18"/>
        <v/>
      </c>
      <c r="J151" t="s">
        <v>275</v>
      </c>
      <c r="K151">
        <v>35499.515800000001</v>
      </c>
      <c r="L151">
        <v>-1350.6190999999999</v>
      </c>
      <c r="M151">
        <v>-0.27629999999999999</v>
      </c>
      <c r="N151">
        <f t="shared" si="19"/>
        <v>149</v>
      </c>
      <c r="O151" t="str">
        <f t="shared" si="20"/>
        <v/>
      </c>
      <c r="Q151">
        <f t="shared" si="21"/>
        <v>35499.515800000001</v>
      </c>
      <c r="R151">
        <f t="shared" si="22"/>
        <v>-8.000002708286047E-6</v>
      </c>
      <c r="S151">
        <f t="shared" si="23"/>
        <v>-5.6940000001759472E-3</v>
      </c>
      <c r="T151">
        <f t="shared" si="24"/>
        <v>6.5379999999999883E-3</v>
      </c>
      <c r="Y151" t="s">
        <v>275</v>
      </c>
      <c r="Z151">
        <v>35499.520100000002</v>
      </c>
      <c r="AA151">
        <v>-1350.7463</v>
      </c>
      <c r="AB151">
        <v>-0.13550000000000001</v>
      </c>
    </row>
    <row r="152" spans="1:28" x14ac:dyDescent="0.2">
      <c r="A152" t="s">
        <v>276</v>
      </c>
      <c r="B152">
        <v>35999.498119000003</v>
      </c>
      <c r="C152">
        <v>-1350.63967</v>
      </c>
      <c r="D152">
        <v>-0.27696100000000001</v>
      </c>
      <c r="E152">
        <f t="shared" si="17"/>
        <v>150</v>
      </c>
      <c r="F152" t="str">
        <f t="shared" si="18"/>
        <v/>
      </c>
      <c r="J152" t="s">
        <v>276</v>
      </c>
      <c r="K152">
        <v>35999.4997</v>
      </c>
      <c r="L152">
        <v>-1350.6309000000001</v>
      </c>
      <c r="M152">
        <v>-0.28460000000000002</v>
      </c>
      <c r="N152">
        <f t="shared" si="19"/>
        <v>150</v>
      </c>
      <c r="O152" t="str">
        <f t="shared" si="20"/>
        <v/>
      </c>
      <c r="Q152">
        <f t="shared" si="21"/>
        <v>35999.4997</v>
      </c>
      <c r="R152">
        <f t="shared" si="22"/>
        <v>-1.5809999968041666E-3</v>
      </c>
      <c r="S152">
        <f t="shared" si="23"/>
        <v>-8.7699999999131251E-3</v>
      </c>
      <c r="T152">
        <f t="shared" si="24"/>
        <v>7.6390000000000069E-3</v>
      </c>
      <c r="Y152" t="s">
        <v>276</v>
      </c>
      <c r="Z152">
        <v>35999.492299999998</v>
      </c>
      <c r="AA152">
        <v>-1350.8001999999999</v>
      </c>
      <c r="AB152">
        <v>-0.13789999999999999</v>
      </c>
    </row>
    <row r="153" spans="1:28" x14ac:dyDescent="0.2">
      <c r="A153" t="s">
        <v>277</v>
      </c>
      <c r="B153">
        <v>36499.488385999997</v>
      </c>
      <c r="C153">
        <v>-1350.66994</v>
      </c>
      <c r="D153">
        <v>-0.28482299999999999</v>
      </c>
      <c r="E153">
        <f t="shared" si="17"/>
        <v>151</v>
      </c>
      <c r="F153" t="str">
        <f t="shared" si="18"/>
        <v/>
      </c>
      <c r="J153" t="s">
        <v>277</v>
      </c>
      <c r="K153">
        <v>36499.489600000001</v>
      </c>
      <c r="L153">
        <v>-1350.663</v>
      </c>
      <c r="M153">
        <v>-0.29380000000000001</v>
      </c>
      <c r="N153">
        <f t="shared" si="19"/>
        <v>151</v>
      </c>
      <c r="O153" t="str">
        <f t="shared" si="20"/>
        <v/>
      </c>
      <c r="Q153">
        <f t="shared" si="21"/>
        <v>36499.489600000001</v>
      </c>
      <c r="R153">
        <f t="shared" si="22"/>
        <v>-1.2140000035287812E-3</v>
      </c>
      <c r="S153">
        <f t="shared" si="23"/>
        <v>-6.9399999999859574E-3</v>
      </c>
      <c r="T153">
        <f t="shared" si="24"/>
        <v>8.9770000000000127E-3</v>
      </c>
      <c r="Y153" t="s">
        <v>277</v>
      </c>
      <c r="Z153">
        <v>36499.485399999998</v>
      </c>
      <c r="AA153">
        <v>-1350.7886000000001</v>
      </c>
      <c r="AB153">
        <v>-0.13769999999999999</v>
      </c>
    </row>
    <row r="154" spans="1:28" x14ac:dyDescent="0.2">
      <c r="A154" t="s">
        <v>278</v>
      </c>
      <c r="B154">
        <v>36999.485431000001</v>
      </c>
      <c r="C154">
        <v>-1350.6677669999999</v>
      </c>
      <c r="D154">
        <v>-0.31224299999999999</v>
      </c>
      <c r="E154">
        <f t="shared" si="17"/>
        <v>152</v>
      </c>
      <c r="F154" t="str">
        <f t="shared" si="18"/>
        <v/>
      </c>
      <c r="J154" t="s">
        <v>278</v>
      </c>
      <c r="K154">
        <v>36999.487999999998</v>
      </c>
      <c r="L154">
        <v>-1350.6570999999999</v>
      </c>
      <c r="M154">
        <v>-0.32179999999999997</v>
      </c>
      <c r="N154">
        <f t="shared" si="19"/>
        <v>152</v>
      </c>
      <c r="O154" t="str">
        <f t="shared" si="20"/>
        <v/>
      </c>
      <c r="Q154">
        <f t="shared" si="21"/>
        <v>36999.487999999998</v>
      </c>
      <c r="R154">
        <f t="shared" si="22"/>
        <v>-2.5689999965834431E-3</v>
      </c>
      <c r="S154">
        <f t="shared" si="23"/>
        <v>-1.0667000000012195E-2</v>
      </c>
      <c r="T154">
        <f t="shared" si="24"/>
        <v>9.5569999999999822E-3</v>
      </c>
      <c r="Y154" t="s">
        <v>278</v>
      </c>
      <c r="Z154">
        <v>36999.475299999998</v>
      </c>
      <c r="AA154">
        <v>-1350.8280999999999</v>
      </c>
      <c r="AB154">
        <v>-0.16850000000000001</v>
      </c>
    </row>
    <row r="155" spans="1:28" x14ac:dyDescent="0.2">
      <c r="A155" t="s">
        <v>279</v>
      </c>
      <c r="B155">
        <v>37499.456289000002</v>
      </c>
      <c r="C155">
        <v>-1350.700679</v>
      </c>
      <c r="D155">
        <v>-0.291383</v>
      </c>
      <c r="E155">
        <f t="shared" si="17"/>
        <v>153</v>
      </c>
      <c r="F155" t="str">
        <f t="shared" si="18"/>
        <v/>
      </c>
      <c r="J155" t="s">
        <v>279</v>
      </c>
      <c r="K155">
        <v>37499.460299999999</v>
      </c>
      <c r="L155">
        <v>-1350.693</v>
      </c>
      <c r="M155">
        <v>-0.3034</v>
      </c>
      <c r="N155">
        <f t="shared" si="19"/>
        <v>153</v>
      </c>
      <c r="O155" t="str">
        <f t="shared" si="20"/>
        <v/>
      </c>
      <c r="Q155">
        <f t="shared" si="21"/>
        <v>37499.460299999999</v>
      </c>
      <c r="R155">
        <f t="shared" si="22"/>
        <v>-4.010999997262843E-3</v>
      </c>
      <c r="S155">
        <f t="shared" si="23"/>
        <v>-7.679000000052838E-3</v>
      </c>
      <c r="T155">
        <f t="shared" si="24"/>
        <v>1.2017E-2</v>
      </c>
      <c r="Y155" t="s">
        <v>279</v>
      </c>
      <c r="Z155">
        <v>37499.434800000003</v>
      </c>
      <c r="AA155">
        <v>-1350.8054</v>
      </c>
      <c r="AB155">
        <v>-0.1323</v>
      </c>
    </row>
    <row r="156" spans="1:28" x14ac:dyDescent="0.2">
      <c r="A156" t="s">
        <v>280</v>
      </c>
      <c r="B156">
        <v>37999.511050000001</v>
      </c>
      <c r="C156">
        <v>-1350.733637</v>
      </c>
      <c r="D156">
        <v>-0.27112199999999997</v>
      </c>
      <c r="E156">
        <f t="shared" si="17"/>
        <v>154</v>
      </c>
      <c r="F156" t="str">
        <f t="shared" si="18"/>
        <v/>
      </c>
      <c r="J156" t="s">
        <v>280</v>
      </c>
      <c r="K156">
        <v>37999.513400000003</v>
      </c>
      <c r="L156">
        <v>-1350.7249999999999</v>
      </c>
      <c r="M156">
        <v>-0.28260000000000002</v>
      </c>
      <c r="N156">
        <f t="shared" si="19"/>
        <v>154</v>
      </c>
      <c r="O156" t="str">
        <f t="shared" si="20"/>
        <v/>
      </c>
      <c r="Q156">
        <f t="shared" si="21"/>
        <v>37999.513400000003</v>
      </c>
      <c r="R156">
        <f t="shared" si="22"/>
        <v>-2.3500000024796464E-3</v>
      </c>
      <c r="S156">
        <f t="shared" si="23"/>
        <v>-8.6370000001352309E-3</v>
      </c>
      <c r="T156">
        <f t="shared" si="24"/>
        <v>1.1478000000000044E-2</v>
      </c>
      <c r="Y156" t="s">
        <v>280</v>
      </c>
      <c r="Z156">
        <v>37999.502500000002</v>
      </c>
      <c r="AA156">
        <v>-1350.8442</v>
      </c>
      <c r="AB156">
        <v>-0.12839999999999999</v>
      </c>
    </row>
    <row r="157" spans="1:28" x14ac:dyDescent="0.2">
      <c r="A157" t="s">
        <v>281</v>
      </c>
      <c r="B157">
        <v>38499.545437000001</v>
      </c>
      <c r="C157">
        <v>-1350.7380330000001</v>
      </c>
      <c r="D157">
        <v>-0.26761600000000002</v>
      </c>
      <c r="E157">
        <f t="shared" si="17"/>
        <v>155</v>
      </c>
      <c r="F157" t="str">
        <f t="shared" si="18"/>
        <v/>
      </c>
      <c r="J157" t="s">
        <v>281</v>
      </c>
      <c r="K157">
        <v>38499.546699999999</v>
      </c>
      <c r="L157">
        <v>-1350.7303999999999</v>
      </c>
      <c r="M157">
        <v>-0.27960000000000002</v>
      </c>
      <c r="N157">
        <f t="shared" si="19"/>
        <v>155</v>
      </c>
      <c r="O157" t="str">
        <f t="shared" si="20"/>
        <v/>
      </c>
      <c r="Q157">
        <f t="shared" si="21"/>
        <v>38499.546699999999</v>
      </c>
      <c r="R157">
        <f t="shared" si="22"/>
        <v>-1.2629999982891604E-3</v>
      </c>
      <c r="S157">
        <f t="shared" si="23"/>
        <v>-7.6330000001689768E-3</v>
      </c>
      <c r="T157">
        <f t="shared" si="24"/>
        <v>1.1983999999999995E-2</v>
      </c>
      <c r="Y157" t="s">
        <v>281</v>
      </c>
      <c r="Z157">
        <v>38499.544399999999</v>
      </c>
      <c r="AA157">
        <v>-1350.8321000000001</v>
      </c>
      <c r="AB157">
        <v>-0.1283</v>
      </c>
    </row>
    <row r="158" spans="1:28" x14ac:dyDescent="0.2">
      <c r="A158" t="s">
        <v>282</v>
      </c>
      <c r="B158">
        <v>38999.589152</v>
      </c>
      <c r="C158">
        <v>-1350.760949</v>
      </c>
      <c r="D158">
        <v>-0.25589499999999998</v>
      </c>
      <c r="E158">
        <f t="shared" si="17"/>
        <v>156</v>
      </c>
      <c r="F158" t="str">
        <f t="shared" si="18"/>
        <v/>
      </c>
      <c r="J158" t="s">
        <v>282</v>
      </c>
      <c r="K158">
        <v>38999.590600000003</v>
      </c>
      <c r="L158">
        <v>-1350.748</v>
      </c>
      <c r="M158">
        <v>-0.26619999999999999</v>
      </c>
      <c r="N158">
        <f t="shared" si="19"/>
        <v>156</v>
      </c>
      <c r="O158" t="str">
        <f t="shared" si="20"/>
        <v/>
      </c>
      <c r="Q158">
        <f t="shared" si="21"/>
        <v>38999.590600000003</v>
      </c>
      <c r="R158">
        <f t="shared" si="22"/>
        <v>-1.4480000027106144E-3</v>
      </c>
      <c r="S158">
        <f t="shared" si="23"/>
        <v>-1.294899999993504E-2</v>
      </c>
      <c r="T158">
        <f t="shared" si="24"/>
        <v>1.0305000000000009E-2</v>
      </c>
      <c r="Y158" t="s">
        <v>282</v>
      </c>
      <c r="Z158">
        <v>38999.589099999997</v>
      </c>
      <c r="AA158">
        <v>-1350.9045000000001</v>
      </c>
      <c r="AB158">
        <v>-0.1416</v>
      </c>
    </row>
    <row r="159" spans="1:28" x14ac:dyDescent="0.2">
      <c r="A159" t="s">
        <v>283</v>
      </c>
      <c r="B159">
        <v>39499.583292000003</v>
      </c>
      <c r="C159">
        <v>-1350.7586739999999</v>
      </c>
      <c r="D159">
        <v>-0.27414899999999998</v>
      </c>
      <c r="E159">
        <f t="shared" si="17"/>
        <v>157</v>
      </c>
      <c r="F159" t="str">
        <f t="shared" si="18"/>
        <v/>
      </c>
      <c r="J159" t="s">
        <v>283</v>
      </c>
      <c r="K159">
        <v>39499.584999999999</v>
      </c>
      <c r="L159">
        <v>-1350.7467999999999</v>
      </c>
      <c r="M159">
        <v>-0.28660000000000002</v>
      </c>
      <c r="N159">
        <f t="shared" si="19"/>
        <v>157</v>
      </c>
      <c r="O159" t="str">
        <f t="shared" si="20"/>
        <v/>
      </c>
      <c r="Q159">
        <f t="shared" si="21"/>
        <v>39499.584999999999</v>
      </c>
      <c r="R159">
        <f t="shared" si="22"/>
        <v>-1.7079999961424619E-3</v>
      </c>
      <c r="S159">
        <f t="shared" si="23"/>
        <v>-1.1874000000034357E-2</v>
      </c>
      <c r="T159">
        <f t="shared" si="24"/>
        <v>1.2451000000000045E-2</v>
      </c>
      <c r="Y159" t="s">
        <v>283</v>
      </c>
      <c r="Z159">
        <v>39499.582199999997</v>
      </c>
      <c r="AA159">
        <v>-1350.8819000000001</v>
      </c>
      <c r="AB159">
        <v>-0.14649999999999999</v>
      </c>
    </row>
    <row r="160" spans="1:28" x14ac:dyDescent="0.2">
      <c r="A160" t="s">
        <v>284</v>
      </c>
      <c r="B160">
        <v>39499.558236999997</v>
      </c>
      <c r="C160">
        <v>1349.170697</v>
      </c>
      <c r="D160">
        <v>-0.33839900000000001</v>
      </c>
      <c r="E160">
        <f t="shared" si="17"/>
        <v>158</v>
      </c>
      <c r="F160" t="str">
        <f t="shared" si="18"/>
        <v/>
      </c>
      <c r="J160" t="s">
        <v>284</v>
      </c>
      <c r="K160">
        <v>39499.557999999997</v>
      </c>
      <c r="L160">
        <v>1349.1692</v>
      </c>
      <c r="M160">
        <v>-0.3458</v>
      </c>
      <c r="N160">
        <f t="shared" si="19"/>
        <v>158</v>
      </c>
      <c r="O160" t="str">
        <f t="shared" si="20"/>
        <v/>
      </c>
      <c r="Q160">
        <f t="shared" si="21"/>
        <v>39499.557999999997</v>
      </c>
      <c r="R160">
        <f t="shared" si="22"/>
        <v>2.3700000019744039E-4</v>
      </c>
      <c r="S160">
        <f t="shared" si="23"/>
        <v>1.496999999972104E-3</v>
      </c>
      <c r="T160">
        <f t="shared" si="24"/>
        <v>7.4009999999999909E-3</v>
      </c>
      <c r="Y160" t="s">
        <v>284</v>
      </c>
      <c r="Z160">
        <v>39499.562100000003</v>
      </c>
      <c r="AA160">
        <v>1349.1855</v>
      </c>
      <c r="AB160">
        <v>-0.25919999999999999</v>
      </c>
    </row>
    <row r="161" spans="1:28" x14ac:dyDescent="0.2">
      <c r="A161" t="s">
        <v>285</v>
      </c>
      <c r="B161">
        <v>38999.606552999998</v>
      </c>
      <c r="C161">
        <v>1349.164262</v>
      </c>
      <c r="D161">
        <v>-0.313967</v>
      </c>
      <c r="E161">
        <f t="shared" si="17"/>
        <v>159</v>
      </c>
      <c r="F161" t="str">
        <f t="shared" si="18"/>
        <v/>
      </c>
      <c r="J161" t="s">
        <v>285</v>
      </c>
      <c r="K161">
        <v>38999.606399999997</v>
      </c>
      <c r="L161">
        <v>1349.1596</v>
      </c>
      <c r="M161">
        <v>-0.31759999999999999</v>
      </c>
      <c r="N161">
        <f t="shared" si="19"/>
        <v>159</v>
      </c>
      <c r="O161" t="str">
        <f t="shared" si="20"/>
        <v/>
      </c>
      <c r="Q161">
        <f t="shared" si="21"/>
        <v>38999.606399999997</v>
      </c>
      <c r="R161">
        <f t="shared" si="22"/>
        <v>1.5300000086426735E-4</v>
      </c>
      <c r="S161">
        <f t="shared" si="23"/>
        <v>4.6620000000530126E-3</v>
      </c>
      <c r="T161">
        <f t="shared" si="24"/>
        <v>3.6329999999999973E-3</v>
      </c>
      <c r="Y161" t="s">
        <v>285</v>
      </c>
      <c r="Z161">
        <v>38999.607799999998</v>
      </c>
      <c r="AA161">
        <v>1349.2149999999999</v>
      </c>
      <c r="AB161">
        <v>-0.27179999999999999</v>
      </c>
    </row>
    <row r="162" spans="1:28" x14ac:dyDescent="0.2">
      <c r="A162" t="s">
        <v>286</v>
      </c>
      <c r="B162">
        <v>38499.604981999997</v>
      </c>
      <c r="C162">
        <v>1349.200879</v>
      </c>
      <c r="D162">
        <v>-0.34262799999999999</v>
      </c>
      <c r="E162">
        <f t="shared" si="17"/>
        <v>160</v>
      </c>
      <c r="F162" t="str">
        <f t="shared" si="18"/>
        <v/>
      </c>
      <c r="J162" t="s">
        <v>286</v>
      </c>
      <c r="K162">
        <v>38499.605199999998</v>
      </c>
      <c r="L162">
        <v>1349.1947</v>
      </c>
      <c r="M162">
        <v>-0.3483</v>
      </c>
      <c r="N162">
        <f t="shared" si="19"/>
        <v>160</v>
      </c>
      <c r="O162" t="str">
        <f t="shared" si="20"/>
        <v/>
      </c>
      <c r="Q162">
        <f t="shared" si="21"/>
        <v>38499.605199999998</v>
      </c>
      <c r="R162">
        <f t="shared" si="22"/>
        <v>-2.1800000104121864E-4</v>
      </c>
      <c r="S162">
        <f t="shared" si="23"/>
        <v>6.1789999999746215E-3</v>
      </c>
      <c r="T162">
        <f t="shared" si="24"/>
        <v>5.6720000000000104E-3</v>
      </c>
      <c r="Y162" t="s">
        <v>286</v>
      </c>
      <c r="Z162">
        <v>38499.604399999997</v>
      </c>
      <c r="AA162">
        <v>1349.2737</v>
      </c>
      <c r="AB162">
        <v>-0.27250000000000002</v>
      </c>
    </row>
    <row r="163" spans="1:28" x14ac:dyDescent="0.2">
      <c r="A163" t="s">
        <v>287</v>
      </c>
      <c r="B163">
        <v>37999.571924999997</v>
      </c>
      <c r="C163">
        <v>1349.2003159999999</v>
      </c>
      <c r="D163">
        <v>-0.35406700000000002</v>
      </c>
      <c r="E163">
        <f t="shared" si="17"/>
        <v>161</v>
      </c>
      <c r="F163" t="str">
        <f t="shared" si="18"/>
        <v/>
      </c>
      <c r="J163" t="s">
        <v>287</v>
      </c>
      <c r="K163">
        <v>37999.572</v>
      </c>
      <c r="L163">
        <v>1349.1989000000001</v>
      </c>
      <c r="M163">
        <v>-0.3589</v>
      </c>
      <c r="N163">
        <f t="shared" si="19"/>
        <v>161</v>
      </c>
      <c r="O163" t="str">
        <f t="shared" si="20"/>
        <v/>
      </c>
      <c r="Q163">
        <f t="shared" si="21"/>
        <v>37999.572</v>
      </c>
      <c r="R163">
        <f t="shared" si="22"/>
        <v>-7.5000003562308848E-5</v>
      </c>
      <c r="S163">
        <f t="shared" si="23"/>
        <v>1.4159999998355488E-3</v>
      </c>
      <c r="T163">
        <f t="shared" si="24"/>
        <v>4.8329999999999762E-3</v>
      </c>
      <c r="Y163" t="s">
        <v>287</v>
      </c>
      <c r="Z163">
        <v>37999.572699999997</v>
      </c>
      <c r="AA163">
        <v>1349.2179000000001</v>
      </c>
      <c r="AB163">
        <v>-0.2898</v>
      </c>
    </row>
    <row r="164" spans="1:28" x14ac:dyDescent="0.2">
      <c r="A164" t="s">
        <v>288</v>
      </c>
      <c r="B164">
        <v>37499.548281000003</v>
      </c>
      <c r="C164">
        <v>1349.2247139999999</v>
      </c>
      <c r="D164">
        <v>-0.382851</v>
      </c>
      <c r="E164">
        <f t="shared" si="17"/>
        <v>162</v>
      </c>
      <c r="F164" t="str">
        <f t="shared" si="18"/>
        <v/>
      </c>
      <c r="J164" t="s">
        <v>288</v>
      </c>
      <c r="K164">
        <v>37499.546600000001</v>
      </c>
      <c r="L164">
        <v>1349.2191</v>
      </c>
      <c r="M164">
        <v>-0.38529999999999998</v>
      </c>
      <c r="N164">
        <f t="shared" si="19"/>
        <v>162</v>
      </c>
      <c r="O164" t="str">
        <f t="shared" si="20"/>
        <v/>
      </c>
      <c r="Q164">
        <f t="shared" si="21"/>
        <v>37499.546600000001</v>
      </c>
      <c r="R164">
        <f t="shared" si="22"/>
        <v>1.6810000015539117E-3</v>
      </c>
      <c r="S164">
        <f t="shared" si="23"/>
        <v>5.6139999999231804E-3</v>
      </c>
      <c r="T164">
        <f t="shared" si="24"/>
        <v>2.448999999999979E-3</v>
      </c>
      <c r="Y164" t="s">
        <v>288</v>
      </c>
      <c r="Z164">
        <v>37499.561600000001</v>
      </c>
      <c r="AA164">
        <v>1349.3019999999999</v>
      </c>
      <c r="AB164">
        <v>-0.34279999999999999</v>
      </c>
    </row>
    <row r="165" spans="1:28" x14ac:dyDescent="0.2">
      <c r="A165" t="s">
        <v>289</v>
      </c>
      <c r="B165">
        <v>36999.600740000002</v>
      </c>
      <c r="C165">
        <v>1349.2271229999999</v>
      </c>
      <c r="D165">
        <v>-0.37823499999999999</v>
      </c>
      <c r="E165">
        <f t="shared" si="17"/>
        <v>163</v>
      </c>
      <c r="F165" t="str">
        <f t="shared" si="18"/>
        <v/>
      </c>
      <c r="J165" t="s">
        <v>289</v>
      </c>
      <c r="K165">
        <v>36999.601499999997</v>
      </c>
      <c r="L165">
        <v>1349.2195999999999</v>
      </c>
      <c r="M165">
        <v>-0.38150000000000001</v>
      </c>
      <c r="N165">
        <f t="shared" si="19"/>
        <v>163</v>
      </c>
      <c r="O165" t="str">
        <f t="shared" si="20"/>
        <v/>
      </c>
      <c r="Q165">
        <f t="shared" si="21"/>
        <v>36999.601499999997</v>
      </c>
      <c r="R165">
        <f t="shared" si="22"/>
        <v>-7.5999999535270035E-4</v>
      </c>
      <c r="S165">
        <f t="shared" si="23"/>
        <v>7.5229999999919528E-3</v>
      </c>
      <c r="T165">
        <f t="shared" si="24"/>
        <v>3.2650000000000179E-3</v>
      </c>
      <c r="Y165" t="s">
        <v>289</v>
      </c>
      <c r="Z165">
        <v>36999.593399999998</v>
      </c>
      <c r="AA165">
        <v>1349.3407999999999</v>
      </c>
      <c r="AB165">
        <v>-0.32629999999999998</v>
      </c>
    </row>
    <row r="166" spans="1:28" x14ac:dyDescent="0.2">
      <c r="A166" t="s">
        <v>290</v>
      </c>
      <c r="B166">
        <v>36499.572521000002</v>
      </c>
      <c r="C166">
        <v>1349.2466099999999</v>
      </c>
      <c r="D166">
        <v>-0.38075599999999998</v>
      </c>
      <c r="E166">
        <f t="shared" si="17"/>
        <v>164</v>
      </c>
      <c r="F166" t="str">
        <f t="shared" si="18"/>
        <v/>
      </c>
      <c r="J166" t="s">
        <v>290</v>
      </c>
      <c r="K166">
        <v>36499.571100000001</v>
      </c>
      <c r="L166">
        <v>1349.2435</v>
      </c>
      <c r="M166">
        <v>-0.38200000000000001</v>
      </c>
      <c r="N166">
        <f t="shared" si="19"/>
        <v>164</v>
      </c>
      <c r="O166" t="str">
        <f t="shared" si="20"/>
        <v/>
      </c>
      <c r="Q166">
        <f t="shared" si="21"/>
        <v>36499.571100000001</v>
      </c>
      <c r="R166">
        <f t="shared" si="22"/>
        <v>1.4210000008461066E-3</v>
      </c>
      <c r="S166">
        <f t="shared" si="23"/>
        <v>3.1099999998787098E-3</v>
      </c>
      <c r="T166">
        <f t="shared" si="24"/>
        <v>1.2440000000000229E-3</v>
      </c>
      <c r="Y166" t="s">
        <v>290</v>
      </c>
      <c r="Z166">
        <v>36499.585099999997</v>
      </c>
      <c r="AA166">
        <v>1349.2973999999999</v>
      </c>
      <c r="AB166">
        <v>-0.35399999999999998</v>
      </c>
    </row>
    <row r="167" spans="1:28" x14ac:dyDescent="0.2">
      <c r="A167" t="s">
        <v>291</v>
      </c>
      <c r="B167">
        <v>35999.563288999998</v>
      </c>
      <c r="C167">
        <v>1349.279123</v>
      </c>
      <c r="D167">
        <v>-0.363176</v>
      </c>
      <c r="E167">
        <f t="shared" si="17"/>
        <v>165</v>
      </c>
      <c r="F167" t="str">
        <f t="shared" si="18"/>
        <v/>
      </c>
      <c r="J167" t="s">
        <v>291</v>
      </c>
      <c r="K167">
        <v>35999.563000000002</v>
      </c>
      <c r="L167">
        <v>1349.2751000000001</v>
      </c>
      <c r="M167">
        <v>-0.36509999999999998</v>
      </c>
      <c r="N167">
        <f t="shared" si="19"/>
        <v>165</v>
      </c>
      <c r="O167" t="str">
        <f t="shared" si="20"/>
        <v/>
      </c>
      <c r="Q167">
        <f t="shared" si="21"/>
        <v>35999.563000000002</v>
      </c>
      <c r="R167">
        <f t="shared" si="22"/>
        <v>2.8899999597342685E-4</v>
      </c>
      <c r="S167">
        <f t="shared" si="23"/>
        <v>4.02299999996103E-3</v>
      </c>
      <c r="T167">
        <f t="shared" si="24"/>
        <v>1.9239999999999813E-3</v>
      </c>
      <c r="Y167" t="s">
        <v>291</v>
      </c>
      <c r="Z167">
        <v>35999.565799999997</v>
      </c>
      <c r="AA167">
        <v>1349.3533</v>
      </c>
      <c r="AB167">
        <v>-0.32369999999999999</v>
      </c>
    </row>
    <row r="168" spans="1:28" x14ac:dyDescent="0.2">
      <c r="A168" t="s">
        <v>292</v>
      </c>
      <c r="B168">
        <v>35499.556745000002</v>
      </c>
      <c r="C168">
        <v>1349.28907</v>
      </c>
      <c r="D168">
        <v>-0.34912500000000002</v>
      </c>
      <c r="E168">
        <f t="shared" si="17"/>
        <v>166</v>
      </c>
      <c r="F168" t="str">
        <f t="shared" si="18"/>
        <v/>
      </c>
      <c r="J168" t="s">
        <v>292</v>
      </c>
      <c r="K168">
        <v>35499.5556</v>
      </c>
      <c r="L168">
        <v>1349.2872</v>
      </c>
      <c r="M168">
        <v>-0.35060000000000002</v>
      </c>
      <c r="N168">
        <f t="shared" si="19"/>
        <v>166</v>
      </c>
      <c r="O168" t="str">
        <f t="shared" si="20"/>
        <v/>
      </c>
      <c r="Q168">
        <f t="shared" si="21"/>
        <v>35499.5556</v>
      </c>
      <c r="R168">
        <f t="shared" si="22"/>
        <v>1.1450000019976869E-3</v>
      </c>
      <c r="S168">
        <f t="shared" si="23"/>
        <v>1.870000000053551E-3</v>
      </c>
      <c r="T168">
        <f t="shared" si="24"/>
        <v>1.4750000000000041E-3</v>
      </c>
      <c r="Y168" t="s">
        <v>292</v>
      </c>
      <c r="Z168">
        <v>35499.568800000001</v>
      </c>
      <c r="AA168">
        <v>1349.3281999999999</v>
      </c>
      <c r="AB168">
        <v>-0.31169999999999998</v>
      </c>
    </row>
    <row r="169" spans="1:28" x14ac:dyDescent="0.2">
      <c r="A169" t="s">
        <v>293</v>
      </c>
      <c r="B169">
        <v>34999.567733999997</v>
      </c>
      <c r="C169">
        <v>1349.323369</v>
      </c>
      <c r="D169">
        <v>-0.35655599999999998</v>
      </c>
      <c r="E169">
        <f t="shared" si="17"/>
        <v>167</v>
      </c>
      <c r="F169" t="str">
        <f t="shared" si="18"/>
        <v/>
      </c>
      <c r="J169" t="s">
        <v>293</v>
      </c>
      <c r="K169">
        <v>34999.567000000003</v>
      </c>
      <c r="L169">
        <v>1349.3222000000001</v>
      </c>
      <c r="M169">
        <v>-0.3589</v>
      </c>
      <c r="N169">
        <f t="shared" si="19"/>
        <v>167</v>
      </c>
      <c r="O169" t="str">
        <f t="shared" si="20"/>
        <v/>
      </c>
      <c r="Q169">
        <f t="shared" si="21"/>
        <v>34999.567000000003</v>
      </c>
      <c r="R169">
        <f t="shared" si="22"/>
        <v>7.3399999382672831E-4</v>
      </c>
      <c r="S169">
        <f t="shared" si="23"/>
        <v>1.1689999998907297E-3</v>
      </c>
      <c r="T169">
        <f t="shared" si="24"/>
        <v>2.3440000000000127E-3</v>
      </c>
      <c r="Y169" t="s">
        <v>293</v>
      </c>
      <c r="Z169">
        <v>34999.575299999997</v>
      </c>
      <c r="AA169">
        <v>1349.3507</v>
      </c>
      <c r="AB169">
        <v>-0.29370000000000002</v>
      </c>
    </row>
    <row r="170" spans="1:28" x14ac:dyDescent="0.2">
      <c r="A170" t="s">
        <v>294</v>
      </c>
      <c r="B170">
        <v>34499.560976000001</v>
      </c>
      <c r="C170">
        <v>1349.358007</v>
      </c>
      <c r="D170">
        <v>-0.35709000000000002</v>
      </c>
      <c r="E170">
        <f t="shared" si="17"/>
        <v>168</v>
      </c>
      <c r="F170" t="str">
        <f t="shared" si="18"/>
        <v/>
      </c>
      <c r="J170" t="s">
        <v>294</v>
      </c>
      <c r="K170">
        <v>34499.5602</v>
      </c>
      <c r="L170">
        <v>1349.3581999999999</v>
      </c>
      <c r="M170">
        <v>-0.3584</v>
      </c>
      <c r="N170">
        <f t="shared" si="19"/>
        <v>168</v>
      </c>
      <c r="O170" t="str">
        <f t="shared" si="20"/>
        <v/>
      </c>
      <c r="Q170">
        <f t="shared" si="21"/>
        <v>34499.5602</v>
      </c>
      <c r="R170">
        <f t="shared" si="22"/>
        <v>7.7600000076927245E-4</v>
      </c>
      <c r="S170">
        <f t="shared" si="23"/>
        <v>-1.9299999985378236E-4</v>
      </c>
      <c r="T170">
        <f t="shared" si="24"/>
        <v>1.3099999999999778E-3</v>
      </c>
      <c r="Y170" t="s">
        <v>294</v>
      </c>
      <c r="Z170">
        <v>34499.570599999999</v>
      </c>
      <c r="AA170">
        <v>1349.3536999999999</v>
      </c>
      <c r="AB170">
        <v>-0.31830000000000003</v>
      </c>
    </row>
    <row r="171" spans="1:28" x14ac:dyDescent="0.2">
      <c r="A171" t="s">
        <v>295</v>
      </c>
      <c r="B171">
        <v>33999.546429000002</v>
      </c>
      <c r="C171">
        <v>1349.3637799999999</v>
      </c>
      <c r="D171">
        <v>-0.35986400000000002</v>
      </c>
      <c r="E171">
        <f t="shared" si="17"/>
        <v>169</v>
      </c>
      <c r="F171" t="str">
        <f t="shared" si="18"/>
        <v/>
      </c>
      <c r="J171" t="s">
        <v>295</v>
      </c>
      <c r="K171">
        <v>33999.545400000003</v>
      </c>
      <c r="L171">
        <v>1349.3629000000001</v>
      </c>
      <c r="M171">
        <v>-0.36020000000000002</v>
      </c>
      <c r="N171">
        <f t="shared" si="19"/>
        <v>169</v>
      </c>
      <c r="O171" t="str">
        <f t="shared" si="20"/>
        <v/>
      </c>
      <c r="Q171">
        <f t="shared" si="21"/>
        <v>33999.545400000003</v>
      </c>
      <c r="R171">
        <f t="shared" si="22"/>
        <v>1.0289999991073273E-3</v>
      </c>
      <c r="S171">
        <f t="shared" si="23"/>
        <v>8.7999999982457666E-4</v>
      </c>
      <c r="T171">
        <f t="shared" si="24"/>
        <v>3.3600000000000296E-4</v>
      </c>
      <c r="Y171" t="s">
        <v>295</v>
      </c>
      <c r="Z171">
        <v>33999.559699999998</v>
      </c>
      <c r="AA171">
        <v>1349.3914</v>
      </c>
      <c r="AB171">
        <v>-0.3448</v>
      </c>
    </row>
    <row r="172" spans="1:28" x14ac:dyDescent="0.2">
      <c r="A172" t="s">
        <v>296</v>
      </c>
      <c r="B172">
        <v>33499.555772</v>
      </c>
      <c r="C172">
        <v>1349.359905</v>
      </c>
      <c r="D172">
        <v>-0.333704</v>
      </c>
      <c r="E172">
        <f t="shared" si="17"/>
        <v>170</v>
      </c>
      <c r="F172" t="str">
        <f t="shared" si="18"/>
        <v/>
      </c>
      <c r="J172" t="s">
        <v>296</v>
      </c>
      <c r="K172">
        <v>33499.555399999997</v>
      </c>
      <c r="L172">
        <v>1349.3595</v>
      </c>
      <c r="M172">
        <v>-0.3347</v>
      </c>
      <c r="N172">
        <f t="shared" si="19"/>
        <v>170</v>
      </c>
      <c r="O172" t="str">
        <f t="shared" si="20"/>
        <v/>
      </c>
      <c r="Q172">
        <f t="shared" si="21"/>
        <v>33499.555399999997</v>
      </c>
      <c r="R172">
        <f t="shared" si="22"/>
        <v>3.7200000224402174E-4</v>
      </c>
      <c r="S172">
        <f t="shared" si="23"/>
        <v>4.0500000000065484E-4</v>
      </c>
      <c r="T172">
        <f t="shared" si="24"/>
        <v>9.9599999999999689E-4</v>
      </c>
      <c r="Y172" t="s">
        <v>296</v>
      </c>
      <c r="Z172">
        <v>33499.560400000002</v>
      </c>
      <c r="AA172">
        <v>1349.374</v>
      </c>
      <c r="AB172">
        <v>-0.29430000000000001</v>
      </c>
    </row>
    <row r="173" spans="1:28" x14ac:dyDescent="0.2">
      <c r="A173" t="s">
        <v>297</v>
      </c>
      <c r="B173">
        <v>32999.626934</v>
      </c>
      <c r="C173">
        <v>1349.409915</v>
      </c>
      <c r="D173">
        <v>-0.31943700000000003</v>
      </c>
      <c r="E173">
        <f t="shared" si="17"/>
        <v>171</v>
      </c>
      <c r="F173" t="str">
        <f t="shared" si="18"/>
        <v/>
      </c>
      <c r="J173" t="s">
        <v>297</v>
      </c>
      <c r="K173">
        <v>32999.629999999997</v>
      </c>
      <c r="L173">
        <v>1349.3895</v>
      </c>
      <c r="M173">
        <v>-0.33050000000000002</v>
      </c>
      <c r="N173">
        <f t="shared" si="19"/>
        <v>171</v>
      </c>
      <c r="O173" t="str">
        <f t="shared" si="20"/>
        <v/>
      </c>
      <c r="Q173">
        <f t="shared" si="21"/>
        <v>32999.629999999997</v>
      </c>
      <c r="R173">
        <f t="shared" si="22"/>
        <v>-3.0659999974886887E-3</v>
      </c>
      <c r="S173">
        <f t="shared" si="23"/>
        <v>2.0414999999957217E-2</v>
      </c>
      <c r="T173">
        <f t="shared" si="24"/>
        <v>1.106299999999999E-2</v>
      </c>
      <c r="Y173" t="s">
        <v>297</v>
      </c>
      <c r="Z173">
        <v>32999.647100000002</v>
      </c>
      <c r="AA173">
        <v>1349.393</v>
      </c>
      <c r="AB173">
        <v>-0.29149999999999998</v>
      </c>
    </row>
    <row r="174" spans="1:28" x14ac:dyDescent="0.2">
      <c r="A174" t="s">
        <v>298</v>
      </c>
      <c r="B174">
        <v>32499.623312</v>
      </c>
      <c r="C174">
        <v>1349.414618</v>
      </c>
      <c r="D174">
        <v>-0.31524200000000002</v>
      </c>
      <c r="E174">
        <f t="shared" si="17"/>
        <v>172</v>
      </c>
      <c r="F174" t="str">
        <f t="shared" si="18"/>
        <v/>
      </c>
      <c r="J174" t="s">
        <v>298</v>
      </c>
      <c r="K174">
        <v>32499.622800000001</v>
      </c>
      <c r="L174">
        <v>1349.4146000000001</v>
      </c>
      <c r="M174">
        <v>-0.316</v>
      </c>
      <c r="N174">
        <f t="shared" si="19"/>
        <v>172</v>
      </c>
      <c r="O174" t="str">
        <f t="shared" si="20"/>
        <v/>
      </c>
      <c r="Q174">
        <f t="shared" si="21"/>
        <v>32499.622800000001</v>
      </c>
      <c r="R174">
        <f t="shared" si="22"/>
        <v>5.1199999870732427E-4</v>
      </c>
      <c r="S174">
        <f t="shared" si="23"/>
        <v>1.7999999954554369E-5</v>
      </c>
      <c r="T174">
        <f t="shared" si="24"/>
        <v>7.5799999999998091E-4</v>
      </c>
      <c r="Y174" t="s">
        <v>298</v>
      </c>
      <c r="Z174">
        <v>32499.6302</v>
      </c>
      <c r="AA174">
        <v>1349.4123999999999</v>
      </c>
      <c r="AB174">
        <v>-0.2772</v>
      </c>
    </row>
    <row r="175" spans="1:28" x14ac:dyDescent="0.2">
      <c r="A175" t="s">
        <v>299</v>
      </c>
      <c r="B175">
        <v>31999.589967</v>
      </c>
      <c r="C175">
        <v>1349.4455840000001</v>
      </c>
      <c r="D175">
        <v>-0.29652699999999999</v>
      </c>
      <c r="E175">
        <f t="shared" si="17"/>
        <v>173</v>
      </c>
      <c r="F175" t="str">
        <f t="shared" si="18"/>
        <v/>
      </c>
      <c r="J175" t="s">
        <v>299</v>
      </c>
      <c r="K175">
        <v>31999.589599999999</v>
      </c>
      <c r="L175">
        <v>1349.4458999999999</v>
      </c>
      <c r="M175">
        <v>-0.2974</v>
      </c>
      <c r="N175">
        <f t="shared" si="19"/>
        <v>173</v>
      </c>
      <c r="O175" t="str">
        <f t="shared" si="20"/>
        <v/>
      </c>
      <c r="Q175">
        <f t="shared" si="21"/>
        <v>31999.589599999999</v>
      </c>
      <c r="R175">
        <f t="shared" si="22"/>
        <v>3.6700000055134296E-4</v>
      </c>
      <c r="S175">
        <f t="shared" si="23"/>
        <v>-3.1599999988429772E-4</v>
      </c>
      <c r="T175">
        <f t="shared" si="24"/>
        <v>8.7300000000001265E-4</v>
      </c>
      <c r="Y175" t="s">
        <v>299</v>
      </c>
      <c r="Z175">
        <v>31999.593700000001</v>
      </c>
      <c r="AA175">
        <v>1349.4217000000001</v>
      </c>
      <c r="AB175">
        <v>-0.24490000000000001</v>
      </c>
    </row>
    <row r="176" spans="1:28" x14ac:dyDescent="0.2">
      <c r="A176" t="s">
        <v>300</v>
      </c>
      <c r="B176">
        <v>31499.569744</v>
      </c>
      <c r="C176">
        <v>1349.480309</v>
      </c>
      <c r="D176">
        <v>-0.285966</v>
      </c>
      <c r="E176">
        <f t="shared" si="17"/>
        <v>174</v>
      </c>
      <c r="F176" t="str">
        <f t="shared" si="18"/>
        <v/>
      </c>
      <c r="J176" t="s">
        <v>300</v>
      </c>
      <c r="K176">
        <v>31499.569599999999</v>
      </c>
      <c r="L176">
        <v>1349.4806000000001</v>
      </c>
      <c r="M176">
        <v>-0.28699999999999998</v>
      </c>
      <c r="N176">
        <f t="shared" si="19"/>
        <v>174</v>
      </c>
      <c r="O176" t="str">
        <f t="shared" si="20"/>
        <v/>
      </c>
      <c r="Q176">
        <f t="shared" si="21"/>
        <v>31499.569599999999</v>
      </c>
      <c r="R176">
        <f t="shared" si="22"/>
        <v>1.4400000145542435E-4</v>
      </c>
      <c r="S176">
        <f t="shared" si="23"/>
        <v>-2.9100000006110349E-4</v>
      </c>
      <c r="T176">
        <f t="shared" si="24"/>
        <v>1.0339999999999794E-3</v>
      </c>
      <c r="Y176" t="s">
        <v>300</v>
      </c>
      <c r="Z176">
        <v>31499.566800000001</v>
      </c>
      <c r="AA176">
        <v>1349.4575</v>
      </c>
      <c r="AB176">
        <v>-0.2198</v>
      </c>
    </row>
    <row r="177" spans="1:28" x14ac:dyDescent="0.2">
      <c r="A177" t="s">
        <v>301</v>
      </c>
      <c r="B177">
        <v>30999.590993999998</v>
      </c>
      <c r="C177">
        <v>1349.5040759999999</v>
      </c>
      <c r="D177">
        <v>-0.28108499999999997</v>
      </c>
      <c r="E177">
        <f t="shared" si="17"/>
        <v>175</v>
      </c>
      <c r="F177" t="str">
        <f t="shared" si="18"/>
        <v/>
      </c>
      <c r="J177" t="s">
        <v>301</v>
      </c>
      <c r="K177">
        <v>30999.592400000001</v>
      </c>
      <c r="L177">
        <v>1349.5009</v>
      </c>
      <c r="M177">
        <v>-0.28149999999999997</v>
      </c>
      <c r="N177">
        <f t="shared" si="19"/>
        <v>175</v>
      </c>
      <c r="O177" t="str">
        <f t="shared" si="20"/>
        <v/>
      </c>
      <c r="Q177">
        <f t="shared" si="21"/>
        <v>30999.592400000001</v>
      </c>
      <c r="R177">
        <f t="shared" si="22"/>
        <v>-1.4060000030440278E-3</v>
      </c>
      <c r="S177">
        <f t="shared" si="23"/>
        <v>3.1759999999394495E-3</v>
      </c>
      <c r="T177">
        <f t="shared" si="24"/>
        <v>4.149999999999987E-4</v>
      </c>
      <c r="Y177" t="s">
        <v>301</v>
      </c>
      <c r="Z177">
        <v>30999.589</v>
      </c>
      <c r="AA177">
        <v>1349.5037</v>
      </c>
      <c r="AB177">
        <v>-0.2364</v>
      </c>
    </row>
    <row r="178" spans="1:28" x14ac:dyDescent="0.2">
      <c r="A178" t="s">
        <v>302</v>
      </c>
      <c r="B178">
        <v>30499.586819</v>
      </c>
      <c r="C178">
        <v>1349.5066790000001</v>
      </c>
      <c r="D178">
        <v>-0.27072400000000002</v>
      </c>
      <c r="E178">
        <f t="shared" si="17"/>
        <v>176</v>
      </c>
      <c r="F178" t="str">
        <f t="shared" si="18"/>
        <v/>
      </c>
      <c r="J178" t="s">
        <v>302</v>
      </c>
      <c r="K178">
        <v>30499.5867</v>
      </c>
      <c r="L178">
        <v>1349.5064</v>
      </c>
      <c r="M178">
        <v>-0.27150000000000002</v>
      </c>
      <c r="N178">
        <f t="shared" si="19"/>
        <v>176</v>
      </c>
      <c r="O178" t="str">
        <f t="shared" si="20"/>
        <v/>
      </c>
      <c r="Q178">
        <f t="shared" si="21"/>
        <v>30499.5867</v>
      </c>
      <c r="R178">
        <f t="shared" si="22"/>
        <v>1.1900000026798807E-4</v>
      </c>
      <c r="S178">
        <f t="shared" si="23"/>
        <v>2.7900000009140058E-4</v>
      </c>
      <c r="T178">
        <f t="shared" si="24"/>
        <v>7.7599999999999891E-4</v>
      </c>
      <c r="Y178" t="s">
        <v>302</v>
      </c>
      <c r="Z178">
        <v>30499.583699999999</v>
      </c>
      <c r="AA178">
        <v>1349.5284999999999</v>
      </c>
      <c r="AB178">
        <v>-0.22370000000000001</v>
      </c>
    </row>
    <row r="179" spans="1:28" x14ac:dyDescent="0.2">
      <c r="A179" t="s">
        <v>303</v>
      </c>
      <c r="B179">
        <v>29999.562505999998</v>
      </c>
      <c r="C179">
        <v>1349.521424</v>
      </c>
      <c r="D179">
        <v>-0.24648700000000001</v>
      </c>
      <c r="E179">
        <f t="shared" si="17"/>
        <v>177</v>
      </c>
      <c r="F179" t="str">
        <f t="shared" si="18"/>
        <v/>
      </c>
      <c r="J179" t="s">
        <v>303</v>
      </c>
      <c r="K179">
        <v>29999.5628</v>
      </c>
      <c r="L179">
        <v>1349.5213000000001</v>
      </c>
      <c r="M179">
        <v>-0.24660000000000001</v>
      </c>
      <c r="N179">
        <f t="shared" si="19"/>
        <v>177</v>
      </c>
      <c r="O179" t="str">
        <f t="shared" si="20"/>
        <v/>
      </c>
      <c r="Q179">
        <f t="shared" si="21"/>
        <v>29999.5628</v>
      </c>
      <c r="R179">
        <f t="shared" si="22"/>
        <v>-2.9400000130408444E-4</v>
      </c>
      <c r="S179">
        <f t="shared" si="23"/>
        <v>1.2399999991430377E-4</v>
      </c>
      <c r="T179">
        <f t="shared" si="24"/>
        <v>1.1300000000000199E-4</v>
      </c>
      <c r="Y179" t="s">
        <v>303</v>
      </c>
      <c r="Z179">
        <v>29999.551500000001</v>
      </c>
      <c r="AA179">
        <v>1349.538</v>
      </c>
      <c r="AB179">
        <v>-0.23580000000000001</v>
      </c>
    </row>
    <row r="180" spans="1:28" x14ac:dyDescent="0.2">
      <c r="A180" t="s">
        <v>1148</v>
      </c>
      <c r="B180">
        <v>29499.544741999998</v>
      </c>
      <c r="C180">
        <v>1349.5182279999999</v>
      </c>
      <c r="D180">
        <v>-0.23186399999999999</v>
      </c>
      <c r="E180">
        <f t="shared" si="17"/>
        <v>178</v>
      </c>
      <c r="F180" t="str">
        <f t="shared" si="18"/>
        <v/>
      </c>
      <c r="J180" t="s">
        <v>1148</v>
      </c>
      <c r="N180">
        <f t="shared" ref="N180:N243" si="25">RIGHT(J180,LEN(J180)-FIND("_",J180,FIND("_",J180)+1))*1</f>
        <v>178</v>
      </c>
      <c r="O180" t="str">
        <f t="shared" si="20"/>
        <v/>
      </c>
      <c r="Q180">
        <f t="shared" si="21"/>
        <v>0</v>
      </c>
      <c r="Y180" t="s">
        <v>1148</v>
      </c>
      <c r="Z180">
        <v>29499.544699999999</v>
      </c>
      <c r="AA180">
        <v>1349.5182</v>
      </c>
      <c r="AB180">
        <v>-0.2319</v>
      </c>
    </row>
    <row r="181" spans="1:28" x14ac:dyDescent="0.2">
      <c r="A181" t="s">
        <v>304</v>
      </c>
      <c r="B181">
        <v>28999.709962000001</v>
      </c>
      <c r="C181">
        <v>1349.5585120000001</v>
      </c>
      <c r="D181">
        <v>-0.22266900000000001</v>
      </c>
      <c r="E181">
        <f t="shared" si="17"/>
        <v>179</v>
      </c>
      <c r="F181" t="str">
        <f t="shared" si="18"/>
        <v/>
      </c>
      <c r="J181" t="s">
        <v>304</v>
      </c>
      <c r="K181">
        <v>28999.715899999999</v>
      </c>
      <c r="L181">
        <v>1349.5608999999999</v>
      </c>
      <c r="M181">
        <v>-0.2253</v>
      </c>
      <c r="N181">
        <f t="shared" si="25"/>
        <v>179</v>
      </c>
      <c r="O181" t="str">
        <f t="shared" si="20"/>
        <v/>
      </c>
      <c r="Q181">
        <f t="shared" si="21"/>
        <v>28999.715899999999</v>
      </c>
      <c r="R181">
        <f t="shared" ref="R181:R195" si="26">B181-K181</f>
        <v>-5.9379999984230381E-3</v>
      </c>
      <c r="S181">
        <f t="shared" ref="S181:S195" si="27">C181-L181</f>
        <v>-2.3879999998825951E-3</v>
      </c>
      <c r="T181">
        <f t="shared" ref="T181:T195" si="28">D181-M181</f>
        <v>2.6309999999999945E-3</v>
      </c>
      <c r="Y181" t="s">
        <v>304</v>
      </c>
      <c r="Z181">
        <v>28999.684099999999</v>
      </c>
      <c r="AA181">
        <v>1349.5318</v>
      </c>
      <c r="AB181">
        <v>-0.20580000000000001</v>
      </c>
    </row>
    <row r="182" spans="1:28" x14ac:dyDescent="0.2">
      <c r="A182" t="s">
        <v>305</v>
      </c>
      <c r="B182">
        <v>28499.689906</v>
      </c>
      <c r="C182">
        <v>1349.5726139999999</v>
      </c>
      <c r="D182">
        <v>-0.182145</v>
      </c>
      <c r="E182">
        <f t="shared" si="17"/>
        <v>180</v>
      </c>
      <c r="F182" t="str">
        <f t="shared" si="18"/>
        <v/>
      </c>
      <c r="J182" t="s">
        <v>305</v>
      </c>
      <c r="K182">
        <v>28499.691200000001</v>
      </c>
      <c r="L182">
        <v>1349.5726999999999</v>
      </c>
      <c r="M182">
        <v>-0.1827</v>
      </c>
      <c r="N182">
        <f t="shared" si="25"/>
        <v>180</v>
      </c>
      <c r="O182" t="str">
        <f t="shared" si="20"/>
        <v/>
      </c>
      <c r="Q182">
        <f t="shared" si="21"/>
        <v>28499.691200000001</v>
      </c>
      <c r="R182">
        <f t="shared" si="26"/>
        <v>-1.2940000015078112E-3</v>
      </c>
      <c r="S182">
        <f t="shared" si="27"/>
        <v>-8.6000000010244548E-5</v>
      </c>
      <c r="T182">
        <f t="shared" si="28"/>
        <v>5.5499999999999994E-4</v>
      </c>
      <c r="Y182" t="s">
        <v>305</v>
      </c>
      <c r="Z182">
        <v>28499.664799999999</v>
      </c>
      <c r="AA182">
        <v>1349.5672</v>
      </c>
      <c r="AB182">
        <v>-0.15640000000000001</v>
      </c>
    </row>
    <row r="183" spans="1:28" x14ac:dyDescent="0.2">
      <c r="A183" t="s">
        <v>306</v>
      </c>
      <c r="B183">
        <v>27999.697528000001</v>
      </c>
      <c r="C183">
        <v>1349.57239</v>
      </c>
      <c r="D183">
        <v>-0.16958400000000001</v>
      </c>
      <c r="E183">
        <f t="shared" si="17"/>
        <v>181</v>
      </c>
      <c r="F183" t="str">
        <f t="shared" si="18"/>
        <v/>
      </c>
      <c r="J183" t="s">
        <v>306</v>
      </c>
      <c r="K183">
        <v>27999.699700000001</v>
      </c>
      <c r="L183">
        <v>1349.5726</v>
      </c>
      <c r="M183">
        <v>-0.1701</v>
      </c>
      <c r="N183">
        <f t="shared" si="25"/>
        <v>181</v>
      </c>
      <c r="O183" t="str">
        <f t="shared" si="20"/>
        <v/>
      </c>
      <c r="Q183">
        <f t="shared" si="21"/>
        <v>27999.699700000001</v>
      </c>
      <c r="R183">
        <f t="shared" si="26"/>
        <v>-2.1720000004279427E-3</v>
      </c>
      <c r="S183">
        <f t="shared" si="27"/>
        <v>-2.0999999992454832E-4</v>
      </c>
      <c r="T183">
        <f t="shared" si="28"/>
        <v>5.1599999999998869E-4</v>
      </c>
      <c r="Y183" t="s">
        <v>306</v>
      </c>
      <c r="Z183">
        <v>27999.663700000001</v>
      </c>
      <c r="AA183">
        <v>1349.5658000000001</v>
      </c>
      <c r="AB183">
        <v>-0.14649999999999999</v>
      </c>
    </row>
    <row r="184" spans="1:28" x14ac:dyDescent="0.2">
      <c r="A184" t="s">
        <v>307</v>
      </c>
      <c r="B184">
        <v>27499.693890999999</v>
      </c>
      <c r="C184">
        <v>1349.5717629999999</v>
      </c>
      <c r="D184">
        <v>-0.186025</v>
      </c>
      <c r="E184">
        <f t="shared" si="17"/>
        <v>182</v>
      </c>
      <c r="F184" t="str">
        <f t="shared" si="18"/>
        <v/>
      </c>
      <c r="J184" t="s">
        <v>307</v>
      </c>
      <c r="K184">
        <v>27499.6963</v>
      </c>
      <c r="L184">
        <v>1349.5749000000001</v>
      </c>
      <c r="M184">
        <v>-0.18640000000000001</v>
      </c>
      <c r="N184">
        <f t="shared" si="25"/>
        <v>182</v>
      </c>
      <c r="O184" t="str">
        <f t="shared" si="20"/>
        <v/>
      </c>
      <c r="Q184">
        <f t="shared" si="21"/>
        <v>27499.6963</v>
      </c>
      <c r="R184">
        <f t="shared" si="26"/>
        <v>-2.4090000006253831E-3</v>
      </c>
      <c r="S184">
        <f t="shared" si="27"/>
        <v>-3.1370000001516019E-3</v>
      </c>
      <c r="T184">
        <f t="shared" si="28"/>
        <v>3.7500000000001421E-4</v>
      </c>
      <c r="Y184" t="s">
        <v>307</v>
      </c>
      <c r="Z184">
        <v>27499.6675</v>
      </c>
      <c r="AA184">
        <v>1349.4706000000001</v>
      </c>
      <c r="AB184">
        <v>-0.16520000000000001</v>
      </c>
    </row>
    <row r="185" spans="1:28" x14ac:dyDescent="0.2">
      <c r="A185" t="s">
        <v>308</v>
      </c>
      <c r="B185">
        <v>26999.691404000001</v>
      </c>
      <c r="C185">
        <v>1349.5740450000001</v>
      </c>
      <c r="D185">
        <v>-0.18496099999999999</v>
      </c>
      <c r="E185">
        <f t="shared" si="17"/>
        <v>183</v>
      </c>
      <c r="F185" t="str">
        <f t="shared" si="18"/>
        <v/>
      </c>
      <c r="J185" t="s">
        <v>308</v>
      </c>
      <c r="K185">
        <v>26999.699400000001</v>
      </c>
      <c r="L185">
        <v>1349.5844</v>
      </c>
      <c r="M185">
        <v>-0.1867</v>
      </c>
      <c r="N185">
        <f t="shared" si="25"/>
        <v>183</v>
      </c>
      <c r="O185" t="str">
        <f t="shared" si="20"/>
        <v/>
      </c>
      <c r="Q185">
        <f t="shared" si="21"/>
        <v>26999.699400000001</v>
      </c>
      <c r="R185">
        <f t="shared" si="26"/>
        <v>-7.9960000002756715E-3</v>
      </c>
      <c r="S185">
        <f t="shared" si="27"/>
        <v>-1.0354999999890424E-2</v>
      </c>
      <c r="T185">
        <f t="shared" si="28"/>
        <v>1.7390000000000183E-3</v>
      </c>
      <c r="Y185" t="s">
        <v>308</v>
      </c>
      <c r="Z185">
        <v>26999.671900000001</v>
      </c>
      <c r="AA185">
        <v>1349.537</v>
      </c>
      <c r="AB185">
        <v>-0.1704</v>
      </c>
    </row>
    <row r="186" spans="1:28" x14ac:dyDescent="0.2">
      <c r="A186" t="s">
        <v>309</v>
      </c>
      <c r="B186">
        <v>26499.689023999999</v>
      </c>
      <c r="C186">
        <v>1349.589694</v>
      </c>
      <c r="D186">
        <v>-0.17635200000000001</v>
      </c>
      <c r="E186">
        <f t="shared" si="17"/>
        <v>184</v>
      </c>
      <c r="F186" t="str">
        <f t="shared" si="18"/>
        <v/>
      </c>
      <c r="J186" t="s">
        <v>309</v>
      </c>
      <c r="K186">
        <v>26499.6927</v>
      </c>
      <c r="L186">
        <v>1349.5959</v>
      </c>
      <c r="M186">
        <v>-0.1762</v>
      </c>
      <c r="N186">
        <f t="shared" si="25"/>
        <v>184</v>
      </c>
      <c r="O186" t="str">
        <f t="shared" si="20"/>
        <v/>
      </c>
      <c r="Q186">
        <f t="shared" si="21"/>
        <v>26499.6927</v>
      </c>
      <c r="R186">
        <f t="shared" si="26"/>
        <v>-3.6760000002686866E-3</v>
      </c>
      <c r="S186">
        <f t="shared" si="27"/>
        <v>-6.2060000000201399E-3</v>
      </c>
      <c r="T186">
        <f t="shared" si="28"/>
        <v>-1.5200000000001324E-4</v>
      </c>
      <c r="Y186" t="s">
        <v>309</v>
      </c>
      <c r="Z186">
        <v>26499.663499999999</v>
      </c>
      <c r="AA186">
        <v>1349.4749999999999</v>
      </c>
      <c r="AB186">
        <v>-0.16669999999999999</v>
      </c>
    </row>
    <row r="187" spans="1:28" x14ac:dyDescent="0.2">
      <c r="A187" t="s">
        <v>310</v>
      </c>
      <c r="B187">
        <v>25999.684995</v>
      </c>
      <c r="C187">
        <v>1349.6157450000001</v>
      </c>
      <c r="D187">
        <v>-0.155751</v>
      </c>
      <c r="E187">
        <f t="shared" si="17"/>
        <v>185</v>
      </c>
      <c r="F187" t="str">
        <f t="shared" si="18"/>
        <v/>
      </c>
      <c r="J187" t="s">
        <v>310</v>
      </c>
      <c r="K187">
        <v>25999.6895</v>
      </c>
      <c r="L187">
        <v>1349.6214</v>
      </c>
      <c r="M187">
        <v>-0.15390000000000001</v>
      </c>
      <c r="N187">
        <f t="shared" si="25"/>
        <v>185</v>
      </c>
      <c r="O187" t="str">
        <f t="shared" si="20"/>
        <v/>
      </c>
      <c r="Q187">
        <f t="shared" si="21"/>
        <v>25999.6895</v>
      </c>
      <c r="R187">
        <f t="shared" si="26"/>
        <v>-4.50500000079046E-3</v>
      </c>
      <c r="S187">
        <f t="shared" si="27"/>
        <v>-5.6549999999333522E-3</v>
      </c>
      <c r="T187">
        <f t="shared" si="28"/>
        <v>-1.8509999999999915E-3</v>
      </c>
      <c r="Y187" t="s">
        <v>310</v>
      </c>
      <c r="Z187">
        <v>25999.660100000001</v>
      </c>
      <c r="AA187">
        <v>1349.5360000000001</v>
      </c>
      <c r="AB187">
        <v>-0.16980000000000001</v>
      </c>
    </row>
    <row r="188" spans="1:28" x14ac:dyDescent="0.2">
      <c r="A188" t="s">
        <v>311</v>
      </c>
      <c r="B188">
        <v>25499.681807000001</v>
      </c>
      <c r="C188">
        <v>1349.644908</v>
      </c>
      <c r="D188">
        <v>-0.139934</v>
      </c>
      <c r="E188">
        <f t="shared" si="17"/>
        <v>186</v>
      </c>
      <c r="F188" t="str">
        <f t="shared" si="18"/>
        <v/>
      </c>
      <c r="J188" t="s">
        <v>311</v>
      </c>
      <c r="K188">
        <v>25499.686699999998</v>
      </c>
      <c r="L188">
        <v>1349.6505</v>
      </c>
      <c r="M188">
        <v>-0.1389</v>
      </c>
      <c r="N188">
        <f t="shared" si="25"/>
        <v>186</v>
      </c>
      <c r="O188" t="str">
        <f t="shared" si="20"/>
        <v/>
      </c>
      <c r="Q188">
        <f t="shared" si="21"/>
        <v>25499.686699999998</v>
      </c>
      <c r="R188">
        <f t="shared" si="26"/>
        <v>-4.8929999975371175E-3</v>
      </c>
      <c r="S188">
        <f t="shared" si="27"/>
        <v>-5.5919999999787251E-3</v>
      </c>
      <c r="T188">
        <f t="shared" si="28"/>
        <v>-1.0340000000000071E-3</v>
      </c>
      <c r="Y188" t="s">
        <v>311</v>
      </c>
      <c r="Z188">
        <v>25499.656500000001</v>
      </c>
      <c r="AA188">
        <v>1349.5835999999999</v>
      </c>
      <c r="AB188">
        <v>-0.13689999999999999</v>
      </c>
    </row>
    <row r="189" spans="1:28" x14ac:dyDescent="0.2">
      <c r="A189" t="s">
        <v>312</v>
      </c>
      <c r="B189">
        <v>24999.689826999998</v>
      </c>
      <c r="C189">
        <v>1349.6522990000001</v>
      </c>
      <c r="D189">
        <v>-0.14024200000000001</v>
      </c>
      <c r="E189">
        <f t="shared" si="17"/>
        <v>187</v>
      </c>
      <c r="F189" t="str">
        <f t="shared" si="18"/>
        <v/>
      </c>
      <c r="J189" t="s">
        <v>312</v>
      </c>
      <c r="K189">
        <v>24999.696</v>
      </c>
      <c r="L189">
        <v>1349.6723</v>
      </c>
      <c r="M189">
        <v>-0.1353</v>
      </c>
      <c r="N189">
        <f t="shared" si="25"/>
        <v>187</v>
      </c>
      <c r="O189" t="str">
        <f t="shared" si="20"/>
        <v/>
      </c>
      <c r="Q189">
        <f t="shared" si="21"/>
        <v>24999.696</v>
      </c>
      <c r="R189">
        <f t="shared" si="26"/>
        <v>-6.1730000015813857E-3</v>
      </c>
      <c r="S189">
        <f t="shared" si="27"/>
        <v>-2.0000999999865599E-2</v>
      </c>
      <c r="T189">
        <f t="shared" si="28"/>
        <v>-4.9420000000000019E-3</v>
      </c>
      <c r="Y189" t="s">
        <v>312</v>
      </c>
      <c r="Z189">
        <v>24999.661100000001</v>
      </c>
      <c r="AA189">
        <v>1349.5943</v>
      </c>
      <c r="AB189">
        <v>-0.12</v>
      </c>
    </row>
    <row r="190" spans="1:28" x14ac:dyDescent="0.2">
      <c r="A190" t="s">
        <v>313</v>
      </c>
      <c r="B190">
        <v>24499.64705</v>
      </c>
      <c r="C190">
        <v>1349.6909559999999</v>
      </c>
      <c r="D190">
        <v>-0.142655</v>
      </c>
      <c r="E190">
        <f t="shared" si="17"/>
        <v>188</v>
      </c>
      <c r="F190" t="str">
        <f t="shared" si="18"/>
        <v/>
      </c>
      <c r="J190" t="s">
        <v>313</v>
      </c>
      <c r="K190">
        <v>24499.6554</v>
      </c>
      <c r="L190">
        <v>1349.6975</v>
      </c>
      <c r="M190">
        <v>-0.1406</v>
      </c>
      <c r="N190">
        <f t="shared" si="25"/>
        <v>188</v>
      </c>
      <c r="O190" t="str">
        <f t="shared" si="20"/>
        <v/>
      </c>
      <c r="Q190">
        <f t="shared" si="21"/>
        <v>24499.6554</v>
      </c>
      <c r="R190">
        <f t="shared" si="26"/>
        <v>-8.3500000000640284E-3</v>
      </c>
      <c r="S190">
        <f t="shared" si="27"/>
        <v>-6.5440000000762666E-3</v>
      </c>
      <c r="T190">
        <f t="shared" si="28"/>
        <v>-2.0550000000000013E-3</v>
      </c>
      <c r="Y190" t="s">
        <v>313</v>
      </c>
      <c r="Z190">
        <v>24499.6139</v>
      </c>
      <c r="AA190">
        <v>1349.6479999999999</v>
      </c>
      <c r="AB190">
        <v>-0.13800000000000001</v>
      </c>
    </row>
    <row r="191" spans="1:28" x14ac:dyDescent="0.2">
      <c r="A191" t="s">
        <v>314</v>
      </c>
      <c r="B191">
        <v>23999.603368</v>
      </c>
      <c r="C191">
        <v>1349.715608</v>
      </c>
      <c r="D191">
        <v>-0.146593</v>
      </c>
      <c r="E191">
        <f t="shared" si="17"/>
        <v>189</v>
      </c>
      <c r="F191" t="str">
        <f t="shared" si="18"/>
        <v/>
      </c>
      <c r="J191" t="s">
        <v>314</v>
      </c>
      <c r="K191">
        <v>23999.6096</v>
      </c>
      <c r="L191">
        <v>1349.7302999999999</v>
      </c>
      <c r="M191">
        <v>-0.14829999999999999</v>
      </c>
      <c r="N191">
        <f t="shared" si="25"/>
        <v>189</v>
      </c>
      <c r="O191" t="str">
        <f t="shared" si="20"/>
        <v/>
      </c>
      <c r="Q191">
        <f t="shared" si="21"/>
        <v>23999.6096</v>
      </c>
      <c r="R191">
        <f t="shared" si="26"/>
        <v>-6.2319999997271225E-3</v>
      </c>
      <c r="S191">
        <f t="shared" si="27"/>
        <v>-1.4691999999968175E-2</v>
      </c>
      <c r="T191">
        <f t="shared" si="28"/>
        <v>1.7069999999999863E-3</v>
      </c>
      <c r="Y191" t="s">
        <v>314</v>
      </c>
      <c r="Z191">
        <v>23999.581600000001</v>
      </c>
      <c r="AA191">
        <v>1349.6316999999999</v>
      </c>
      <c r="AB191">
        <v>-0.12189999999999999</v>
      </c>
    </row>
    <row r="192" spans="1:28" x14ac:dyDescent="0.2">
      <c r="A192" t="s">
        <v>315</v>
      </c>
      <c r="B192">
        <v>23499.579784000001</v>
      </c>
      <c r="C192">
        <v>1349.7625</v>
      </c>
      <c r="D192">
        <v>-0.116592</v>
      </c>
      <c r="E192">
        <f t="shared" si="17"/>
        <v>190</v>
      </c>
      <c r="F192" t="str">
        <f t="shared" si="18"/>
        <v/>
      </c>
      <c r="J192" t="s">
        <v>315</v>
      </c>
      <c r="K192">
        <v>23499.586200000002</v>
      </c>
      <c r="L192">
        <v>1349.7756999999999</v>
      </c>
      <c r="M192">
        <v>-0.1147</v>
      </c>
      <c r="N192">
        <f t="shared" si="25"/>
        <v>190</v>
      </c>
      <c r="O192" t="str">
        <f t="shared" si="20"/>
        <v/>
      </c>
      <c r="Q192">
        <f t="shared" si="21"/>
        <v>23499.586200000002</v>
      </c>
      <c r="R192">
        <f t="shared" si="26"/>
        <v>-6.4160000001720618E-3</v>
      </c>
      <c r="S192">
        <f t="shared" si="27"/>
        <v>-1.319999999986976E-2</v>
      </c>
      <c r="T192">
        <f t="shared" si="28"/>
        <v>-1.8920000000000048E-3</v>
      </c>
      <c r="Y192" t="s">
        <v>315</v>
      </c>
      <c r="Z192">
        <v>23499.563399999999</v>
      </c>
      <c r="AA192">
        <v>1349.7012999999999</v>
      </c>
      <c r="AB192">
        <v>-0.11509999999999999</v>
      </c>
    </row>
    <row r="193" spans="1:28" x14ac:dyDescent="0.2">
      <c r="A193" t="s">
        <v>316</v>
      </c>
      <c r="B193">
        <v>22999.563867000001</v>
      </c>
      <c r="C193">
        <v>1349.7462069999999</v>
      </c>
      <c r="D193">
        <v>-0.11024100000000001</v>
      </c>
      <c r="E193">
        <f t="shared" si="17"/>
        <v>191</v>
      </c>
      <c r="F193" t="str">
        <f t="shared" si="18"/>
        <v/>
      </c>
      <c r="J193" t="s">
        <v>316</v>
      </c>
      <c r="K193">
        <v>22999.5795</v>
      </c>
      <c r="L193">
        <v>1349.7892999999999</v>
      </c>
      <c r="M193">
        <v>-0.1132</v>
      </c>
      <c r="N193">
        <f t="shared" si="25"/>
        <v>191</v>
      </c>
      <c r="O193" t="str">
        <f t="shared" si="20"/>
        <v/>
      </c>
      <c r="Q193">
        <f t="shared" si="21"/>
        <v>22999.5795</v>
      </c>
      <c r="R193">
        <f t="shared" si="26"/>
        <v>-1.5632999999070307E-2</v>
      </c>
      <c r="S193">
        <f t="shared" si="27"/>
        <v>-4.3092999999998938E-2</v>
      </c>
      <c r="T193">
        <f t="shared" si="28"/>
        <v>2.9589999999999894E-3</v>
      </c>
      <c r="Y193" t="s">
        <v>316</v>
      </c>
      <c r="Z193">
        <v>22999.548599999998</v>
      </c>
      <c r="AA193">
        <v>1349.7059999999999</v>
      </c>
      <c r="AB193">
        <v>-0.1106</v>
      </c>
    </row>
    <row r="194" spans="1:28" x14ac:dyDescent="0.2">
      <c r="A194" t="s">
        <v>317</v>
      </c>
      <c r="B194">
        <v>22499.541211</v>
      </c>
      <c r="C194">
        <v>1349.790229</v>
      </c>
      <c r="D194">
        <v>-0.10183399999999999</v>
      </c>
      <c r="E194">
        <f t="shared" si="17"/>
        <v>192</v>
      </c>
      <c r="F194" t="str">
        <f t="shared" si="18"/>
        <v/>
      </c>
      <c r="J194" t="s">
        <v>317</v>
      </c>
      <c r="K194">
        <v>22499.552199999998</v>
      </c>
      <c r="L194">
        <v>1349.8047999999999</v>
      </c>
      <c r="M194">
        <v>-0.1</v>
      </c>
      <c r="N194">
        <f t="shared" si="25"/>
        <v>192</v>
      </c>
      <c r="O194" t="str">
        <f t="shared" si="20"/>
        <v/>
      </c>
      <c r="Q194">
        <f t="shared" si="21"/>
        <v>22499.552199999998</v>
      </c>
      <c r="R194">
        <f t="shared" si="26"/>
        <v>-1.0988999998517102E-2</v>
      </c>
      <c r="S194">
        <f t="shared" si="27"/>
        <v>-1.457099999993261E-2</v>
      </c>
      <c r="T194">
        <f t="shared" si="28"/>
        <v>-1.8339999999999884E-3</v>
      </c>
      <c r="Y194" t="s">
        <v>317</v>
      </c>
      <c r="Z194">
        <v>22499.516899999999</v>
      </c>
      <c r="AA194">
        <v>1349.7469000000001</v>
      </c>
      <c r="AB194">
        <v>-9.3200000000000005E-2</v>
      </c>
    </row>
    <row r="195" spans="1:28" x14ac:dyDescent="0.2">
      <c r="A195" t="s">
        <v>318</v>
      </c>
      <c r="B195">
        <v>21999.592498000002</v>
      </c>
      <c r="C195">
        <v>1349.8099669999999</v>
      </c>
      <c r="D195">
        <v>-0.108998</v>
      </c>
      <c r="E195">
        <f t="shared" si="17"/>
        <v>193</v>
      </c>
      <c r="F195" t="str">
        <f t="shared" si="18"/>
        <v/>
      </c>
      <c r="J195" t="s">
        <v>318</v>
      </c>
      <c r="K195">
        <v>21999.607100000001</v>
      </c>
      <c r="L195">
        <v>1349.8253</v>
      </c>
      <c r="M195">
        <v>-0.1008</v>
      </c>
      <c r="N195">
        <f t="shared" si="25"/>
        <v>193</v>
      </c>
      <c r="O195" t="str">
        <f t="shared" si="20"/>
        <v/>
      </c>
      <c r="Q195">
        <f t="shared" si="21"/>
        <v>21999.607100000001</v>
      </c>
      <c r="R195">
        <f t="shared" si="26"/>
        <v>-1.4601999999285908E-2</v>
      </c>
      <c r="S195">
        <f t="shared" si="27"/>
        <v>-1.5333000000055108E-2</v>
      </c>
      <c r="T195">
        <f t="shared" si="28"/>
        <v>-8.197999999999997E-3</v>
      </c>
      <c r="Y195" t="s">
        <v>318</v>
      </c>
      <c r="Z195">
        <v>21999.566599999998</v>
      </c>
      <c r="AA195">
        <v>1349.7734</v>
      </c>
      <c r="AB195">
        <v>-0.1157</v>
      </c>
    </row>
    <row r="196" spans="1:28" x14ac:dyDescent="0.2">
      <c r="A196" t="s">
        <v>319</v>
      </c>
      <c r="B196">
        <v>21499.589585000002</v>
      </c>
      <c r="C196">
        <v>1349.812381</v>
      </c>
      <c r="D196">
        <v>-0.109334</v>
      </c>
      <c r="E196">
        <f t="shared" ref="E196:E259" si="29">RIGHT(A196,LEN(A196)-FIND("_",A196,FIND("_",A196)+1))*1</f>
        <v>194</v>
      </c>
      <c r="F196" t="str">
        <f t="shared" ref="F196:F259" si="30">IF(E196&lt;&gt;1+E195,"err","")</f>
        <v/>
      </c>
      <c r="J196" t="s">
        <v>319</v>
      </c>
      <c r="K196">
        <v>21499.605599999999</v>
      </c>
      <c r="L196">
        <v>1349.8341</v>
      </c>
      <c r="M196">
        <v>-0.1023</v>
      </c>
      <c r="N196">
        <f t="shared" si="25"/>
        <v>194</v>
      </c>
      <c r="O196" t="str">
        <f t="shared" ref="O196:O259" si="31">IF(N196&lt;&gt;1+N195,"err","")</f>
        <v/>
      </c>
      <c r="Q196">
        <f t="shared" ref="Q196:Q259" si="32">K196</f>
        <v>21499.605599999999</v>
      </c>
      <c r="R196">
        <f t="shared" ref="R196:R259" si="33">B196-K196</f>
        <v>-1.6014999997423729E-2</v>
      </c>
      <c r="S196">
        <f t="shared" ref="S196:S259" si="34">C196-L196</f>
        <v>-2.1719000000075539E-2</v>
      </c>
      <c r="T196">
        <f t="shared" ref="T196:T259" si="35">D196-M196</f>
        <v>-7.0339999999999986E-3</v>
      </c>
      <c r="Y196" t="s">
        <v>319</v>
      </c>
      <c r="Z196">
        <v>21499.564600000002</v>
      </c>
      <c r="AA196">
        <v>1349.7682</v>
      </c>
      <c r="AB196">
        <v>-0.1103</v>
      </c>
    </row>
    <row r="197" spans="1:28" x14ac:dyDescent="0.2">
      <c r="A197" t="s">
        <v>320</v>
      </c>
      <c r="B197">
        <v>20999.575905999998</v>
      </c>
      <c r="C197">
        <v>1349.820518</v>
      </c>
      <c r="D197">
        <v>-0.108157</v>
      </c>
      <c r="E197">
        <f t="shared" si="29"/>
        <v>195</v>
      </c>
      <c r="F197" t="str">
        <f t="shared" si="30"/>
        <v/>
      </c>
      <c r="J197" t="s">
        <v>320</v>
      </c>
      <c r="K197">
        <v>20999.593000000001</v>
      </c>
      <c r="L197">
        <v>1349.8416</v>
      </c>
      <c r="M197">
        <v>-0.10199999999999999</v>
      </c>
      <c r="N197">
        <f t="shared" si="25"/>
        <v>195</v>
      </c>
      <c r="O197" t="str">
        <f t="shared" si="31"/>
        <v/>
      </c>
      <c r="Q197">
        <f t="shared" si="32"/>
        <v>20999.593000000001</v>
      </c>
      <c r="R197">
        <f t="shared" si="33"/>
        <v>-1.7094000002543908E-2</v>
      </c>
      <c r="S197">
        <f t="shared" si="34"/>
        <v>-2.1081999999978507E-2</v>
      </c>
      <c r="T197">
        <f t="shared" si="35"/>
        <v>-6.1570000000000097E-3</v>
      </c>
      <c r="Y197" t="s">
        <v>320</v>
      </c>
      <c r="Z197">
        <v>20999.5517</v>
      </c>
      <c r="AA197">
        <v>1349.7855</v>
      </c>
      <c r="AB197">
        <v>-0.10589999999999999</v>
      </c>
    </row>
    <row r="198" spans="1:28" x14ac:dyDescent="0.2">
      <c r="A198" t="s">
        <v>321</v>
      </c>
      <c r="B198">
        <v>20499.565952000001</v>
      </c>
      <c r="C198">
        <v>1349.824042</v>
      </c>
      <c r="D198">
        <v>-8.6022000000000001E-2</v>
      </c>
      <c r="E198">
        <f t="shared" si="29"/>
        <v>196</v>
      </c>
      <c r="F198" t="str">
        <f t="shared" si="30"/>
        <v/>
      </c>
      <c r="J198" t="s">
        <v>321</v>
      </c>
      <c r="K198">
        <v>20499.583200000001</v>
      </c>
      <c r="L198">
        <v>1349.8562999999999</v>
      </c>
      <c r="M198">
        <v>-7.4300000000000005E-2</v>
      </c>
      <c r="N198">
        <f t="shared" si="25"/>
        <v>196</v>
      </c>
      <c r="O198" t="str">
        <f t="shared" si="31"/>
        <v/>
      </c>
      <c r="Q198">
        <f t="shared" si="32"/>
        <v>20499.583200000001</v>
      </c>
      <c r="R198">
        <f t="shared" si="33"/>
        <v>-1.7248000000108732E-2</v>
      </c>
      <c r="S198">
        <f t="shared" si="34"/>
        <v>-3.2257999999956155E-2</v>
      </c>
      <c r="T198">
        <f t="shared" si="35"/>
        <v>-1.1721999999999996E-2</v>
      </c>
      <c r="Y198" t="s">
        <v>321</v>
      </c>
      <c r="Z198">
        <v>20499.547699999999</v>
      </c>
      <c r="AA198">
        <v>1349.7773999999999</v>
      </c>
      <c r="AB198">
        <v>-9.2899999999999996E-2</v>
      </c>
    </row>
    <row r="199" spans="1:28" x14ac:dyDescent="0.2">
      <c r="A199" t="s">
        <v>322</v>
      </c>
      <c r="B199">
        <v>19999.578253</v>
      </c>
      <c r="C199">
        <v>1349.8335010000001</v>
      </c>
      <c r="D199">
        <v>-8.8859999999999995E-2</v>
      </c>
      <c r="E199">
        <f t="shared" si="29"/>
        <v>197</v>
      </c>
      <c r="F199" t="str">
        <f t="shared" si="30"/>
        <v/>
      </c>
      <c r="J199" t="s">
        <v>322</v>
      </c>
      <c r="K199">
        <v>19999.598699999999</v>
      </c>
      <c r="L199">
        <v>1349.8671999999999</v>
      </c>
      <c r="M199">
        <v>-7.6100000000000001E-2</v>
      </c>
      <c r="N199">
        <f t="shared" si="25"/>
        <v>197</v>
      </c>
      <c r="O199" t="str">
        <f t="shared" si="31"/>
        <v/>
      </c>
      <c r="Q199">
        <f t="shared" si="32"/>
        <v>19999.598699999999</v>
      </c>
      <c r="R199">
        <f t="shared" si="33"/>
        <v>-2.044699999896693E-2</v>
      </c>
      <c r="S199">
        <f t="shared" si="34"/>
        <v>-3.3698999999842272E-2</v>
      </c>
      <c r="T199">
        <f t="shared" si="35"/>
        <v>-1.2759999999999994E-2</v>
      </c>
      <c r="Y199" t="s">
        <v>322</v>
      </c>
      <c r="Z199">
        <v>19999.558300000001</v>
      </c>
      <c r="AA199">
        <v>1349.7935</v>
      </c>
      <c r="AB199">
        <v>-9.3600000000000003E-2</v>
      </c>
    </row>
    <row r="200" spans="1:28" x14ac:dyDescent="0.2">
      <c r="A200" t="s">
        <v>323</v>
      </c>
      <c r="B200">
        <v>19499.578096000001</v>
      </c>
      <c r="C200">
        <v>1349.8320550000001</v>
      </c>
      <c r="D200">
        <v>-8.7998000000000007E-2</v>
      </c>
      <c r="E200">
        <f t="shared" si="29"/>
        <v>198</v>
      </c>
      <c r="F200" t="str">
        <f t="shared" si="30"/>
        <v/>
      </c>
      <c r="J200" t="s">
        <v>323</v>
      </c>
      <c r="K200">
        <v>19499.600900000001</v>
      </c>
      <c r="L200">
        <v>1349.8733</v>
      </c>
      <c r="M200">
        <v>-8.0100000000000005E-2</v>
      </c>
      <c r="N200">
        <f t="shared" si="25"/>
        <v>198</v>
      </c>
      <c r="O200" t="str">
        <f t="shared" si="31"/>
        <v/>
      </c>
      <c r="Q200">
        <f t="shared" si="32"/>
        <v>19499.600900000001</v>
      </c>
      <c r="R200">
        <f t="shared" si="33"/>
        <v>-2.2804000000178348E-2</v>
      </c>
      <c r="S200">
        <f t="shared" si="34"/>
        <v>-4.1244999999889842E-2</v>
      </c>
      <c r="T200">
        <f t="shared" si="35"/>
        <v>-7.8980000000000022E-3</v>
      </c>
      <c r="Y200" t="s">
        <v>323</v>
      </c>
      <c r="Z200">
        <v>19499.557199999999</v>
      </c>
      <c r="AA200">
        <v>1349.7909</v>
      </c>
      <c r="AB200">
        <v>-8.48E-2</v>
      </c>
    </row>
    <row r="201" spans="1:28" x14ac:dyDescent="0.2">
      <c r="A201" t="s">
        <v>324</v>
      </c>
      <c r="B201">
        <v>18999.558206000002</v>
      </c>
      <c r="C201">
        <v>1349.820534</v>
      </c>
      <c r="D201">
        <v>-8.3399000000000001E-2</v>
      </c>
      <c r="E201">
        <f t="shared" si="29"/>
        <v>199</v>
      </c>
      <c r="F201" t="str">
        <f t="shared" si="30"/>
        <v/>
      </c>
      <c r="J201" t="s">
        <v>324</v>
      </c>
      <c r="K201">
        <v>18999.5834</v>
      </c>
      <c r="L201">
        <v>1349.8616999999999</v>
      </c>
      <c r="M201">
        <v>-7.9299999999999995E-2</v>
      </c>
      <c r="N201">
        <f t="shared" si="25"/>
        <v>199</v>
      </c>
      <c r="O201" t="str">
        <f t="shared" si="31"/>
        <v/>
      </c>
      <c r="Q201">
        <f t="shared" si="32"/>
        <v>18999.5834</v>
      </c>
      <c r="R201">
        <f t="shared" si="33"/>
        <v>-2.5193999998009531E-2</v>
      </c>
      <c r="S201">
        <f t="shared" si="34"/>
        <v>-4.1165999999975611E-2</v>
      </c>
      <c r="T201">
        <f t="shared" si="35"/>
        <v>-4.0990000000000054E-3</v>
      </c>
      <c r="Y201" t="s">
        <v>324</v>
      </c>
      <c r="Z201">
        <v>18999.536700000001</v>
      </c>
      <c r="AA201">
        <v>1349.7868000000001</v>
      </c>
      <c r="AB201">
        <v>-7.5700000000000003E-2</v>
      </c>
    </row>
    <row r="202" spans="1:28" x14ac:dyDescent="0.2">
      <c r="A202" t="s">
        <v>325</v>
      </c>
      <c r="B202">
        <v>18499.544123</v>
      </c>
      <c r="C202">
        <v>1349.8036910000001</v>
      </c>
      <c r="D202">
        <v>-6.4975000000000005E-2</v>
      </c>
      <c r="E202">
        <f t="shared" si="29"/>
        <v>200</v>
      </c>
      <c r="F202" t="str">
        <f t="shared" si="30"/>
        <v/>
      </c>
      <c r="J202" t="s">
        <v>325</v>
      </c>
      <c r="K202">
        <v>18499.568200000002</v>
      </c>
      <c r="L202">
        <v>1349.857</v>
      </c>
      <c r="M202">
        <v>-6.6799999999999998E-2</v>
      </c>
      <c r="N202">
        <f t="shared" si="25"/>
        <v>200</v>
      </c>
      <c r="O202" t="str">
        <f t="shared" si="31"/>
        <v/>
      </c>
      <c r="Q202">
        <f t="shared" si="32"/>
        <v>18499.568200000002</v>
      </c>
      <c r="R202">
        <f t="shared" si="33"/>
        <v>-2.4077000001852866E-2</v>
      </c>
      <c r="S202">
        <f t="shared" si="34"/>
        <v>-5.3308999999899243E-2</v>
      </c>
      <c r="T202">
        <f t="shared" si="35"/>
        <v>1.8249999999999933E-3</v>
      </c>
      <c r="Y202" t="s">
        <v>325</v>
      </c>
      <c r="Z202">
        <v>18499.525900000001</v>
      </c>
      <c r="AA202">
        <v>1349.7662</v>
      </c>
      <c r="AB202">
        <v>-5.3900000000000003E-2</v>
      </c>
    </row>
    <row r="203" spans="1:28" x14ac:dyDescent="0.2">
      <c r="A203" t="s">
        <v>326</v>
      </c>
      <c r="B203">
        <v>17999.612297</v>
      </c>
      <c r="C203">
        <v>1349.817906</v>
      </c>
      <c r="D203">
        <v>-7.1458999999999995E-2</v>
      </c>
      <c r="E203">
        <f t="shared" si="29"/>
        <v>201</v>
      </c>
      <c r="F203" t="str">
        <f t="shared" si="30"/>
        <v/>
      </c>
      <c r="J203" t="s">
        <v>326</v>
      </c>
      <c r="K203">
        <v>17999.633900000001</v>
      </c>
      <c r="L203">
        <v>1349.8767</v>
      </c>
      <c r="M203">
        <v>-6.3299999999999995E-2</v>
      </c>
      <c r="N203">
        <f t="shared" si="25"/>
        <v>201</v>
      </c>
      <c r="O203" t="str">
        <f t="shared" si="31"/>
        <v/>
      </c>
      <c r="Q203">
        <f t="shared" si="32"/>
        <v>17999.633900000001</v>
      </c>
      <c r="R203">
        <f t="shared" si="33"/>
        <v>-2.1603000001050532E-2</v>
      </c>
      <c r="S203">
        <f t="shared" si="34"/>
        <v>-5.879400000003443E-2</v>
      </c>
      <c r="T203">
        <f t="shared" si="35"/>
        <v>-8.1589999999999996E-3</v>
      </c>
      <c r="Y203" t="s">
        <v>326</v>
      </c>
      <c r="Z203">
        <v>17999.6001</v>
      </c>
      <c r="AA203">
        <v>1349.7828</v>
      </c>
      <c r="AB203">
        <v>-6.9599999999999995E-2</v>
      </c>
    </row>
    <row r="204" spans="1:28" x14ac:dyDescent="0.2">
      <c r="A204" t="s">
        <v>327</v>
      </c>
      <c r="B204">
        <v>17499.584311999999</v>
      </c>
      <c r="C204">
        <v>1349.842969</v>
      </c>
      <c r="D204">
        <v>-6.4033999999999994E-2</v>
      </c>
      <c r="E204">
        <f t="shared" si="29"/>
        <v>202</v>
      </c>
      <c r="F204" t="str">
        <f t="shared" si="30"/>
        <v/>
      </c>
      <c r="J204" t="s">
        <v>327</v>
      </c>
      <c r="K204">
        <v>17499.608</v>
      </c>
      <c r="L204">
        <v>1349.8819000000001</v>
      </c>
      <c r="M204">
        <v>-6.3399999999999998E-2</v>
      </c>
      <c r="N204">
        <f t="shared" si="25"/>
        <v>202</v>
      </c>
      <c r="O204" t="str">
        <f t="shared" si="31"/>
        <v/>
      </c>
      <c r="Q204">
        <f t="shared" si="32"/>
        <v>17499.608</v>
      </c>
      <c r="R204">
        <f t="shared" si="33"/>
        <v>-2.3688000001129694E-2</v>
      </c>
      <c r="S204">
        <f t="shared" si="34"/>
        <v>-3.8931000000047788E-2</v>
      </c>
      <c r="T204">
        <f t="shared" si="35"/>
        <v>-6.3399999999999568E-4</v>
      </c>
      <c r="Y204" t="s">
        <v>327</v>
      </c>
      <c r="Z204">
        <v>17499.570299999999</v>
      </c>
      <c r="AA204">
        <v>1349.8245999999999</v>
      </c>
      <c r="AB204">
        <v>-5.7599999999999998E-2</v>
      </c>
    </row>
    <row r="205" spans="1:28" x14ac:dyDescent="0.2">
      <c r="A205" t="s">
        <v>328</v>
      </c>
      <c r="B205">
        <v>16999.559237000001</v>
      </c>
      <c r="C205">
        <v>1349.835863</v>
      </c>
      <c r="D205">
        <v>-6.1186999999999998E-2</v>
      </c>
      <c r="E205">
        <f t="shared" si="29"/>
        <v>203</v>
      </c>
      <c r="F205" t="str">
        <f t="shared" si="30"/>
        <v/>
      </c>
      <c r="J205" t="s">
        <v>328</v>
      </c>
      <c r="K205">
        <v>16999.583200000001</v>
      </c>
      <c r="L205">
        <v>1349.8837000000001</v>
      </c>
      <c r="M205">
        <v>-6.2799999999999995E-2</v>
      </c>
      <c r="N205">
        <f t="shared" si="25"/>
        <v>203</v>
      </c>
      <c r="O205" t="str">
        <f t="shared" si="31"/>
        <v/>
      </c>
      <c r="Q205">
        <f t="shared" si="32"/>
        <v>16999.583200000001</v>
      </c>
      <c r="R205">
        <f t="shared" si="33"/>
        <v>-2.3962999999639578E-2</v>
      </c>
      <c r="S205">
        <f t="shared" si="34"/>
        <v>-4.7837000000072294E-2</v>
      </c>
      <c r="T205">
        <f t="shared" si="35"/>
        <v>1.6129999999999964E-3</v>
      </c>
      <c r="Y205" t="s">
        <v>328</v>
      </c>
      <c r="Z205">
        <v>16999.5468</v>
      </c>
      <c r="AA205">
        <v>1349.8167000000001</v>
      </c>
      <c r="AB205">
        <v>-5.45E-2</v>
      </c>
    </row>
    <row r="206" spans="1:28" x14ac:dyDescent="0.2">
      <c r="A206" t="s">
        <v>329</v>
      </c>
      <c r="B206">
        <v>16499.535372999999</v>
      </c>
      <c r="C206">
        <v>1349.85239</v>
      </c>
      <c r="D206">
        <v>-8.1349000000000005E-2</v>
      </c>
      <c r="E206">
        <f t="shared" si="29"/>
        <v>204</v>
      </c>
      <c r="F206" t="str">
        <f t="shared" si="30"/>
        <v/>
      </c>
      <c r="J206" t="s">
        <v>329</v>
      </c>
      <c r="K206">
        <v>16499.555</v>
      </c>
      <c r="L206">
        <v>1349.9052999999999</v>
      </c>
      <c r="M206">
        <v>-7.3499999999999996E-2</v>
      </c>
      <c r="N206">
        <f t="shared" si="25"/>
        <v>204</v>
      </c>
      <c r="O206" t="str">
        <f t="shared" si="31"/>
        <v/>
      </c>
      <c r="Q206">
        <f t="shared" si="32"/>
        <v>16499.555</v>
      </c>
      <c r="R206">
        <f t="shared" si="33"/>
        <v>-1.9627000001491979E-2</v>
      </c>
      <c r="S206">
        <f t="shared" si="34"/>
        <v>-5.2909999999883439E-2</v>
      </c>
      <c r="T206">
        <f t="shared" si="35"/>
        <v>-7.8490000000000087E-3</v>
      </c>
      <c r="Y206" t="s">
        <v>329</v>
      </c>
      <c r="Z206">
        <v>16499.5278</v>
      </c>
      <c r="AA206">
        <v>1349.8343</v>
      </c>
      <c r="AB206">
        <v>-8.0199999999999994E-2</v>
      </c>
    </row>
    <row r="207" spans="1:28" x14ac:dyDescent="0.2">
      <c r="A207" t="s">
        <v>330</v>
      </c>
      <c r="B207">
        <v>15999.540665</v>
      </c>
      <c r="C207">
        <v>1349.8612109999999</v>
      </c>
      <c r="D207">
        <v>-0.11287700000000001</v>
      </c>
      <c r="E207">
        <f t="shared" si="29"/>
        <v>205</v>
      </c>
      <c r="F207" t="str">
        <f t="shared" si="30"/>
        <v/>
      </c>
      <c r="J207" t="s">
        <v>330</v>
      </c>
      <c r="K207">
        <v>15999.5551</v>
      </c>
      <c r="L207">
        <v>1349.9244000000001</v>
      </c>
      <c r="M207">
        <v>-9.1300000000000006E-2</v>
      </c>
      <c r="N207">
        <f t="shared" si="25"/>
        <v>205</v>
      </c>
      <c r="O207" t="str">
        <f t="shared" si="31"/>
        <v/>
      </c>
      <c r="Q207">
        <f t="shared" si="32"/>
        <v>15999.5551</v>
      </c>
      <c r="R207">
        <f t="shared" si="33"/>
        <v>-1.4434999999139109E-2</v>
      </c>
      <c r="S207">
        <f t="shared" si="34"/>
        <v>-6.3189000000193118E-2</v>
      </c>
      <c r="T207">
        <f t="shared" si="35"/>
        <v>-2.1576999999999999E-2</v>
      </c>
      <c r="Y207" t="s">
        <v>330</v>
      </c>
      <c r="Z207">
        <v>15999.5378</v>
      </c>
      <c r="AA207">
        <v>1349.8427999999999</v>
      </c>
      <c r="AB207">
        <v>-0.11700000000000001</v>
      </c>
    </row>
    <row r="208" spans="1:28" x14ac:dyDescent="0.2">
      <c r="A208" t="s">
        <v>331</v>
      </c>
      <c r="B208">
        <v>15499.545123</v>
      </c>
      <c r="C208">
        <v>1349.88662</v>
      </c>
      <c r="D208">
        <v>-8.8958999999999996E-2</v>
      </c>
      <c r="E208">
        <f t="shared" si="29"/>
        <v>206</v>
      </c>
      <c r="F208" t="str">
        <f t="shared" si="30"/>
        <v/>
      </c>
      <c r="J208" t="s">
        <v>331</v>
      </c>
      <c r="K208">
        <v>15499.5641</v>
      </c>
      <c r="L208">
        <v>1349.9496999999999</v>
      </c>
      <c r="M208">
        <v>-6.7900000000000002E-2</v>
      </c>
      <c r="N208">
        <f t="shared" si="25"/>
        <v>206</v>
      </c>
      <c r="O208" t="str">
        <f t="shared" si="31"/>
        <v/>
      </c>
      <c r="Q208">
        <f t="shared" si="32"/>
        <v>15499.5641</v>
      </c>
      <c r="R208">
        <f t="shared" si="33"/>
        <v>-1.8976999999722466E-2</v>
      </c>
      <c r="S208">
        <f t="shared" si="34"/>
        <v>-6.3079999999899883E-2</v>
      </c>
      <c r="T208">
        <f t="shared" si="35"/>
        <v>-2.1058999999999994E-2</v>
      </c>
      <c r="Y208" t="s">
        <v>331</v>
      </c>
      <c r="Z208">
        <v>15499.5407</v>
      </c>
      <c r="AA208">
        <v>1349.8717999999999</v>
      </c>
      <c r="AB208">
        <v>-9.1499999999999998E-2</v>
      </c>
    </row>
    <row r="209" spans="1:28" x14ac:dyDescent="0.2">
      <c r="A209" t="s">
        <v>332</v>
      </c>
      <c r="B209">
        <v>14999.544277000001</v>
      </c>
      <c r="C209">
        <v>1349.918674</v>
      </c>
      <c r="D209">
        <v>-8.5646E-2</v>
      </c>
      <c r="E209">
        <f t="shared" si="29"/>
        <v>207</v>
      </c>
      <c r="F209" t="str">
        <f t="shared" si="30"/>
        <v/>
      </c>
      <c r="J209" t="s">
        <v>332</v>
      </c>
      <c r="K209">
        <v>14999.561799999999</v>
      </c>
      <c r="L209">
        <v>1349.9670000000001</v>
      </c>
      <c r="M209">
        <v>-6.8400000000000002E-2</v>
      </c>
      <c r="N209">
        <f t="shared" si="25"/>
        <v>207</v>
      </c>
      <c r="O209" t="str">
        <f t="shared" si="31"/>
        <v/>
      </c>
      <c r="Q209">
        <f t="shared" si="32"/>
        <v>14999.561799999999</v>
      </c>
      <c r="R209">
        <f t="shared" si="33"/>
        <v>-1.7522999998618616E-2</v>
      </c>
      <c r="S209">
        <f t="shared" si="34"/>
        <v>-4.8326000000088243E-2</v>
      </c>
      <c r="T209">
        <f t="shared" si="35"/>
        <v>-1.7245999999999997E-2</v>
      </c>
      <c r="Y209" t="s">
        <v>332</v>
      </c>
      <c r="Z209">
        <v>14999.540300000001</v>
      </c>
      <c r="AA209">
        <v>1349.9095</v>
      </c>
      <c r="AB209">
        <v>-8.7099999999999997E-2</v>
      </c>
    </row>
    <row r="210" spans="1:28" x14ac:dyDescent="0.2">
      <c r="A210" t="s">
        <v>333</v>
      </c>
      <c r="B210">
        <v>14499.542525999999</v>
      </c>
      <c r="C210">
        <v>1349.948723</v>
      </c>
      <c r="D210">
        <v>-9.0372999999999995E-2</v>
      </c>
      <c r="E210">
        <f t="shared" si="29"/>
        <v>208</v>
      </c>
      <c r="F210" t="str">
        <f t="shared" si="30"/>
        <v/>
      </c>
      <c r="J210" t="s">
        <v>333</v>
      </c>
      <c r="K210">
        <v>14499.564399999999</v>
      </c>
      <c r="L210">
        <v>1349.9927</v>
      </c>
      <c r="M210">
        <v>-7.5399999999999995E-2</v>
      </c>
      <c r="N210">
        <f t="shared" si="25"/>
        <v>208</v>
      </c>
      <c r="O210" t="str">
        <f t="shared" si="31"/>
        <v/>
      </c>
      <c r="Q210">
        <f t="shared" si="32"/>
        <v>14499.564399999999</v>
      </c>
      <c r="R210">
        <f t="shared" si="33"/>
        <v>-2.1874000000025262E-2</v>
      </c>
      <c r="S210">
        <f t="shared" si="34"/>
        <v>-4.3977000000040789E-2</v>
      </c>
      <c r="T210">
        <f t="shared" si="35"/>
        <v>-1.4973E-2</v>
      </c>
      <c r="Y210" t="s">
        <v>333</v>
      </c>
      <c r="Z210">
        <v>14499.5376</v>
      </c>
      <c r="AA210">
        <v>1349.9421</v>
      </c>
      <c r="AB210">
        <v>-9.0700000000000003E-2</v>
      </c>
    </row>
    <row r="211" spans="1:28" x14ac:dyDescent="0.2">
      <c r="A211" t="s">
        <v>334</v>
      </c>
      <c r="B211">
        <v>13999.576963</v>
      </c>
      <c r="C211">
        <v>1349.9456270000001</v>
      </c>
      <c r="D211">
        <v>-9.8115999999999995E-2</v>
      </c>
      <c r="E211">
        <f t="shared" si="29"/>
        <v>209</v>
      </c>
      <c r="F211" t="str">
        <f t="shared" si="30"/>
        <v/>
      </c>
      <c r="J211" t="s">
        <v>334</v>
      </c>
      <c r="K211">
        <v>13999.604499999999</v>
      </c>
      <c r="L211">
        <v>1350.0463999999999</v>
      </c>
      <c r="M211">
        <v>-8.5300000000000001E-2</v>
      </c>
      <c r="N211">
        <f t="shared" si="25"/>
        <v>209</v>
      </c>
      <c r="O211" t="str">
        <f t="shared" si="31"/>
        <v/>
      </c>
      <c r="Q211">
        <f t="shared" si="32"/>
        <v>13999.604499999999</v>
      </c>
      <c r="R211">
        <f t="shared" si="33"/>
        <v>-2.7536999999938416E-2</v>
      </c>
      <c r="S211">
        <f t="shared" si="34"/>
        <v>-0.10077299999989009</v>
      </c>
      <c r="T211">
        <f t="shared" si="35"/>
        <v>-1.2815999999999994E-2</v>
      </c>
      <c r="Y211" t="s">
        <v>334</v>
      </c>
      <c r="Z211">
        <v>13999.571900000001</v>
      </c>
      <c r="AA211">
        <v>1349.9327000000001</v>
      </c>
      <c r="AB211">
        <v>-9.7500000000000003E-2</v>
      </c>
    </row>
    <row r="212" spans="1:28" x14ac:dyDescent="0.2">
      <c r="A212" t="s">
        <v>335</v>
      </c>
      <c r="B212">
        <v>13499.555784</v>
      </c>
      <c r="C212">
        <v>1349.9784870000001</v>
      </c>
      <c r="D212">
        <v>-9.4969999999999999E-2</v>
      </c>
      <c r="E212">
        <f t="shared" si="29"/>
        <v>210</v>
      </c>
      <c r="F212" t="str">
        <f t="shared" si="30"/>
        <v/>
      </c>
      <c r="J212" t="s">
        <v>335</v>
      </c>
      <c r="K212">
        <v>13499.5838</v>
      </c>
      <c r="L212">
        <v>1350.0492999999999</v>
      </c>
      <c r="M212">
        <v>-9.6000000000000002E-2</v>
      </c>
      <c r="N212">
        <f t="shared" si="25"/>
        <v>210</v>
      </c>
      <c r="O212" t="str">
        <f t="shared" si="31"/>
        <v/>
      </c>
      <c r="Q212">
        <f t="shared" si="32"/>
        <v>13499.5838</v>
      </c>
      <c r="R212">
        <f t="shared" si="33"/>
        <v>-2.8016000000206986E-2</v>
      </c>
      <c r="S212">
        <f t="shared" si="34"/>
        <v>-7.0812999999816384E-2</v>
      </c>
      <c r="T212">
        <f t="shared" si="35"/>
        <v>1.0300000000000031E-3</v>
      </c>
      <c r="Y212" t="s">
        <v>335</v>
      </c>
      <c r="Z212">
        <v>13499.550499999999</v>
      </c>
      <c r="AA212">
        <v>1349.9713999999999</v>
      </c>
      <c r="AB212">
        <v>-9.2999999999999999E-2</v>
      </c>
    </row>
    <row r="213" spans="1:28" x14ac:dyDescent="0.2">
      <c r="A213" t="s">
        <v>336</v>
      </c>
      <c r="B213">
        <v>12999.576175</v>
      </c>
      <c r="C213">
        <v>1349.9904309999999</v>
      </c>
      <c r="D213">
        <v>-0.13282099999999999</v>
      </c>
      <c r="E213">
        <f t="shared" si="29"/>
        <v>211</v>
      </c>
      <c r="F213" t="str">
        <f t="shared" si="30"/>
        <v/>
      </c>
      <c r="J213" t="s">
        <v>336</v>
      </c>
      <c r="K213">
        <v>12999.592500000001</v>
      </c>
      <c r="L213">
        <v>1350.1048000000001</v>
      </c>
      <c r="M213">
        <v>-0.13159999999999999</v>
      </c>
      <c r="N213">
        <f t="shared" si="25"/>
        <v>211</v>
      </c>
      <c r="O213" t="str">
        <f t="shared" si="31"/>
        <v/>
      </c>
      <c r="Q213">
        <f t="shared" si="32"/>
        <v>12999.592500000001</v>
      </c>
      <c r="R213">
        <f t="shared" si="33"/>
        <v>-1.6325000000506407E-2</v>
      </c>
      <c r="S213">
        <f t="shared" si="34"/>
        <v>-0.11436900000012429</v>
      </c>
      <c r="T213">
        <f t="shared" si="35"/>
        <v>-1.2209999999999999E-3</v>
      </c>
      <c r="Y213" t="s">
        <v>336</v>
      </c>
      <c r="Z213">
        <v>12999.5741</v>
      </c>
      <c r="AA213">
        <v>1349.9807000000001</v>
      </c>
      <c r="AB213">
        <v>-0.13189999999999999</v>
      </c>
    </row>
    <row r="214" spans="1:28" x14ac:dyDescent="0.2">
      <c r="A214" t="s">
        <v>337</v>
      </c>
      <c r="B214">
        <v>12499.550036000001</v>
      </c>
      <c r="C214">
        <v>1350.0279740000001</v>
      </c>
      <c r="D214">
        <v>-0.111239</v>
      </c>
      <c r="E214">
        <f t="shared" si="29"/>
        <v>212</v>
      </c>
      <c r="F214" t="str">
        <f t="shared" si="30"/>
        <v/>
      </c>
      <c r="J214" t="s">
        <v>337</v>
      </c>
      <c r="K214">
        <v>12499.581899999999</v>
      </c>
      <c r="L214">
        <v>1350.1171999999999</v>
      </c>
      <c r="M214">
        <v>-0.1051</v>
      </c>
      <c r="N214">
        <f t="shared" si="25"/>
        <v>212</v>
      </c>
      <c r="O214" t="str">
        <f t="shared" si="31"/>
        <v/>
      </c>
      <c r="Q214">
        <f t="shared" si="32"/>
        <v>12499.581899999999</v>
      </c>
      <c r="R214">
        <f t="shared" si="33"/>
        <v>-3.1863999998677173E-2</v>
      </c>
      <c r="S214">
        <f t="shared" si="34"/>
        <v>-8.9225999999825945E-2</v>
      </c>
      <c r="T214">
        <f t="shared" si="35"/>
        <v>-6.1390000000000056E-3</v>
      </c>
      <c r="Y214" t="s">
        <v>337</v>
      </c>
      <c r="Z214">
        <v>12499.545700000001</v>
      </c>
      <c r="AA214">
        <v>1350.0222000000001</v>
      </c>
      <c r="AB214">
        <v>-0.1104</v>
      </c>
    </row>
    <row r="215" spans="1:28" x14ac:dyDescent="0.2">
      <c r="A215" t="s">
        <v>338</v>
      </c>
      <c r="B215">
        <v>11999.596390000001</v>
      </c>
      <c r="C215">
        <v>1350.0482979999999</v>
      </c>
      <c r="D215">
        <v>-0.112604</v>
      </c>
      <c r="E215">
        <f t="shared" si="29"/>
        <v>213</v>
      </c>
      <c r="F215" t="str">
        <f t="shared" si="30"/>
        <v/>
      </c>
      <c r="J215" t="s">
        <v>338</v>
      </c>
      <c r="K215">
        <v>11999.621800000001</v>
      </c>
      <c r="L215">
        <v>1350.1394</v>
      </c>
      <c r="M215">
        <v>-9.9199999999999997E-2</v>
      </c>
      <c r="N215">
        <f t="shared" si="25"/>
        <v>213</v>
      </c>
      <c r="O215" t="str">
        <f t="shared" si="31"/>
        <v/>
      </c>
      <c r="Q215">
        <f t="shared" si="32"/>
        <v>11999.621800000001</v>
      </c>
      <c r="R215">
        <f t="shared" si="33"/>
        <v>-2.5410000000192667E-2</v>
      </c>
      <c r="S215">
        <f t="shared" si="34"/>
        <v>-9.1102000000091721E-2</v>
      </c>
      <c r="T215">
        <f t="shared" si="35"/>
        <v>-1.3403999999999999E-2</v>
      </c>
      <c r="Y215" t="s">
        <v>338</v>
      </c>
      <c r="Z215">
        <v>11999.5936</v>
      </c>
      <c r="AA215">
        <v>1350.0436</v>
      </c>
      <c r="AB215">
        <v>-0.11260000000000001</v>
      </c>
    </row>
    <row r="216" spans="1:28" x14ac:dyDescent="0.2">
      <c r="A216" t="s">
        <v>339</v>
      </c>
      <c r="B216">
        <v>11499.577893</v>
      </c>
      <c r="C216">
        <v>1350.058025</v>
      </c>
      <c r="D216">
        <v>-0.104755</v>
      </c>
      <c r="E216">
        <f t="shared" si="29"/>
        <v>214</v>
      </c>
      <c r="F216" t="str">
        <f t="shared" si="30"/>
        <v/>
      </c>
      <c r="J216" t="s">
        <v>339</v>
      </c>
      <c r="K216">
        <v>11499.6067</v>
      </c>
      <c r="L216">
        <v>1350.1582000000001</v>
      </c>
      <c r="M216">
        <v>-6.9599999999999995E-2</v>
      </c>
      <c r="N216">
        <f t="shared" si="25"/>
        <v>214</v>
      </c>
      <c r="O216" t="str">
        <f t="shared" si="31"/>
        <v/>
      </c>
      <c r="Q216">
        <f t="shared" si="32"/>
        <v>11499.6067</v>
      </c>
      <c r="R216">
        <f t="shared" si="33"/>
        <v>-2.8807000000597327E-2</v>
      </c>
      <c r="S216">
        <f t="shared" si="34"/>
        <v>-0.10017500000003565</v>
      </c>
      <c r="T216">
        <f t="shared" si="35"/>
        <v>-3.5155000000000006E-2</v>
      </c>
      <c r="Y216" t="s">
        <v>339</v>
      </c>
      <c r="Z216">
        <v>11499.5754</v>
      </c>
      <c r="AA216">
        <v>1350.0539000000001</v>
      </c>
      <c r="AB216">
        <v>-0.1057</v>
      </c>
    </row>
    <row r="217" spans="1:28" x14ac:dyDescent="0.2">
      <c r="A217" t="s">
        <v>340</v>
      </c>
      <c r="B217">
        <v>10999.56986</v>
      </c>
      <c r="C217">
        <v>1350.070414</v>
      </c>
      <c r="D217">
        <v>-0.11118599999999999</v>
      </c>
      <c r="E217">
        <f t="shared" si="29"/>
        <v>215</v>
      </c>
      <c r="F217" t="str">
        <f t="shared" si="30"/>
        <v/>
      </c>
      <c r="J217" t="s">
        <v>340</v>
      </c>
      <c r="K217">
        <v>10999.5946</v>
      </c>
      <c r="L217">
        <v>1350.1457</v>
      </c>
      <c r="M217">
        <v>-8.1000000000000003E-2</v>
      </c>
      <c r="N217">
        <f t="shared" si="25"/>
        <v>215</v>
      </c>
      <c r="O217" t="str">
        <f t="shared" si="31"/>
        <v/>
      </c>
      <c r="Q217">
        <f t="shared" si="32"/>
        <v>10999.5946</v>
      </c>
      <c r="R217">
        <f t="shared" si="33"/>
        <v>-2.4740000000747386E-2</v>
      </c>
      <c r="S217">
        <f t="shared" si="34"/>
        <v>-7.5286000000005515E-2</v>
      </c>
      <c r="T217">
        <f t="shared" si="35"/>
        <v>-3.0185999999999991E-2</v>
      </c>
      <c r="Y217" t="s">
        <v>340</v>
      </c>
      <c r="Z217">
        <v>10999.567999999999</v>
      </c>
      <c r="AA217">
        <v>1350.068</v>
      </c>
      <c r="AB217">
        <v>-0.1119</v>
      </c>
    </row>
    <row r="218" spans="1:28" x14ac:dyDescent="0.2">
      <c r="A218" t="s">
        <v>341</v>
      </c>
      <c r="B218">
        <v>10499.549309</v>
      </c>
      <c r="C218">
        <v>1350.0915540000001</v>
      </c>
      <c r="D218">
        <v>-0.108266</v>
      </c>
      <c r="E218">
        <f t="shared" si="29"/>
        <v>216</v>
      </c>
      <c r="F218" t="str">
        <f t="shared" si="30"/>
        <v/>
      </c>
      <c r="J218" t="s">
        <v>341</v>
      </c>
      <c r="K218">
        <v>10499.580599999999</v>
      </c>
      <c r="L218">
        <v>1350.2062000000001</v>
      </c>
      <c r="M218">
        <v>-7.5200000000000003E-2</v>
      </c>
      <c r="N218">
        <f t="shared" si="25"/>
        <v>216</v>
      </c>
      <c r="O218" t="str">
        <f t="shared" si="31"/>
        <v/>
      </c>
      <c r="Q218">
        <f t="shared" si="32"/>
        <v>10499.580599999999</v>
      </c>
      <c r="R218">
        <f t="shared" si="33"/>
        <v>-3.1290999999328051E-2</v>
      </c>
      <c r="S218">
        <f t="shared" si="34"/>
        <v>-0.11464599999999336</v>
      </c>
      <c r="T218">
        <f t="shared" si="35"/>
        <v>-3.3065999999999998E-2</v>
      </c>
      <c r="Y218" t="s">
        <v>341</v>
      </c>
      <c r="Z218">
        <v>10499.547200000001</v>
      </c>
      <c r="AA218">
        <v>1350.0886</v>
      </c>
      <c r="AB218">
        <v>-0.109</v>
      </c>
    </row>
    <row r="219" spans="1:28" x14ac:dyDescent="0.2">
      <c r="A219" t="s">
        <v>342</v>
      </c>
      <c r="B219">
        <v>9999.5970820000002</v>
      </c>
      <c r="C219">
        <v>1350.101181</v>
      </c>
      <c r="D219">
        <v>-0.11508599999999999</v>
      </c>
      <c r="E219">
        <f t="shared" si="29"/>
        <v>217</v>
      </c>
      <c r="F219" t="str">
        <f t="shared" si="30"/>
        <v/>
      </c>
      <c r="J219" t="s">
        <v>342</v>
      </c>
      <c r="K219">
        <v>9999.6134000000002</v>
      </c>
      <c r="L219">
        <v>1350.1898000000001</v>
      </c>
      <c r="M219">
        <v>-7.4499999999999997E-2</v>
      </c>
      <c r="N219">
        <f t="shared" si="25"/>
        <v>217</v>
      </c>
      <c r="O219" t="str">
        <f t="shared" si="31"/>
        <v/>
      </c>
      <c r="Q219">
        <f t="shared" si="32"/>
        <v>9999.6134000000002</v>
      </c>
      <c r="R219">
        <f t="shared" si="33"/>
        <v>-1.6317999999955646E-2</v>
      </c>
      <c r="S219">
        <f t="shared" si="34"/>
        <v>-8.8619000000107917E-2</v>
      </c>
      <c r="T219">
        <f t="shared" si="35"/>
        <v>-4.0585999999999997E-2</v>
      </c>
      <c r="Y219" t="s">
        <v>342</v>
      </c>
      <c r="Z219">
        <v>9999.5962</v>
      </c>
      <c r="AA219">
        <v>1350.0993000000001</v>
      </c>
      <c r="AB219">
        <v>-0.11600000000000001</v>
      </c>
    </row>
    <row r="220" spans="1:28" x14ac:dyDescent="0.2">
      <c r="A220" t="s">
        <v>343</v>
      </c>
      <c r="B220">
        <v>9499.5896620000003</v>
      </c>
      <c r="C220">
        <v>1350.1058519999999</v>
      </c>
      <c r="D220">
        <v>-0.124927</v>
      </c>
      <c r="E220">
        <f t="shared" si="29"/>
        <v>218</v>
      </c>
      <c r="F220" t="str">
        <f t="shared" si="30"/>
        <v/>
      </c>
      <c r="J220" t="s">
        <v>343</v>
      </c>
      <c r="K220">
        <v>9499.5918999999994</v>
      </c>
      <c r="L220">
        <v>1350.2340999999999</v>
      </c>
      <c r="M220">
        <v>-7.2300000000000003E-2</v>
      </c>
      <c r="N220">
        <f t="shared" si="25"/>
        <v>218</v>
      </c>
      <c r="O220" t="str">
        <f t="shared" si="31"/>
        <v/>
      </c>
      <c r="Q220">
        <f t="shared" si="32"/>
        <v>9499.5918999999994</v>
      </c>
      <c r="R220">
        <f t="shared" si="33"/>
        <v>-2.2379999991244404E-3</v>
      </c>
      <c r="S220">
        <f t="shared" si="34"/>
        <v>-0.12824799999998504</v>
      </c>
      <c r="T220">
        <f t="shared" si="35"/>
        <v>-5.2626999999999993E-2</v>
      </c>
      <c r="Y220" t="s">
        <v>343</v>
      </c>
      <c r="Z220">
        <v>9499.5897000000004</v>
      </c>
      <c r="AA220">
        <v>1350.1034999999999</v>
      </c>
      <c r="AB220">
        <v>-0.12609999999999999</v>
      </c>
    </row>
    <row r="221" spans="1:28" x14ac:dyDescent="0.2">
      <c r="A221" t="s">
        <v>344</v>
      </c>
      <c r="B221">
        <v>8999.5797899999998</v>
      </c>
      <c r="C221">
        <v>1350.1055940000001</v>
      </c>
      <c r="D221">
        <v>-0.139596</v>
      </c>
      <c r="E221">
        <f t="shared" si="29"/>
        <v>219</v>
      </c>
      <c r="F221" t="str">
        <f t="shared" si="30"/>
        <v/>
      </c>
      <c r="J221" t="s">
        <v>344</v>
      </c>
      <c r="K221">
        <v>8999.5735000000004</v>
      </c>
      <c r="L221">
        <v>1350.2135000000001</v>
      </c>
      <c r="M221">
        <v>-8.0100000000000005E-2</v>
      </c>
      <c r="N221">
        <f t="shared" si="25"/>
        <v>219</v>
      </c>
      <c r="O221" t="str">
        <f t="shared" si="31"/>
        <v/>
      </c>
      <c r="Q221">
        <f t="shared" si="32"/>
        <v>8999.5735000000004</v>
      </c>
      <c r="R221">
        <f t="shared" si="33"/>
        <v>6.2899999993533129E-3</v>
      </c>
      <c r="S221">
        <f t="shared" si="34"/>
        <v>-0.1079059999999572</v>
      </c>
      <c r="T221">
        <f t="shared" si="35"/>
        <v>-5.9495999999999993E-2</v>
      </c>
      <c r="Y221" t="s">
        <v>344</v>
      </c>
      <c r="Z221">
        <v>8999.5802000000003</v>
      </c>
      <c r="AA221">
        <v>1350.1038000000001</v>
      </c>
      <c r="AB221">
        <v>-0.14080000000000001</v>
      </c>
    </row>
    <row r="222" spans="1:28" x14ac:dyDescent="0.2">
      <c r="A222" t="s">
        <v>345</v>
      </c>
      <c r="B222">
        <v>8499.5485950000002</v>
      </c>
      <c r="C222">
        <v>1350.102764</v>
      </c>
      <c r="D222">
        <v>-0.12701399999999999</v>
      </c>
      <c r="E222">
        <f t="shared" si="29"/>
        <v>220</v>
      </c>
      <c r="F222" t="str">
        <f t="shared" si="30"/>
        <v/>
      </c>
      <c r="J222" t="s">
        <v>345</v>
      </c>
      <c r="K222">
        <v>8499.5391</v>
      </c>
      <c r="L222">
        <v>1350.2556999999999</v>
      </c>
      <c r="M222">
        <v>-6.4500000000000002E-2</v>
      </c>
      <c r="N222">
        <f t="shared" si="25"/>
        <v>220</v>
      </c>
      <c r="O222" t="str">
        <f t="shared" si="31"/>
        <v/>
      </c>
      <c r="Q222">
        <f t="shared" si="32"/>
        <v>8499.5391</v>
      </c>
      <c r="R222">
        <f t="shared" si="33"/>
        <v>9.4950000002427259E-3</v>
      </c>
      <c r="S222">
        <f t="shared" si="34"/>
        <v>-0.15293599999995422</v>
      </c>
      <c r="T222">
        <f t="shared" si="35"/>
        <v>-6.2513999999999986E-2</v>
      </c>
      <c r="Y222" t="s">
        <v>345</v>
      </c>
      <c r="Z222">
        <v>8499.5491999999995</v>
      </c>
      <c r="AA222">
        <v>1350.1005</v>
      </c>
      <c r="AB222">
        <v>-0.12839999999999999</v>
      </c>
    </row>
    <row r="223" spans="1:28" x14ac:dyDescent="0.2">
      <c r="A223" t="s">
        <v>346</v>
      </c>
      <c r="B223">
        <v>7999.6598729999996</v>
      </c>
      <c r="C223">
        <v>1350.109993</v>
      </c>
      <c r="D223">
        <v>-0.13786499999999999</v>
      </c>
      <c r="E223">
        <f t="shared" si="29"/>
        <v>221</v>
      </c>
      <c r="F223" t="str">
        <f t="shared" si="30"/>
        <v/>
      </c>
      <c r="J223" t="s">
        <v>346</v>
      </c>
      <c r="K223">
        <v>7999.6412</v>
      </c>
      <c r="L223">
        <v>1350.2312999999999</v>
      </c>
      <c r="M223">
        <v>-7.0099999999999996E-2</v>
      </c>
      <c r="N223">
        <f t="shared" si="25"/>
        <v>221</v>
      </c>
      <c r="O223" t="str">
        <f t="shared" si="31"/>
        <v/>
      </c>
      <c r="Q223">
        <f t="shared" si="32"/>
        <v>7999.6412</v>
      </c>
      <c r="R223">
        <f t="shared" si="33"/>
        <v>1.8672999999580497E-2</v>
      </c>
      <c r="S223">
        <f t="shared" si="34"/>
        <v>-0.12130699999988792</v>
      </c>
      <c r="T223">
        <f t="shared" si="35"/>
        <v>-6.7764999999999992E-2</v>
      </c>
      <c r="Y223" t="s">
        <v>346</v>
      </c>
      <c r="Z223">
        <v>7999.6608999999999</v>
      </c>
      <c r="AA223">
        <v>1350.1080999999999</v>
      </c>
      <c r="AB223">
        <v>-0.13930000000000001</v>
      </c>
    </row>
    <row r="224" spans="1:28" x14ac:dyDescent="0.2">
      <c r="A224" t="s">
        <v>347</v>
      </c>
      <c r="B224">
        <v>7499.6436890000004</v>
      </c>
      <c r="C224">
        <v>1350.1199389999999</v>
      </c>
      <c r="D224">
        <v>-0.12689400000000001</v>
      </c>
      <c r="E224">
        <f t="shared" si="29"/>
        <v>222</v>
      </c>
      <c r="F224" t="str">
        <f t="shared" si="30"/>
        <v/>
      </c>
      <c r="J224" t="s">
        <v>347</v>
      </c>
      <c r="K224">
        <v>7499.6220000000003</v>
      </c>
      <c r="L224">
        <v>1350.2389000000001</v>
      </c>
      <c r="M224">
        <v>-6.2899999999999998E-2</v>
      </c>
      <c r="N224">
        <f t="shared" si="25"/>
        <v>222</v>
      </c>
      <c r="O224" t="str">
        <f t="shared" si="31"/>
        <v/>
      </c>
      <c r="Q224">
        <f t="shared" si="32"/>
        <v>7499.6220000000003</v>
      </c>
      <c r="R224">
        <f t="shared" si="33"/>
        <v>2.1689000000151282E-2</v>
      </c>
      <c r="S224">
        <f t="shared" si="34"/>
        <v>-0.11896100000012666</v>
      </c>
      <c r="T224">
        <f t="shared" si="35"/>
        <v>-6.3994000000000009E-2</v>
      </c>
      <c r="Y224" t="s">
        <v>347</v>
      </c>
      <c r="Z224">
        <v>7499.6450000000004</v>
      </c>
      <c r="AA224">
        <v>1350.1179999999999</v>
      </c>
      <c r="AB224">
        <v>-0.12820000000000001</v>
      </c>
    </row>
    <row r="225" spans="1:28" x14ac:dyDescent="0.2">
      <c r="A225" t="s">
        <v>348</v>
      </c>
      <c r="B225">
        <v>6999.6344069999996</v>
      </c>
      <c r="C225">
        <v>1350.1132439999999</v>
      </c>
      <c r="D225">
        <v>-0.126389</v>
      </c>
      <c r="E225">
        <f t="shared" si="29"/>
        <v>223</v>
      </c>
      <c r="F225" t="str">
        <f t="shared" si="30"/>
        <v/>
      </c>
      <c r="J225" t="s">
        <v>348</v>
      </c>
      <c r="K225">
        <v>6999.6112999999996</v>
      </c>
      <c r="L225">
        <v>1350.231</v>
      </c>
      <c r="M225">
        <v>-7.2499999999999995E-2</v>
      </c>
      <c r="N225">
        <f t="shared" si="25"/>
        <v>223</v>
      </c>
      <c r="O225" t="str">
        <f t="shared" si="31"/>
        <v/>
      </c>
      <c r="Q225">
        <f t="shared" si="32"/>
        <v>6999.6112999999996</v>
      </c>
      <c r="R225">
        <f t="shared" si="33"/>
        <v>2.3106999999981781E-2</v>
      </c>
      <c r="S225">
        <f t="shared" si="34"/>
        <v>-0.11775600000009945</v>
      </c>
      <c r="T225">
        <f t="shared" si="35"/>
        <v>-5.3889000000000006E-2</v>
      </c>
      <c r="Y225" t="s">
        <v>348</v>
      </c>
      <c r="Z225">
        <v>6999.6358</v>
      </c>
      <c r="AA225">
        <v>1350.1112000000001</v>
      </c>
      <c r="AB225">
        <v>-0.1275</v>
      </c>
    </row>
    <row r="226" spans="1:28" x14ac:dyDescent="0.2">
      <c r="A226" t="s">
        <v>349</v>
      </c>
      <c r="B226">
        <v>6499.6179179999999</v>
      </c>
      <c r="C226">
        <v>1350.0956180000001</v>
      </c>
      <c r="D226">
        <v>-0.12868599999999999</v>
      </c>
      <c r="E226">
        <f t="shared" si="29"/>
        <v>224</v>
      </c>
      <c r="F226" t="str">
        <f t="shared" si="30"/>
        <v/>
      </c>
      <c r="J226" t="s">
        <v>349</v>
      </c>
      <c r="K226">
        <v>6499.5802999999996</v>
      </c>
      <c r="L226">
        <v>1350.2012999999999</v>
      </c>
      <c r="M226">
        <v>-8.0799999999999997E-2</v>
      </c>
      <c r="N226">
        <f t="shared" si="25"/>
        <v>224</v>
      </c>
      <c r="O226" t="str">
        <f t="shared" si="31"/>
        <v/>
      </c>
      <c r="Q226">
        <f t="shared" si="32"/>
        <v>6499.5802999999996</v>
      </c>
      <c r="R226">
        <f t="shared" si="33"/>
        <v>3.761800000029325E-2</v>
      </c>
      <c r="S226">
        <f t="shared" si="34"/>
        <v>-0.10568199999988792</v>
      </c>
      <c r="T226">
        <f t="shared" si="35"/>
        <v>-4.7885999999999998E-2</v>
      </c>
      <c r="Y226" t="s">
        <v>349</v>
      </c>
      <c r="Z226">
        <v>6499.6202000000003</v>
      </c>
      <c r="AA226">
        <v>1350.0935999999999</v>
      </c>
      <c r="AB226">
        <v>-0.12970000000000001</v>
      </c>
    </row>
    <row r="227" spans="1:28" x14ac:dyDescent="0.2">
      <c r="A227" t="s">
        <v>350</v>
      </c>
      <c r="B227">
        <v>5999.6273380000002</v>
      </c>
      <c r="C227">
        <v>1350.0945730000001</v>
      </c>
      <c r="D227">
        <v>-0.119243</v>
      </c>
      <c r="E227">
        <f t="shared" si="29"/>
        <v>225</v>
      </c>
      <c r="F227" t="str">
        <f t="shared" si="30"/>
        <v/>
      </c>
      <c r="J227" t="s">
        <v>350</v>
      </c>
      <c r="K227">
        <v>5999.5936000000002</v>
      </c>
      <c r="L227">
        <v>1350.2371000000001</v>
      </c>
      <c r="M227">
        <v>-8.8900000000000007E-2</v>
      </c>
      <c r="N227">
        <f t="shared" si="25"/>
        <v>225</v>
      </c>
      <c r="O227" t="str">
        <f t="shared" si="31"/>
        <v/>
      </c>
      <c r="Q227">
        <f t="shared" si="32"/>
        <v>5999.5936000000002</v>
      </c>
      <c r="R227">
        <f t="shared" si="33"/>
        <v>3.3738000000084867E-2</v>
      </c>
      <c r="S227">
        <f t="shared" si="34"/>
        <v>-0.14252699999997276</v>
      </c>
      <c r="T227">
        <f t="shared" si="35"/>
        <v>-3.0342999999999995E-2</v>
      </c>
      <c r="Y227" t="s">
        <v>350</v>
      </c>
      <c r="Z227">
        <v>5999.6295</v>
      </c>
      <c r="AA227">
        <v>1350.0915</v>
      </c>
      <c r="AB227">
        <v>-0.11990000000000001</v>
      </c>
    </row>
    <row r="228" spans="1:28" x14ac:dyDescent="0.2">
      <c r="A228" t="s">
        <v>351</v>
      </c>
      <c r="B228">
        <v>5499.6161510000002</v>
      </c>
      <c r="C228">
        <v>1350.0899730000001</v>
      </c>
      <c r="D228">
        <v>-0.102476</v>
      </c>
      <c r="E228">
        <f t="shared" si="29"/>
        <v>226</v>
      </c>
      <c r="F228" t="str">
        <f t="shared" si="30"/>
        <v/>
      </c>
      <c r="J228" t="s">
        <v>351</v>
      </c>
      <c r="K228">
        <v>5499.5810000000001</v>
      </c>
      <c r="L228">
        <v>1350.2190000000001</v>
      </c>
      <c r="M228">
        <v>-3.1699999999999999E-2</v>
      </c>
      <c r="N228">
        <f t="shared" si="25"/>
        <v>226</v>
      </c>
      <c r="O228" t="str">
        <f t="shared" si="31"/>
        <v/>
      </c>
      <c r="Q228">
        <f t="shared" si="32"/>
        <v>5499.5810000000001</v>
      </c>
      <c r="R228">
        <f t="shared" si="33"/>
        <v>3.5151000000041677E-2</v>
      </c>
      <c r="S228">
        <f t="shared" si="34"/>
        <v>-0.12902699999995093</v>
      </c>
      <c r="T228">
        <f t="shared" si="35"/>
        <v>-7.0776000000000006E-2</v>
      </c>
      <c r="Y228" t="s">
        <v>351</v>
      </c>
      <c r="Z228">
        <v>5499.6185999999998</v>
      </c>
      <c r="AA228">
        <v>1350.0869</v>
      </c>
      <c r="AB228">
        <v>-0.1041</v>
      </c>
    </row>
    <row r="229" spans="1:28" x14ac:dyDescent="0.2">
      <c r="A229" t="s">
        <v>352</v>
      </c>
      <c r="B229">
        <v>4999.603693</v>
      </c>
      <c r="C229">
        <v>1350.0830759999999</v>
      </c>
      <c r="D229">
        <v>-9.8416000000000003E-2</v>
      </c>
      <c r="E229">
        <f t="shared" si="29"/>
        <v>227</v>
      </c>
      <c r="F229" t="str">
        <f t="shared" si="30"/>
        <v/>
      </c>
      <c r="J229" t="s">
        <v>352</v>
      </c>
      <c r="K229">
        <v>4999.5664999999999</v>
      </c>
      <c r="L229">
        <v>1350.1929</v>
      </c>
      <c r="M229">
        <v>-6.0199999999999997E-2</v>
      </c>
      <c r="N229">
        <f t="shared" si="25"/>
        <v>227</v>
      </c>
      <c r="O229" t="str">
        <f t="shared" si="31"/>
        <v/>
      </c>
      <c r="Q229">
        <f t="shared" si="32"/>
        <v>4999.5664999999999</v>
      </c>
      <c r="R229">
        <f t="shared" si="33"/>
        <v>3.7193000000115717E-2</v>
      </c>
      <c r="S229">
        <f t="shared" si="34"/>
        <v>-0.10982400000011694</v>
      </c>
      <c r="T229">
        <f t="shared" si="35"/>
        <v>-3.8216000000000007E-2</v>
      </c>
      <c r="Y229" t="s">
        <v>352</v>
      </c>
      <c r="Z229">
        <v>4999.6063999999997</v>
      </c>
      <c r="AA229">
        <v>1350.0800999999999</v>
      </c>
      <c r="AB229">
        <v>-9.9199999999999997E-2</v>
      </c>
    </row>
    <row r="230" spans="1:28" x14ac:dyDescent="0.2">
      <c r="A230" t="s">
        <v>353</v>
      </c>
      <c r="B230">
        <v>4499.5742179999997</v>
      </c>
      <c r="C230">
        <v>1350.0801550000001</v>
      </c>
      <c r="D230">
        <v>-9.2336000000000001E-2</v>
      </c>
      <c r="E230">
        <f t="shared" si="29"/>
        <v>228</v>
      </c>
      <c r="F230" t="str">
        <f t="shared" si="30"/>
        <v/>
      </c>
      <c r="J230" t="s">
        <v>353</v>
      </c>
      <c r="K230">
        <v>4499.5367999999999</v>
      </c>
      <c r="L230">
        <v>1350.2252000000001</v>
      </c>
      <c r="M230">
        <v>-3.3599999999999998E-2</v>
      </c>
      <c r="N230">
        <f t="shared" si="25"/>
        <v>228</v>
      </c>
      <c r="O230" t="str">
        <f t="shared" si="31"/>
        <v/>
      </c>
      <c r="Q230">
        <f t="shared" si="32"/>
        <v>4499.5367999999999</v>
      </c>
      <c r="R230">
        <f t="shared" si="33"/>
        <v>3.7417999999888707E-2</v>
      </c>
      <c r="S230">
        <f t="shared" si="34"/>
        <v>-0.14504499999998188</v>
      </c>
      <c r="T230">
        <f t="shared" si="35"/>
        <v>-5.8736000000000003E-2</v>
      </c>
      <c r="Y230" t="s">
        <v>353</v>
      </c>
      <c r="Z230">
        <v>4499.5771000000004</v>
      </c>
      <c r="AA230">
        <v>1350.0755999999999</v>
      </c>
      <c r="AB230">
        <v>-9.3799999999999994E-2</v>
      </c>
    </row>
    <row r="231" spans="1:28" x14ac:dyDescent="0.2">
      <c r="A231" t="s">
        <v>354</v>
      </c>
      <c r="B231">
        <v>3999.6052629999999</v>
      </c>
      <c r="C231">
        <v>1350.0813149999999</v>
      </c>
      <c r="D231">
        <v>-8.9800000000000005E-2</v>
      </c>
      <c r="E231">
        <f t="shared" si="29"/>
        <v>229</v>
      </c>
      <c r="F231" t="str">
        <f t="shared" si="30"/>
        <v/>
      </c>
      <c r="J231" t="s">
        <v>354</v>
      </c>
      <c r="K231">
        <v>3999.56</v>
      </c>
      <c r="L231">
        <v>1350.1969999999999</v>
      </c>
      <c r="M231">
        <v>-2.5600000000000001E-2</v>
      </c>
      <c r="N231">
        <f t="shared" si="25"/>
        <v>229</v>
      </c>
      <c r="O231" t="str">
        <f t="shared" si="31"/>
        <v/>
      </c>
      <c r="Q231">
        <f t="shared" si="32"/>
        <v>3999.56</v>
      </c>
      <c r="R231">
        <f t="shared" si="33"/>
        <v>4.5262999999977183E-2</v>
      </c>
      <c r="S231">
        <f t="shared" si="34"/>
        <v>-0.11568499999998494</v>
      </c>
      <c r="T231">
        <f t="shared" si="35"/>
        <v>-6.4200000000000007E-2</v>
      </c>
      <c r="Y231" t="s">
        <v>354</v>
      </c>
      <c r="Z231">
        <v>3999.6089999999999</v>
      </c>
      <c r="AA231">
        <v>1350.0772999999999</v>
      </c>
      <c r="AB231">
        <v>-9.1600000000000001E-2</v>
      </c>
    </row>
    <row r="232" spans="1:28" x14ac:dyDescent="0.2">
      <c r="A232" t="s">
        <v>355</v>
      </c>
      <c r="B232">
        <v>3499.597319</v>
      </c>
      <c r="C232">
        <v>1350.101874</v>
      </c>
      <c r="D232">
        <v>-8.7301000000000004E-2</v>
      </c>
      <c r="E232">
        <f t="shared" si="29"/>
        <v>230</v>
      </c>
      <c r="F232" t="str">
        <f t="shared" si="30"/>
        <v/>
      </c>
      <c r="J232" t="s">
        <v>355</v>
      </c>
      <c r="K232">
        <v>3499.5453000000002</v>
      </c>
      <c r="L232">
        <v>1350.1982</v>
      </c>
      <c r="M232">
        <v>-2.76E-2</v>
      </c>
      <c r="N232">
        <f t="shared" si="25"/>
        <v>230</v>
      </c>
      <c r="O232" t="str">
        <f t="shared" si="31"/>
        <v/>
      </c>
      <c r="Q232">
        <f t="shared" si="32"/>
        <v>3499.5453000000002</v>
      </c>
      <c r="R232">
        <f t="shared" si="33"/>
        <v>5.2018999999745574E-2</v>
      </c>
      <c r="S232">
        <f t="shared" si="34"/>
        <v>-9.6326000000090062E-2</v>
      </c>
      <c r="T232">
        <f t="shared" si="35"/>
        <v>-5.9701000000000004E-2</v>
      </c>
      <c r="Y232" t="s">
        <v>355</v>
      </c>
      <c r="Z232">
        <v>3499.6019000000001</v>
      </c>
      <c r="AA232">
        <v>1350.0981999999999</v>
      </c>
      <c r="AB232">
        <v>-8.9099999999999999E-2</v>
      </c>
    </row>
    <row r="233" spans="1:28" x14ac:dyDescent="0.2">
      <c r="A233" t="s">
        <v>356</v>
      </c>
      <c r="B233">
        <v>2999.5770889999999</v>
      </c>
      <c r="C233">
        <v>1350.1105110000001</v>
      </c>
      <c r="D233">
        <v>-8.0971000000000001E-2</v>
      </c>
      <c r="E233">
        <f t="shared" si="29"/>
        <v>231</v>
      </c>
      <c r="F233" t="str">
        <f t="shared" si="30"/>
        <v/>
      </c>
      <c r="J233" t="s">
        <v>356</v>
      </c>
      <c r="K233">
        <v>2999.5113999999999</v>
      </c>
      <c r="L233">
        <v>1350.2397000000001</v>
      </c>
      <c r="M233">
        <v>-2.29E-2</v>
      </c>
      <c r="N233">
        <f t="shared" si="25"/>
        <v>231</v>
      </c>
      <c r="O233" t="str">
        <f t="shared" si="31"/>
        <v/>
      </c>
      <c r="Q233">
        <f t="shared" si="32"/>
        <v>2999.5113999999999</v>
      </c>
      <c r="R233">
        <f t="shared" si="33"/>
        <v>6.5689000000020314E-2</v>
      </c>
      <c r="S233">
        <f t="shared" si="34"/>
        <v>-0.12918899999999667</v>
      </c>
      <c r="T233">
        <f t="shared" si="35"/>
        <v>-5.8070999999999998E-2</v>
      </c>
      <c r="Y233" t="s">
        <v>356</v>
      </c>
      <c r="Z233">
        <v>2999.5832</v>
      </c>
      <c r="AA233">
        <v>1350.1049</v>
      </c>
      <c r="AB233">
        <v>-8.2699999999999996E-2</v>
      </c>
    </row>
    <row r="234" spans="1:28" x14ac:dyDescent="0.2">
      <c r="A234" t="s">
        <v>357</v>
      </c>
      <c r="B234">
        <v>2499.5763619999998</v>
      </c>
      <c r="C234">
        <v>1350.1322419999999</v>
      </c>
      <c r="D234">
        <v>-7.9363000000000003E-2</v>
      </c>
      <c r="E234">
        <f t="shared" si="29"/>
        <v>232</v>
      </c>
      <c r="F234" t="str">
        <f t="shared" si="30"/>
        <v/>
      </c>
      <c r="J234" t="s">
        <v>357</v>
      </c>
      <c r="K234">
        <v>2499.5185999999999</v>
      </c>
      <c r="L234">
        <v>1350.2506000000001</v>
      </c>
      <c r="M234">
        <v>-2.2499999999999999E-2</v>
      </c>
      <c r="N234">
        <f t="shared" si="25"/>
        <v>232</v>
      </c>
      <c r="O234" t="str">
        <f t="shared" si="31"/>
        <v/>
      </c>
      <c r="Q234">
        <f t="shared" si="32"/>
        <v>2499.5185999999999</v>
      </c>
      <c r="R234">
        <f t="shared" si="33"/>
        <v>5.7761999999911495E-2</v>
      </c>
      <c r="S234">
        <f t="shared" si="34"/>
        <v>-0.11835800000017116</v>
      </c>
      <c r="T234">
        <f t="shared" si="35"/>
        <v>-5.6863000000000004E-2</v>
      </c>
      <c r="Y234" t="s">
        <v>357</v>
      </c>
      <c r="Z234">
        <v>2499.5819999999999</v>
      </c>
      <c r="AA234">
        <v>1350.1265000000001</v>
      </c>
      <c r="AB234">
        <v>-8.14E-2</v>
      </c>
    </row>
    <row r="235" spans="1:28" x14ac:dyDescent="0.2">
      <c r="A235" t="s">
        <v>358</v>
      </c>
      <c r="B235">
        <v>1999.595822</v>
      </c>
      <c r="C235">
        <v>1350.157246</v>
      </c>
      <c r="D235">
        <v>-6.0212000000000002E-2</v>
      </c>
      <c r="E235">
        <f t="shared" si="29"/>
        <v>233</v>
      </c>
      <c r="F235" t="str">
        <f t="shared" si="30"/>
        <v/>
      </c>
      <c r="J235" t="s">
        <v>358</v>
      </c>
      <c r="K235">
        <v>1999.5488</v>
      </c>
      <c r="L235">
        <v>1350.2563</v>
      </c>
      <c r="M235">
        <v>-1.7299999999999999E-2</v>
      </c>
      <c r="N235">
        <f t="shared" si="25"/>
        <v>233</v>
      </c>
      <c r="O235" t="str">
        <f t="shared" si="31"/>
        <v/>
      </c>
      <c r="Q235">
        <f t="shared" si="32"/>
        <v>1999.5488</v>
      </c>
      <c r="R235">
        <f t="shared" si="33"/>
        <v>4.7021999999969921E-2</v>
      </c>
      <c r="S235">
        <f t="shared" si="34"/>
        <v>-9.9054000000023734E-2</v>
      </c>
      <c r="T235">
        <f t="shared" si="35"/>
        <v>-4.2912000000000006E-2</v>
      </c>
      <c r="Y235" t="s">
        <v>358</v>
      </c>
      <c r="Z235">
        <v>1999.6007</v>
      </c>
      <c r="AA235">
        <v>1350.1519000000001</v>
      </c>
      <c r="AB235">
        <v>-6.1800000000000001E-2</v>
      </c>
    </row>
    <row r="236" spans="1:28" x14ac:dyDescent="0.2">
      <c r="A236" t="s">
        <v>359</v>
      </c>
      <c r="B236">
        <v>1499.5897520000001</v>
      </c>
      <c r="C236">
        <v>1350.16562</v>
      </c>
      <c r="D236">
        <v>-3.8073999999999997E-2</v>
      </c>
      <c r="E236">
        <f t="shared" si="29"/>
        <v>234</v>
      </c>
      <c r="F236" t="str">
        <f t="shared" si="30"/>
        <v/>
      </c>
      <c r="J236" t="s">
        <v>359</v>
      </c>
      <c r="K236">
        <v>1499.5333000000001</v>
      </c>
      <c r="L236">
        <v>1350.2653</v>
      </c>
      <c r="M236">
        <v>-7.0000000000000001E-3</v>
      </c>
      <c r="N236">
        <f t="shared" si="25"/>
        <v>234</v>
      </c>
      <c r="O236" t="str">
        <f t="shared" si="31"/>
        <v/>
      </c>
      <c r="Q236">
        <f t="shared" si="32"/>
        <v>1499.5333000000001</v>
      </c>
      <c r="R236">
        <f t="shared" si="33"/>
        <v>5.6452000000035696E-2</v>
      </c>
      <c r="S236">
        <f t="shared" si="34"/>
        <v>-9.9680000000034852E-2</v>
      </c>
      <c r="T236">
        <f t="shared" si="35"/>
        <v>-3.1073999999999997E-2</v>
      </c>
      <c r="Y236" t="s">
        <v>359</v>
      </c>
      <c r="Z236">
        <v>1499.596</v>
      </c>
      <c r="AA236">
        <v>1350.1597999999999</v>
      </c>
      <c r="AB236">
        <v>-3.9E-2</v>
      </c>
    </row>
    <row r="237" spans="1:28" x14ac:dyDescent="0.2">
      <c r="A237" t="s">
        <v>360</v>
      </c>
      <c r="B237">
        <v>999.55469000000005</v>
      </c>
      <c r="C237">
        <v>1350.1869919999999</v>
      </c>
      <c r="D237">
        <v>-3.1081000000000001E-2</v>
      </c>
      <c r="E237">
        <f t="shared" si="29"/>
        <v>235</v>
      </c>
      <c r="F237" t="str">
        <f t="shared" si="30"/>
        <v/>
      </c>
      <c r="J237" t="s">
        <v>360</v>
      </c>
      <c r="K237">
        <v>999.50959999999998</v>
      </c>
      <c r="L237">
        <v>1350.3162</v>
      </c>
      <c r="M237">
        <v>2.0899999999999998E-2</v>
      </c>
      <c r="N237">
        <f t="shared" si="25"/>
        <v>235</v>
      </c>
      <c r="O237" t="str">
        <f t="shared" si="31"/>
        <v/>
      </c>
      <c r="Q237">
        <f t="shared" si="32"/>
        <v>999.50959999999998</v>
      </c>
      <c r="R237">
        <f t="shared" si="33"/>
        <v>4.5090000000072905E-2</v>
      </c>
      <c r="S237">
        <f t="shared" si="34"/>
        <v>-0.12920800000006238</v>
      </c>
      <c r="T237">
        <f t="shared" si="35"/>
        <v>-5.1980999999999999E-2</v>
      </c>
      <c r="Y237" t="s">
        <v>360</v>
      </c>
      <c r="Z237">
        <v>999.55960000000005</v>
      </c>
      <c r="AA237">
        <v>1350.1783</v>
      </c>
      <c r="AB237">
        <v>-3.3700000000000001E-2</v>
      </c>
    </row>
    <row r="238" spans="1:28" x14ac:dyDescent="0.2">
      <c r="A238" t="s">
        <v>361</v>
      </c>
      <c r="B238">
        <v>499.51344999999998</v>
      </c>
      <c r="C238">
        <v>1350.1816859999999</v>
      </c>
      <c r="D238">
        <v>-1.9789000000000001E-2</v>
      </c>
      <c r="E238">
        <f t="shared" si="29"/>
        <v>236</v>
      </c>
      <c r="F238" t="str">
        <f t="shared" si="30"/>
        <v/>
      </c>
      <c r="J238" t="s">
        <v>361</v>
      </c>
      <c r="K238">
        <v>499.47820000000002</v>
      </c>
      <c r="L238">
        <v>1350.2802999999999</v>
      </c>
      <c r="M238">
        <v>1.1299999999999999E-2</v>
      </c>
      <c r="N238">
        <f t="shared" si="25"/>
        <v>236</v>
      </c>
      <c r="O238" t="str">
        <f t="shared" si="31"/>
        <v/>
      </c>
      <c r="Q238">
        <f t="shared" si="32"/>
        <v>499.47820000000002</v>
      </c>
      <c r="R238">
        <f t="shared" si="33"/>
        <v>3.5249999999962256E-2</v>
      </c>
      <c r="S238">
        <f t="shared" si="34"/>
        <v>-9.8613999999997759E-2</v>
      </c>
      <c r="T238">
        <f t="shared" si="35"/>
        <v>-3.1088999999999999E-2</v>
      </c>
      <c r="Y238" t="s">
        <v>361</v>
      </c>
      <c r="Z238">
        <v>499.51749999999998</v>
      </c>
      <c r="AA238">
        <v>1350.1744000000001</v>
      </c>
      <c r="AB238">
        <v>-2.1399999999999999E-2</v>
      </c>
    </row>
    <row r="239" spans="1:28" x14ac:dyDescent="0.2">
      <c r="A239" t="s">
        <v>362</v>
      </c>
      <c r="B239">
        <v>499.538881</v>
      </c>
      <c r="C239">
        <v>1350.0863039999999</v>
      </c>
      <c r="D239">
        <v>-1500.01513</v>
      </c>
      <c r="E239">
        <f t="shared" si="29"/>
        <v>237</v>
      </c>
      <c r="F239" t="str">
        <f t="shared" si="30"/>
        <v/>
      </c>
      <c r="J239" t="s">
        <v>362</v>
      </c>
      <c r="K239">
        <v>499.4914</v>
      </c>
      <c r="L239">
        <v>1350.2145</v>
      </c>
      <c r="M239">
        <v>-1499.9645</v>
      </c>
      <c r="N239">
        <f t="shared" si="25"/>
        <v>237</v>
      </c>
      <c r="O239" t="str">
        <f t="shared" si="31"/>
        <v/>
      </c>
      <c r="Q239">
        <f t="shared" si="32"/>
        <v>499.4914</v>
      </c>
      <c r="R239">
        <f t="shared" si="33"/>
        <v>4.7481000000004769E-2</v>
      </c>
      <c r="S239">
        <f t="shared" si="34"/>
        <v>-0.12819600000011633</v>
      </c>
      <c r="T239">
        <f t="shared" si="35"/>
        <v>-5.0629999999955544E-2</v>
      </c>
      <c r="Y239" t="s">
        <v>362</v>
      </c>
      <c r="Z239">
        <v>499.54399999999998</v>
      </c>
      <c r="AA239">
        <v>1350.0773999999999</v>
      </c>
      <c r="AB239">
        <v>-1500.0186000000001</v>
      </c>
    </row>
    <row r="240" spans="1:28" x14ac:dyDescent="0.2">
      <c r="A240" t="s">
        <v>363</v>
      </c>
      <c r="B240">
        <v>999.59826899999996</v>
      </c>
      <c r="C240">
        <v>1350.062498</v>
      </c>
      <c r="D240">
        <v>-1467.0259739999999</v>
      </c>
      <c r="E240">
        <f t="shared" si="29"/>
        <v>238</v>
      </c>
      <c r="F240" t="str">
        <f t="shared" si="30"/>
        <v/>
      </c>
      <c r="J240" t="s">
        <v>363</v>
      </c>
      <c r="K240">
        <v>999.54750000000001</v>
      </c>
      <c r="L240">
        <v>1350.1766</v>
      </c>
      <c r="M240">
        <v>-1467.0021999999999</v>
      </c>
      <c r="N240">
        <f t="shared" si="25"/>
        <v>238</v>
      </c>
      <c r="O240" t="str">
        <f t="shared" si="31"/>
        <v/>
      </c>
      <c r="Q240">
        <f t="shared" si="32"/>
        <v>999.54750000000001</v>
      </c>
      <c r="R240">
        <f t="shared" si="33"/>
        <v>5.0768999999945663E-2</v>
      </c>
      <c r="S240">
        <f t="shared" si="34"/>
        <v>-0.11410200000000259</v>
      </c>
      <c r="T240">
        <f t="shared" si="35"/>
        <v>-2.377400000000307E-2</v>
      </c>
      <c r="Y240" t="s">
        <v>363</v>
      </c>
      <c r="Z240">
        <v>999.60360000000003</v>
      </c>
      <c r="AA240">
        <v>1350.0554</v>
      </c>
      <c r="AB240">
        <v>-1467.0273</v>
      </c>
    </row>
    <row r="241" spans="1:28" x14ac:dyDescent="0.2">
      <c r="A241" t="s">
        <v>364</v>
      </c>
      <c r="B241">
        <v>1499.6284230000001</v>
      </c>
      <c r="C241">
        <v>1350.0458309999999</v>
      </c>
      <c r="D241">
        <v>-1433.0407680000001</v>
      </c>
      <c r="E241">
        <f t="shared" si="29"/>
        <v>239</v>
      </c>
      <c r="F241" t="str">
        <f t="shared" si="30"/>
        <v/>
      </c>
      <c r="J241" t="s">
        <v>364</v>
      </c>
      <c r="K241">
        <v>1499.5826</v>
      </c>
      <c r="L241">
        <v>1350.1573000000001</v>
      </c>
      <c r="M241">
        <v>-1433.0385000000001</v>
      </c>
      <c r="N241">
        <f t="shared" si="25"/>
        <v>239</v>
      </c>
      <c r="O241" t="str">
        <f t="shared" si="31"/>
        <v/>
      </c>
      <c r="Q241">
        <f t="shared" si="32"/>
        <v>1499.5826</v>
      </c>
      <c r="R241">
        <f t="shared" si="33"/>
        <v>4.5823000000154934E-2</v>
      </c>
      <c r="S241">
        <f t="shared" si="34"/>
        <v>-0.11146900000017013</v>
      </c>
      <c r="T241">
        <f t="shared" si="35"/>
        <v>-2.2679999999581923E-3</v>
      </c>
      <c r="Y241" t="s">
        <v>364</v>
      </c>
      <c r="Z241">
        <v>1499.6329000000001</v>
      </c>
      <c r="AA241">
        <v>1350.0395000000001</v>
      </c>
      <c r="AB241">
        <v>-1433.0406</v>
      </c>
    </row>
    <row r="242" spans="1:28" x14ac:dyDescent="0.2">
      <c r="A242" t="s">
        <v>365</v>
      </c>
      <c r="B242">
        <v>1999.645295</v>
      </c>
      <c r="C242">
        <v>1350.030166</v>
      </c>
      <c r="D242">
        <v>-1400.0848229999999</v>
      </c>
      <c r="E242">
        <f t="shared" si="29"/>
        <v>240</v>
      </c>
      <c r="F242" t="str">
        <f t="shared" si="30"/>
        <v/>
      </c>
      <c r="J242" t="s">
        <v>365</v>
      </c>
      <c r="K242">
        <v>1999.5889999999999</v>
      </c>
      <c r="L242">
        <v>1350.1149</v>
      </c>
      <c r="M242">
        <v>-1400.0905</v>
      </c>
      <c r="N242">
        <f t="shared" si="25"/>
        <v>240</v>
      </c>
      <c r="O242" t="str">
        <f t="shared" si="31"/>
        <v/>
      </c>
      <c r="Q242">
        <f t="shared" si="32"/>
        <v>1999.5889999999999</v>
      </c>
      <c r="R242">
        <f t="shared" si="33"/>
        <v>5.6295000000091022E-2</v>
      </c>
      <c r="S242">
        <f t="shared" si="34"/>
        <v>-8.4734000000025844E-2</v>
      </c>
      <c r="T242">
        <f t="shared" si="35"/>
        <v>5.6770000001051812E-3</v>
      </c>
      <c r="Y242" t="s">
        <v>365</v>
      </c>
      <c r="Z242">
        <v>1999.6506999999999</v>
      </c>
      <c r="AA242">
        <v>1350.0261</v>
      </c>
      <c r="AB242">
        <v>-1400.0841</v>
      </c>
    </row>
    <row r="243" spans="1:28" x14ac:dyDescent="0.2">
      <c r="A243" t="s">
        <v>366</v>
      </c>
      <c r="B243">
        <v>2499.614474</v>
      </c>
      <c r="C243">
        <v>1350.0039139999999</v>
      </c>
      <c r="D243">
        <v>-1367.1069170000001</v>
      </c>
      <c r="E243">
        <f t="shared" si="29"/>
        <v>241</v>
      </c>
      <c r="F243" t="str">
        <f t="shared" si="30"/>
        <v/>
      </c>
      <c r="J243" t="s">
        <v>366</v>
      </c>
      <c r="K243">
        <v>2499.5571</v>
      </c>
      <c r="L243">
        <v>1350.1026999999999</v>
      </c>
      <c r="M243">
        <v>-1367.1138000000001</v>
      </c>
      <c r="N243">
        <f t="shared" si="25"/>
        <v>241</v>
      </c>
      <c r="O243" t="str">
        <f t="shared" si="31"/>
        <v/>
      </c>
      <c r="Q243">
        <f t="shared" si="32"/>
        <v>2499.5571</v>
      </c>
      <c r="R243">
        <f t="shared" si="33"/>
        <v>5.7373999999981606E-2</v>
      </c>
      <c r="S243">
        <f t="shared" si="34"/>
        <v>-9.8786000000018248E-2</v>
      </c>
      <c r="T243">
        <f t="shared" si="35"/>
        <v>6.8830000000161817E-3</v>
      </c>
      <c r="Y243" t="s">
        <v>366</v>
      </c>
      <c r="Z243">
        <v>2499.6196</v>
      </c>
      <c r="AA243">
        <v>1349.9996000000001</v>
      </c>
      <c r="AB243">
        <v>-1367.1061999999999</v>
      </c>
    </row>
    <row r="244" spans="1:28" x14ac:dyDescent="0.2">
      <c r="A244" t="s">
        <v>367</v>
      </c>
      <c r="B244">
        <v>2999.5911150000002</v>
      </c>
      <c r="C244">
        <v>1349.9918299999999</v>
      </c>
      <c r="D244">
        <v>-1333.108434</v>
      </c>
      <c r="E244">
        <f t="shared" si="29"/>
        <v>242</v>
      </c>
      <c r="F244" t="str">
        <f t="shared" si="30"/>
        <v/>
      </c>
      <c r="J244" t="s">
        <v>367</v>
      </c>
      <c r="K244">
        <v>2999.5427</v>
      </c>
      <c r="L244">
        <v>1350.0824</v>
      </c>
      <c r="M244">
        <v>-1333.0924</v>
      </c>
      <c r="N244">
        <f t="shared" ref="N244:N307" si="36">RIGHT(J244,LEN(J244)-FIND("_",J244,FIND("_",J244)+1))*1</f>
        <v>242</v>
      </c>
      <c r="O244" t="str">
        <f t="shared" si="31"/>
        <v/>
      </c>
      <c r="Q244">
        <f t="shared" si="32"/>
        <v>2999.5427</v>
      </c>
      <c r="R244">
        <f t="shared" si="33"/>
        <v>4.84150000002046E-2</v>
      </c>
      <c r="S244">
        <f t="shared" si="34"/>
        <v>-9.057000000007065E-2</v>
      </c>
      <c r="T244">
        <f t="shared" si="35"/>
        <v>-1.6033999999990556E-2</v>
      </c>
      <c r="Y244" t="s">
        <v>367</v>
      </c>
      <c r="Z244">
        <v>2999.5951</v>
      </c>
      <c r="AA244">
        <v>1349.9883</v>
      </c>
      <c r="AB244">
        <v>-1333.1088999999999</v>
      </c>
    </row>
    <row r="245" spans="1:28" x14ac:dyDescent="0.2">
      <c r="A245" t="s">
        <v>368</v>
      </c>
      <c r="B245">
        <v>3499.6151559999998</v>
      </c>
      <c r="C245">
        <v>1349.984457</v>
      </c>
      <c r="D245">
        <v>-1300.1289280000001</v>
      </c>
      <c r="E245">
        <f t="shared" si="29"/>
        <v>243</v>
      </c>
      <c r="F245" t="str">
        <f t="shared" si="30"/>
        <v/>
      </c>
      <c r="J245" t="s">
        <v>368</v>
      </c>
      <c r="K245">
        <v>3499.5657999999999</v>
      </c>
      <c r="L245">
        <v>1350.0604000000001</v>
      </c>
      <c r="M245">
        <v>-1300.1324</v>
      </c>
      <c r="N245">
        <f t="shared" si="36"/>
        <v>243</v>
      </c>
      <c r="O245" t="str">
        <f t="shared" si="31"/>
        <v/>
      </c>
      <c r="Q245">
        <f t="shared" si="32"/>
        <v>3499.5657999999999</v>
      </c>
      <c r="R245">
        <f t="shared" si="33"/>
        <v>4.9355999999988853E-2</v>
      </c>
      <c r="S245">
        <f t="shared" si="34"/>
        <v>-7.5943000000052052E-2</v>
      </c>
      <c r="T245">
        <f t="shared" si="35"/>
        <v>3.4719999998742423E-3</v>
      </c>
      <c r="Y245" t="s">
        <v>368</v>
      </c>
      <c r="Z245">
        <v>3499.6190000000001</v>
      </c>
      <c r="AA245">
        <v>1349.9819</v>
      </c>
      <c r="AB245">
        <v>-1300.1286</v>
      </c>
    </row>
    <row r="246" spans="1:28" x14ac:dyDescent="0.2">
      <c r="A246" t="s">
        <v>369</v>
      </c>
      <c r="B246">
        <v>3999.613261</v>
      </c>
      <c r="C246">
        <v>1349.9809230000001</v>
      </c>
      <c r="D246">
        <v>-1267.1063830000001</v>
      </c>
      <c r="E246">
        <f t="shared" si="29"/>
        <v>244</v>
      </c>
      <c r="F246" t="str">
        <f t="shared" si="30"/>
        <v/>
      </c>
      <c r="J246" t="s">
        <v>369</v>
      </c>
      <c r="K246">
        <v>3999.5671000000002</v>
      </c>
      <c r="L246">
        <v>1350.0223000000001</v>
      </c>
      <c r="M246">
        <v>-1267.1114</v>
      </c>
      <c r="N246">
        <f t="shared" si="36"/>
        <v>244</v>
      </c>
      <c r="O246" t="str">
        <f t="shared" si="31"/>
        <v/>
      </c>
      <c r="Q246">
        <f t="shared" si="32"/>
        <v>3999.5671000000002</v>
      </c>
      <c r="R246">
        <f t="shared" si="33"/>
        <v>4.6160999999756314E-2</v>
      </c>
      <c r="S246">
        <f t="shared" si="34"/>
        <v>-4.1377000000011321E-2</v>
      </c>
      <c r="T246">
        <f t="shared" si="35"/>
        <v>5.0169999999525317E-3</v>
      </c>
      <c r="Y246" t="s">
        <v>369</v>
      </c>
      <c r="Z246">
        <v>3999.6167</v>
      </c>
      <c r="AA246">
        <v>1349.9798000000001</v>
      </c>
      <c r="AB246">
        <v>-1267.1061</v>
      </c>
    </row>
    <row r="247" spans="1:28" x14ac:dyDescent="0.2">
      <c r="A247" t="s">
        <v>370</v>
      </c>
      <c r="B247">
        <v>4499.5789670000004</v>
      </c>
      <c r="C247">
        <v>1349.9711830000001</v>
      </c>
      <c r="D247">
        <v>-1233.105151</v>
      </c>
      <c r="E247">
        <f t="shared" si="29"/>
        <v>245</v>
      </c>
      <c r="F247" t="str">
        <f t="shared" si="30"/>
        <v/>
      </c>
      <c r="J247" t="s">
        <v>370</v>
      </c>
      <c r="K247">
        <v>4499.5424999999996</v>
      </c>
      <c r="L247">
        <v>1350.0296000000001</v>
      </c>
      <c r="M247">
        <v>-1233.1022</v>
      </c>
      <c r="N247">
        <f t="shared" si="36"/>
        <v>245</v>
      </c>
      <c r="O247" t="str">
        <f t="shared" si="31"/>
        <v/>
      </c>
      <c r="Q247">
        <f t="shared" si="32"/>
        <v>4499.5424999999996</v>
      </c>
      <c r="R247">
        <f t="shared" si="33"/>
        <v>3.6467000000811822E-2</v>
      </c>
      <c r="S247">
        <f t="shared" si="34"/>
        <v>-5.8416999999963082E-2</v>
      </c>
      <c r="T247">
        <f t="shared" si="35"/>
        <v>-2.9509999999390857E-3</v>
      </c>
      <c r="Y247" t="s">
        <v>370</v>
      </c>
      <c r="Z247">
        <v>4499.5814</v>
      </c>
      <c r="AA247">
        <v>1349.9697000000001</v>
      </c>
      <c r="AB247">
        <v>-1233.1051</v>
      </c>
    </row>
    <row r="248" spans="1:28" x14ac:dyDescent="0.2">
      <c r="A248" t="s">
        <v>371</v>
      </c>
      <c r="B248">
        <v>4999.6243379999996</v>
      </c>
      <c r="C248">
        <v>1349.9630010000001</v>
      </c>
      <c r="D248">
        <v>-1200.130009</v>
      </c>
      <c r="E248">
        <f t="shared" si="29"/>
        <v>246</v>
      </c>
      <c r="F248" t="str">
        <f t="shared" si="30"/>
        <v/>
      </c>
      <c r="J248" t="s">
        <v>371</v>
      </c>
      <c r="K248">
        <v>4999.5871999999999</v>
      </c>
      <c r="L248">
        <v>1350.0613000000001</v>
      </c>
      <c r="M248">
        <v>-1200.1146000000001</v>
      </c>
      <c r="N248">
        <f t="shared" si="36"/>
        <v>246</v>
      </c>
      <c r="O248" t="str">
        <f t="shared" si="31"/>
        <v/>
      </c>
      <c r="Q248">
        <f t="shared" si="32"/>
        <v>4999.5871999999999</v>
      </c>
      <c r="R248">
        <f t="shared" si="33"/>
        <v>3.7137999999686144E-2</v>
      </c>
      <c r="S248">
        <f t="shared" si="34"/>
        <v>-9.829899999999725E-2</v>
      </c>
      <c r="T248">
        <f t="shared" si="35"/>
        <v>-1.5408999999863227E-2</v>
      </c>
      <c r="Y248" t="s">
        <v>371</v>
      </c>
      <c r="Z248">
        <v>4999.6265999999996</v>
      </c>
      <c r="AA248">
        <v>1349.9608000000001</v>
      </c>
      <c r="AB248">
        <v>-1200.1303</v>
      </c>
    </row>
    <row r="249" spans="1:28" x14ac:dyDescent="0.2">
      <c r="A249" t="s">
        <v>372</v>
      </c>
      <c r="B249">
        <v>5499.637898</v>
      </c>
      <c r="C249">
        <v>1349.98534</v>
      </c>
      <c r="D249">
        <v>-1167.11617</v>
      </c>
      <c r="E249">
        <f t="shared" si="29"/>
        <v>247</v>
      </c>
      <c r="F249" t="str">
        <f t="shared" si="30"/>
        <v/>
      </c>
      <c r="J249" t="s">
        <v>372</v>
      </c>
      <c r="K249">
        <v>5499.6010999999999</v>
      </c>
      <c r="L249">
        <v>1350.0023000000001</v>
      </c>
      <c r="M249">
        <v>-1167.0971999999999</v>
      </c>
      <c r="N249">
        <f t="shared" si="36"/>
        <v>247</v>
      </c>
      <c r="O249" t="str">
        <f t="shared" si="31"/>
        <v/>
      </c>
      <c r="Q249">
        <f t="shared" si="32"/>
        <v>5499.6010999999999</v>
      </c>
      <c r="R249">
        <f t="shared" si="33"/>
        <v>3.6798000000089814E-2</v>
      </c>
      <c r="S249">
        <f t="shared" si="34"/>
        <v>-1.6960000000153741E-2</v>
      </c>
      <c r="T249">
        <f t="shared" si="35"/>
        <v>-1.89700000000812E-2</v>
      </c>
      <c r="Y249" t="s">
        <v>372</v>
      </c>
      <c r="Z249">
        <v>5499.64</v>
      </c>
      <c r="AA249">
        <v>1349.9849999999999</v>
      </c>
      <c r="AB249">
        <v>-1167.1166000000001</v>
      </c>
    </row>
    <row r="250" spans="1:28" x14ac:dyDescent="0.2">
      <c r="A250" t="s">
        <v>373</v>
      </c>
      <c r="B250">
        <v>5999.667152</v>
      </c>
      <c r="C250">
        <v>1349.9907169999999</v>
      </c>
      <c r="D250">
        <v>-1133.1370959999999</v>
      </c>
      <c r="E250">
        <f t="shared" si="29"/>
        <v>248</v>
      </c>
      <c r="F250" t="str">
        <f t="shared" si="30"/>
        <v/>
      </c>
      <c r="J250" t="s">
        <v>373</v>
      </c>
      <c r="K250">
        <v>5999.6257999999998</v>
      </c>
      <c r="L250">
        <v>1350.0344</v>
      </c>
      <c r="M250">
        <v>-1133.1332</v>
      </c>
      <c r="N250">
        <f t="shared" si="36"/>
        <v>248</v>
      </c>
      <c r="O250" t="str">
        <f t="shared" si="31"/>
        <v/>
      </c>
      <c r="Q250">
        <f t="shared" si="32"/>
        <v>5999.6257999999998</v>
      </c>
      <c r="R250">
        <f t="shared" si="33"/>
        <v>4.1352000000188127E-2</v>
      </c>
      <c r="S250">
        <f t="shared" si="34"/>
        <v>-4.3683000000100947E-2</v>
      </c>
      <c r="T250">
        <f t="shared" si="35"/>
        <v>-3.8959999999406136E-3</v>
      </c>
      <c r="Y250" t="s">
        <v>373</v>
      </c>
      <c r="Z250">
        <v>5999.6692000000003</v>
      </c>
      <c r="AA250">
        <v>1349.99</v>
      </c>
      <c r="AB250">
        <v>-1133.1373000000001</v>
      </c>
    </row>
    <row r="251" spans="1:28" x14ac:dyDescent="0.2">
      <c r="A251" t="s">
        <v>374</v>
      </c>
      <c r="B251">
        <v>6499.6576230000001</v>
      </c>
      <c r="C251">
        <v>1349.99613</v>
      </c>
      <c r="D251">
        <v>-1100.1345819999999</v>
      </c>
      <c r="E251">
        <f t="shared" si="29"/>
        <v>249</v>
      </c>
      <c r="F251" t="str">
        <f t="shared" si="30"/>
        <v/>
      </c>
      <c r="J251" t="s">
        <v>374</v>
      </c>
      <c r="K251">
        <v>6499.6264000000001</v>
      </c>
      <c r="L251">
        <v>1350.0440000000001</v>
      </c>
      <c r="M251">
        <v>-1100.1234999999999</v>
      </c>
      <c r="N251">
        <f t="shared" si="36"/>
        <v>249</v>
      </c>
      <c r="O251" t="str">
        <f t="shared" si="31"/>
        <v/>
      </c>
      <c r="Q251">
        <f t="shared" si="32"/>
        <v>6499.6264000000001</v>
      </c>
      <c r="R251">
        <f t="shared" si="33"/>
        <v>3.1222999999954482E-2</v>
      </c>
      <c r="S251">
        <f t="shared" si="34"/>
        <v>-4.7870000000102664E-2</v>
      </c>
      <c r="T251">
        <f t="shared" si="35"/>
        <v>-1.1081999999987602E-2</v>
      </c>
      <c r="Y251" t="s">
        <v>374</v>
      </c>
      <c r="Z251">
        <v>6499.6589999999997</v>
      </c>
      <c r="AA251">
        <v>1349.9954</v>
      </c>
      <c r="AB251">
        <v>-1100.1349</v>
      </c>
    </row>
    <row r="252" spans="1:28" x14ac:dyDescent="0.2">
      <c r="A252" t="s">
        <v>375</v>
      </c>
      <c r="B252">
        <v>6999.680351</v>
      </c>
      <c r="C252">
        <v>1350.0227600000001</v>
      </c>
      <c r="D252">
        <v>-1067.133065</v>
      </c>
      <c r="E252">
        <f t="shared" si="29"/>
        <v>250</v>
      </c>
      <c r="F252" t="str">
        <f t="shared" si="30"/>
        <v/>
      </c>
      <c r="J252" t="s">
        <v>375</v>
      </c>
      <c r="K252">
        <v>6999.6607999999997</v>
      </c>
      <c r="L252">
        <v>1350.0634</v>
      </c>
      <c r="M252">
        <v>-1067.1219000000001</v>
      </c>
      <c r="N252">
        <f t="shared" si="36"/>
        <v>250</v>
      </c>
      <c r="O252" t="str">
        <f t="shared" si="31"/>
        <v/>
      </c>
      <c r="Q252">
        <f t="shared" si="32"/>
        <v>6999.6607999999997</v>
      </c>
      <c r="R252">
        <f t="shared" si="33"/>
        <v>1.9551000000319618E-2</v>
      </c>
      <c r="S252">
        <f t="shared" si="34"/>
        <v>-4.0639999999939391E-2</v>
      </c>
      <c r="T252">
        <f t="shared" si="35"/>
        <v>-1.1164999999891734E-2</v>
      </c>
      <c r="Y252" t="s">
        <v>375</v>
      </c>
      <c r="Z252">
        <v>6999.6810999999998</v>
      </c>
      <c r="AA252">
        <v>1350.0222000000001</v>
      </c>
      <c r="AB252">
        <v>-1067.1333</v>
      </c>
    </row>
    <row r="253" spans="1:28" x14ac:dyDescent="0.2">
      <c r="A253" t="s">
        <v>376</v>
      </c>
      <c r="B253">
        <v>7499.6857829999999</v>
      </c>
      <c r="C253">
        <v>1350.0475570000001</v>
      </c>
      <c r="D253">
        <v>-1033.1193069999999</v>
      </c>
      <c r="E253">
        <f t="shared" si="29"/>
        <v>251</v>
      </c>
      <c r="F253" t="str">
        <f t="shared" si="30"/>
        <v/>
      </c>
      <c r="J253" t="s">
        <v>376</v>
      </c>
      <c r="K253">
        <v>7499.6817000000001</v>
      </c>
      <c r="L253">
        <v>1350.1079999999999</v>
      </c>
      <c r="M253">
        <v>-1033.0968</v>
      </c>
      <c r="N253">
        <f t="shared" si="36"/>
        <v>251</v>
      </c>
      <c r="O253" t="str">
        <f t="shared" si="31"/>
        <v/>
      </c>
      <c r="Q253">
        <f t="shared" si="32"/>
        <v>7499.6817000000001</v>
      </c>
      <c r="R253">
        <f t="shared" si="33"/>
        <v>4.0829999998095445E-3</v>
      </c>
      <c r="S253">
        <f t="shared" si="34"/>
        <v>-6.0442999999850144E-2</v>
      </c>
      <c r="T253">
        <f t="shared" si="35"/>
        <v>-2.250699999990502E-2</v>
      </c>
      <c r="Y253" t="s">
        <v>376</v>
      </c>
      <c r="Z253">
        <v>7499.6860999999999</v>
      </c>
      <c r="AA253">
        <v>1350.0469000000001</v>
      </c>
      <c r="AB253">
        <v>-1033.1197</v>
      </c>
    </row>
    <row r="254" spans="1:28" x14ac:dyDescent="0.2">
      <c r="A254" t="s">
        <v>377</v>
      </c>
      <c r="B254">
        <v>7999.6936770000002</v>
      </c>
      <c r="C254">
        <v>1350.0529939999999</v>
      </c>
      <c r="D254">
        <v>-1000.1176850000001</v>
      </c>
      <c r="E254">
        <f t="shared" si="29"/>
        <v>252</v>
      </c>
      <c r="F254" t="str">
        <f t="shared" si="30"/>
        <v/>
      </c>
      <c r="J254" t="s">
        <v>377</v>
      </c>
      <c r="K254">
        <v>7999.6980999999996</v>
      </c>
      <c r="L254">
        <v>1350.0653</v>
      </c>
      <c r="M254">
        <v>-1000.0978</v>
      </c>
      <c r="N254">
        <f t="shared" si="36"/>
        <v>252</v>
      </c>
      <c r="O254" t="str">
        <f t="shared" si="31"/>
        <v/>
      </c>
      <c r="Q254">
        <f t="shared" si="32"/>
        <v>7999.6980999999996</v>
      </c>
      <c r="R254">
        <f t="shared" si="33"/>
        <v>-4.4229999994058744E-3</v>
      </c>
      <c r="S254">
        <f t="shared" si="34"/>
        <v>-1.230600000008053E-2</v>
      </c>
      <c r="T254">
        <f t="shared" si="35"/>
        <v>-1.9885000000044784E-2</v>
      </c>
      <c r="Y254" t="s">
        <v>377</v>
      </c>
      <c r="Z254">
        <v>7999.6935999999996</v>
      </c>
      <c r="AA254">
        <v>1350.0527999999999</v>
      </c>
      <c r="AB254">
        <v>-1000.1179</v>
      </c>
    </row>
    <row r="255" spans="1:28" x14ac:dyDescent="0.2">
      <c r="A255" t="s">
        <v>378</v>
      </c>
      <c r="B255">
        <v>8499.5690759999998</v>
      </c>
      <c r="C255">
        <v>1350.0574730000001</v>
      </c>
      <c r="D255">
        <v>-967.10173399999996</v>
      </c>
      <c r="E255">
        <f t="shared" si="29"/>
        <v>253</v>
      </c>
      <c r="F255" t="str">
        <f t="shared" si="30"/>
        <v/>
      </c>
      <c r="J255" t="s">
        <v>378</v>
      </c>
      <c r="K255">
        <v>8499.5848999999998</v>
      </c>
      <c r="L255">
        <v>1350.0762999999999</v>
      </c>
      <c r="M255">
        <v>-967.09230000000002</v>
      </c>
      <c r="N255">
        <f t="shared" si="36"/>
        <v>253</v>
      </c>
      <c r="O255" t="str">
        <f t="shared" si="31"/>
        <v/>
      </c>
      <c r="Q255">
        <f t="shared" si="32"/>
        <v>8499.5848999999998</v>
      </c>
      <c r="R255">
        <f t="shared" si="33"/>
        <v>-1.5824000000066007E-2</v>
      </c>
      <c r="S255">
        <f t="shared" si="34"/>
        <v>-1.8826999999873806E-2</v>
      </c>
      <c r="T255">
        <f t="shared" si="35"/>
        <v>-9.4339999999419888E-3</v>
      </c>
      <c r="Y255" t="s">
        <v>378</v>
      </c>
      <c r="Z255">
        <v>8499.5687999999991</v>
      </c>
      <c r="AA255">
        <v>1350.0572999999999</v>
      </c>
      <c r="AB255">
        <v>-967.1019</v>
      </c>
    </row>
    <row r="256" spans="1:28" x14ac:dyDescent="0.2">
      <c r="A256" t="s">
        <v>379</v>
      </c>
      <c r="B256">
        <v>8999.5992910000004</v>
      </c>
      <c r="C256">
        <v>1350.0647610000001</v>
      </c>
      <c r="D256">
        <v>-933.11802</v>
      </c>
      <c r="E256">
        <f t="shared" si="29"/>
        <v>254</v>
      </c>
      <c r="F256" t="str">
        <f t="shared" si="30"/>
        <v/>
      </c>
      <c r="J256" t="s">
        <v>379</v>
      </c>
      <c r="K256">
        <v>8999.6203000000005</v>
      </c>
      <c r="L256">
        <v>1350.0568000000001</v>
      </c>
      <c r="M256">
        <v>-933.08190000000002</v>
      </c>
      <c r="N256">
        <f t="shared" si="36"/>
        <v>254</v>
      </c>
      <c r="O256" t="str">
        <f t="shared" si="31"/>
        <v/>
      </c>
      <c r="Q256">
        <f t="shared" si="32"/>
        <v>8999.6203000000005</v>
      </c>
      <c r="R256">
        <f t="shared" si="33"/>
        <v>-2.1009000000049127E-2</v>
      </c>
      <c r="S256">
        <f t="shared" si="34"/>
        <v>7.9610000000229775E-3</v>
      </c>
      <c r="T256">
        <f t="shared" si="35"/>
        <v>-3.611999999998261E-2</v>
      </c>
      <c r="Y256" t="s">
        <v>379</v>
      </c>
      <c r="Z256">
        <v>8999.5987999999998</v>
      </c>
      <c r="AA256">
        <v>1350.0646999999999</v>
      </c>
      <c r="AB256">
        <v>-933.11839999999995</v>
      </c>
    </row>
    <row r="257" spans="1:28" x14ac:dyDescent="0.2">
      <c r="A257" t="s">
        <v>380</v>
      </c>
      <c r="B257">
        <v>9499.6067889999995</v>
      </c>
      <c r="C257">
        <v>1350.067376</v>
      </c>
      <c r="D257">
        <v>-900.12025800000004</v>
      </c>
      <c r="E257">
        <f t="shared" si="29"/>
        <v>255</v>
      </c>
      <c r="F257" t="str">
        <f t="shared" si="30"/>
        <v/>
      </c>
      <c r="J257" t="s">
        <v>380</v>
      </c>
      <c r="K257">
        <v>9499.6308000000008</v>
      </c>
      <c r="L257">
        <v>1350.0726</v>
      </c>
      <c r="M257">
        <v>-900.10760000000005</v>
      </c>
      <c r="N257">
        <f t="shared" si="36"/>
        <v>255</v>
      </c>
      <c r="O257" t="str">
        <f t="shared" si="31"/>
        <v/>
      </c>
      <c r="Q257">
        <f t="shared" si="32"/>
        <v>9499.6308000000008</v>
      </c>
      <c r="R257">
        <f t="shared" si="33"/>
        <v>-2.4011000001337379E-2</v>
      </c>
      <c r="S257">
        <f t="shared" si="34"/>
        <v>-5.2239999999983411E-3</v>
      </c>
      <c r="T257">
        <f t="shared" si="35"/>
        <v>-1.2657999999987624E-2</v>
      </c>
      <c r="Y257" t="s">
        <v>380</v>
      </c>
      <c r="Z257">
        <v>9499.6059999999998</v>
      </c>
      <c r="AA257">
        <v>1350.0672</v>
      </c>
      <c r="AB257">
        <v>-900.12049999999999</v>
      </c>
    </row>
    <row r="258" spans="1:28" x14ac:dyDescent="0.2">
      <c r="A258" t="s">
        <v>381</v>
      </c>
      <c r="B258">
        <v>9999.6161379999994</v>
      </c>
      <c r="C258">
        <v>1350.070207</v>
      </c>
      <c r="D258">
        <v>-867.11338899999998</v>
      </c>
      <c r="E258">
        <f t="shared" si="29"/>
        <v>256</v>
      </c>
      <c r="F258" t="str">
        <f t="shared" si="30"/>
        <v/>
      </c>
      <c r="J258" t="s">
        <v>381</v>
      </c>
      <c r="K258">
        <v>9999.6509000000005</v>
      </c>
      <c r="L258">
        <v>1350.0299</v>
      </c>
      <c r="M258">
        <v>-867.08040000000005</v>
      </c>
      <c r="N258">
        <f t="shared" si="36"/>
        <v>256</v>
      </c>
      <c r="O258" t="str">
        <f t="shared" si="31"/>
        <v/>
      </c>
      <c r="Q258">
        <f t="shared" si="32"/>
        <v>9999.6509000000005</v>
      </c>
      <c r="R258">
        <f t="shared" si="33"/>
        <v>-3.4762000001137494E-2</v>
      </c>
      <c r="S258">
        <f t="shared" si="34"/>
        <v>4.0306999999984328E-2</v>
      </c>
      <c r="T258">
        <f t="shared" si="35"/>
        <v>-3.2988999999929547E-2</v>
      </c>
      <c r="Y258" t="s">
        <v>381</v>
      </c>
      <c r="Z258">
        <v>9999.6147000000001</v>
      </c>
      <c r="AA258">
        <v>1350.0706</v>
      </c>
      <c r="AB258">
        <v>-867.11400000000003</v>
      </c>
    </row>
    <row r="259" spans="1:28" x14ac:dyDescent="0.2">
      <c r="A259" t="s">
        <v>382</v>
      </c>
      <c r="B259">
        <v>10499.561334</v>
      </c>
      <c r="C259">
        <v>1350.0628610000001</v>
      </c>
      <c r="D259">
        <v>-833.10331499999995</v>
      </c>
      <c r="E259">
        <f t="shared" si="29"/>
        <v>257</v>
      </c>
      <c r="F259" t="str">
        <f t="shared" si="30"/>
        <v/>
      </c>
      <c r="J259" t="s">
        <v>382</v>
      </c>
      <c r="K259">
        <v>10499.605799999999</v>
      </c>
      <c r="L259">
        <v>1350.0391999999999</v>
      </c>
      <c r="M259">
        <v>-833.05290000000002</v>
      </c>
      <c r="N259">
        <f t="shared" si="36"/>
        <v>257</v>
      </c>
      <c r="O259" t="str">
        <f t="shared" si="31"/>
        <v/>
      </c>
      <c r="Q259">
        <f t="shared" si="32"/>
        <v>10499.605799999999</v>
      </c>
      <c r="R259">
        <f t="shared" si="33"/>
        <v>-4.4465999999374617E-2</v>
      </c>
      <c r="S259">
        <f t="shared" si="34"/>
        <v>2.3661000000174681E-2</v>
      </c>
      <c r="T259">
        <f t="shared" si="35"/>
        <v>-5.0414999999929933E-2</v>
      </c>
      <c r="Y259" t="s">
        <v>382</v>
      </c>
      <c r="Z259">
        <v>10499.558800000001</v>
      </c>
      <c r="AA259">
        <v>1350.0631000000001</v>
      </c>
      <c r="AB259">
        <v>-833.10440000000006</v>
      </c>
    </row>
    <row r="260" spans="1:28" x14ac:dyDescent="0.2">
      <c r="A260" t="s">
        <v>383</v>
      </c>
      <c r="B260">
        <v>10999.573388999999</v>
      </c>
      <c r="C260">
        <v>1350.0590259999999</v>
      </c>
      <c r="D260">
        <v>-800.11023</v>
      </c>
      <c r="E260">
        <f t="shared" ref="E260:E323" si="37">RIGHT(A260,LEN(A260)-FIND("_",A260,FIND("_",A260)+1))*1</f>
        <v>258</v>
      </c>
      <c r="F260" t="str">
        <f t="shared" ref="F260:F323" si="38">IF(E260&lt;&gt;1+E259,"err","")</f>
        <v/>
      </c>
      <c r="J260" t="s">
        <v>383</v>
      </c>
      <c r="K260">
        <v>10999.618700000001</v>
      </c>
      <c r="L260">
        <v>1350.0196000000001</v>
      </c>
      <c r="M260">
        <v>-800.10799999999995</v>
      </c>
      <c r="N260">
        <f t="shared" si="36"/>
        <v>258</v>
      </c>
      <c r="O260" t="str">
        <f t="shared" ref="O260:O323" si="39">IF(N260&lt;&gt;1+N259,"err","")</f>
        <v/>
      </c>
      <c r="Q260">
        <f t="shared" ref="Q260:Q323" si="40">K260</f>
        <v>10999.618700000001</v>
      </c>
      <c r="R260">
        <f t="shared" ref="R260:R323" si="41">B260-K260</f>
        <v>-4.5311000001674984E-2</v>
      </c>
      <c r="S260">
        <f t="shared" ref="S260:S323" si="42">C260-L260</f>
        <v>3.9425999999821215E-2</v>
      </c>
      <c r="T260">
        <f t="shared" ref="T260:T323" si="43">D260-M260</f>
        <v>-2.2300000000541331E-3</v>
      </c>
      <c r="Y260" t="s">
        <v>383</v>
      </c>
      <c r="Z260">
        <v>10999.57</v>
      </c>
      <c r="AA260">
        <v>1350.06</v>
      </c>
      <c r="AB260">
        <v>-800.11019999999996</v>
      </c>
    </row>
    <row r="261" spans="1:28" x14ac:dyDescent="0.2">
      <c r="A261" t="s">
        <v>384</v>
      </c>
      <c r="B261">
        <v>11499.594429000001</v>
      </c>
      <c r="C261">
        <v>1350.044531</v>
      </c>
      <c r="D261">
        <v>-825.09056299999997</v>
      </c>
      <c r="E261">
        <f t="shared" si="37"/>
        <v>259</v>
      </c>
      <c r="F261" t="str">
        <f t="shared" si="38"/>
        <v/>
      </c>
      <c r="J261" t="s">
        <v>384</v>
      </c>
      <c r="K261">
        <v>11499.635399999999</v>
      </c>
      <c r="L261">
        <v>1350.0274999999999</v>
      </c>
      <c r="M261">
        <v>-825.09630000000004</v>
      </c>
      <c r="N261">
        <f t="shared" si="36"/>
        <v>259</v>
      </c>
      <c r="O261" t="str">
        <f t="shared" si="39"/>
        <v/>
      </c>
      <c r="Q261">
        <f t="shared" si="40"/>
        <v>11499.635399999999</v>
      </c>
      <c r="R261">
        <f t="shared" si="41"/>
        <v>-4.0970999998535262E-2</v>
      </c>
      <c r="S261">
        <f t="shared" si="42"/>
        <v>1.703100000008817E-2</v>
      </c>
      <c r="T261">
        <f t="shared" si="43"/>
        <v>5.7370000000673826E-3</v>
      </c>
      <c r="Y261" t="s">
        <v>384</v>
      </c>
      <c r="Z261">
        <v>11499.5906</v>
      </c>
      <c r="AA261">
        <v>1350.0452</v>
      </c>
      <c r="AB261">
        <v>-825.09010000000001</v>
      </c>
    </row>
    <row r="262" spans="1:28" x14ac:dyDescent="0.2">
      <c r="A262" t="s">
        <v>385</v>
      </c>
      <c r="B262">
        <v>11999.626305</v>
      </c>
      <c r="C262">
        <v>1350.031307</v>
      </c>
      <c r="D262">
        <v>-850.10283900000002</v>
      </c>
      <c r="E262">
        <f t="shared" si="37"/>
        <v>260</v>
      </c>
      <c r="F262" t="str">
        <f t="shared" si="38"/>
        <v/>
      </c>
      <c r="J262" t="s">
        <v>385</v>
      </c>
      <c r="K262">
        <v>11999.6659</v>
      </c>
      <c r="L262">
        <v>1349.9757</v>
      </c>
      <c r="M262">
        <v>-850.10770000000002</v>
      </c>
      <c r="N262">
        <f t="shared" si="36"/>
        <v>260</v>
      </c>
      <c r="O262" t="str">
        <f t="shared" si="39"/>
        <v/>
      </c>
      <c r="Q262">
        <f t="shared" si="40"/>
        <v>11999.6659</v>
      </c>
      <c r="R262">
        <f t="shared" si="41"/>
        <v>-3.9595000000190339E-2</v>
      </c>
      <c r="S262">
        <f t="shared" si="42"/>
        <v>5.5607000000009066E-2</v>
      </c>
      <c r="T262">
        <f t="shared" si="43"/>
        <v>4.8610000000053333E-3</v>
      </c>
      <c r="Y262" t="s">
        <v>385</v>
      </c>
      <c r="Z262">
        <v>11999.6216</v>
      </c>
      <c r="AA262">
        <v>1350.0341000000001</v>
      </c>
      <c r="AB262">
        <v>-850.10220000000004</v>
      </c>
    </row>
    <row r="263" spans="1:28" x14ac:dyDescent="0.2">
      <c r="A263" t="s">
        <v>386</v>
      </c>
      <c r="B263">
        <v>12499.582281000001</v>
      </c>
      <c r="C263">
        <v>1350.0070089999999</v>
      </c>
      <c r="D263">
        <v>-875.10337700000002</v>
      </c>
      <c r="E263">
        <f t="shared" si="37"/>
        <v>261</v>
      </c>
      <c r="F263" t="str">
        <f t="shared" si="38"/>
        <v/>
      </c>
      <c r="J263" t="s">
        <v>386</v>
      </c>
      <c r="K263">
        <v>12499.620199999999</v>
      </c>
      <c r="L263">
        <v>1349.9784999999999</v>
      </c>
      <c r="M263">
        <v>-875.1019</v>
      </c>
      <c r="N263">
        <f t="shared" si="36"/>
        <v>261</v>
      </c>
      <c r="O263" t="str">
        <f t="shared" si="39"/>
        <v/>
      </c>
      <c r="Q263">
        <f t="shared" si="40"/>
        <v>12499.620199999999</v>
      </c>
      <c r="R263">
        <f t="shared" si="41"/>
        <v>-3.7918999998510117E-2</v>
      </c>
      <c r="S263">
        <f t="shared" si="42"/>
        <v>2.8508999999985463E-2</v>
      </c>
      <c r="T263">
        <f t="shared" si="43"/>
        <v>-1.4770000000225991E-3</v>
      </c>
      <c r="Y263" t="s">
        <v>386</v>
      </c>
      <c r="Z263">
        <v>12499.576999999999</v>
      </c>
      <c r="AA263">
        <v>1350.0091</v>
      </c>
      <c r="AB263">
        <v>-875.1028</v>
      </c>
    </row>
    <row r="264" spans="1:28" x14ac:dyDescent="0.2">
      <c r="A264" t="s">
        <v>387</v>
      </c>
      <c r="B264">
        <v>12999.595143</v>
      </c>
      <c r="C264">
        <v>1349.983751</v>
      </c>
      <c r="D264">
        <v>-900.10987</v>
      </c>
      <c r="E264">
        <f t="shared" si="37"/>
        <v>262</v>
      </c>
      <c r="F264" t="str">
        <f t="shared" si="38"/>
        <v/>
      </c>
      <c r="J264" t="s">
        <v>387</v>
      </c>
      <c r="K264">
        <v>12999.6374</v>
      </c>
      <c r="L264">
        <v>1349.9471000000001</v>
      </c>
      <c r="M264">
        <v>-900.1096</v>
      </c>
      <c r="N264">
        <f t="shared" si="36"/>
        <v>262</v>
      </c>
      <c r="O264" t="str">
        <f t="shared" si="39"/>
        <v/>
      </c>
      <c r="Q264">
        <f t="shared" si="40"/>
        <v>12999.6374</v>
      </c>
      <c r="R264">
        <f t="shared" si="41"/>
        <v>-4.2256999999153777E-2</v>
      </c>
      <c r="S264">
        <f t="shared" si="42"/>
        <v>3.665099999989252E-2</v>
      </c>
      <c r="T264">
        <f t="shared" si="43"/>
        <v>-2.7000000000043656E-4</v>
      </c>
      <c r="Y264" t="s">
        <v>387</v>
      </c>
      <c r="Z264">
        <v>12999.588100000001</v>
      </c>
      <c r="AA264">
        <v>1349.9873</v>
      </c>
      <c r="AB264">
        <v>-900.10889999999995</v>
      </c>
    </row>
    <row r="265" spans="1:28" x14ac:dyDescent="0.2">
      <c r="A265" t="s">
        <v>388</v>
      </c>
      <c r="B265">
        <v>13499.601054999999</v>
      </c>
      <c r="C265">
        <v>1349.9673909999999</v>
      </c>
      <c r="D265">
        <v>-925.08319500000005</v>
      </c>
      <c r="E265">
        <f t="shared" si="37"/>
        <v>263</v>
      </c>
      <c r="F265" t="str">
        <f t="shared" si="38"/>
        <v/>
      </c>
      <c r="J265" t="s">
        <v>388</v>
      </c>
      <c r="K265">
        <v>13499.6423</v>
      </c>
      <c r="L265">
        <v>1349.9212</v>
      </c>
      <c r="M265">
        <v>-925.08510000000001</v>
      </c>
      <c r="N265">
        <f t="shared" si="36"/>
        <v>263</v>
      </c>
      <c r="O265" t="str">
        <f t="shared" si="39"/>
        <v/>
      </c>
      <c r="Q265">
        <f t="shared" si="40"/>
        <v>13499.6423</v>
      </c>
      <c r="R265">
        <f t="shared" si="41"/>
        <v>-4.1245000000344589E-2</v>
      </c>
      <c r="S265">
        <f t="shared" si="42"/>
        <v>4.6190999999907945E-2</v>
      </c>
      <c r="T265">
        <f t="shared" si="43"/>
        <v>1.9049999999651845E-3</v>
      </c>
      <c r="Y265" t="s">
        <v>388</v>
      </c>
      <c r="Z265">
        <v>13499.5928</v>
      </c>
      <c r="AA265">
        <v>1349.9729</v>
      </c>
      <c r="AB265">
        <v>-925.08169999999996</v>
      </c>
    </row>
    <row r="266" spans="1:28" x14ac:dyDescent="0.2">
      <c r="A266" t="s">
        <v>389</v>
      </c>
      <c r="B266">
        <v>13999.629161999999</v>
      </c>
      <c r="C266">
        <v>1349.9504710000001</v>
      </c>
      <c r="D266">
        <v>-950.06805099999997</v>
      </c>
      <c r="E266">
        <f t="shared" si="37"/>
        <v>264</v>
      </c>
      <c r="F266" t="str">
        <f t="shared" si="38"/>
        <v/>
      </c>
      <c r="J266" t="s">
        <v>389</v>
      </c>
      <c r="K266">
        <v>13999.669099999999</v>
      </c>
      <c r="L266">
        <v>1349.8966</v>
      </c>
      <c r="M266">
        <v>-950.07489999999996</v>
      </c>
      <c r="N266">
        <f t="shared" si="36"/>
        <v>264</v>
      </c>
      <c r="O266" t="str">
        <f t="shared" si="39"/>
        <v/>
      </c>
      <c r="Q266">
        <f t="shared" si="40"/>
        <v>13999.669099999999</v>
      </c>
      <c r="R266">
        <f t="shared" si="41"/>
        <v>-3.9937999999892781E-2</v>
      </c>
      <c r="S266">
        <f t="shared" si="42"/>
        <v>5.3871000000071945E-2</v>
      </c>
      <c r="T266">
        <f t="shared" si="43"/>
        <v>6.8489999999883366E-3</v>
      </c>
      <c r="Y266" t="s">
        <v>389</v>
      </c>
      <c r="Z266">
        <v>13999.619500000001</v>
      </c>
      <c r="AA266">
        <v>1349.9584</v>
      </c>
      <c r="AB266">
        <v>-950.06560000000002</v>
      </c>
    </row>
    <row r="267" spans="1:28" x14ac:dyDescent="0.2">
      <c r="A267" t="s">
        <v>390</v>
      </c>
      <c r="B267">
        <v>14499.591275000001</v>
      </c>
      <c r="C267">
        <v>1349.924841</v>
      </c>
      <c r="D267">
        <v>-975.06505100000004</v>
      </c>
      <c r="E267">
        <f t="shared" si="37"/>
        <v>265</v>
      </c>
      <c r="F267" t="str">
        <f t="shared" si="38"/>
        <v/>
      </c>
      <c r="J267" t="s">
        <v>390</v>
      </c>
      <c r="K267">
        <v>14499.6216</v>
      </c>
      <c r="L267">
        <v>1349.8885</v>
      </c>
      <c r="M267">
        <v>-975.06100000000004</v>
      </c>
      <c r="N267">
        <f t="shared" si="36"/>
        <v>265</v>
      </c>
      <c r="O267" t="str">
        <f t="shared" si="39"/>
        <v/>
      </c>
      <c r="Q267">
        <f t="shared" si="40"/>
        <v>14499.6216</v>
      </c>
      <c r="R267">
        <f t="shared" si="41"/>
        <v>-3.0324999999720603E-2</v>
      </c>
      <c r="S267">
        <f t="shared" si="42"/>
        <v>3.6340999999993073E-2</v>
      </c>
      <c r="T267">
        <f t="shared" si="43"/>
        <v>-4.0510000000040236E-3</v>
      </c>
      <c r="Y267" t="s">
        <v>390</v>
      </c>
      <c r="Z267">
        <v>14499.582899999999</v>
      </c>
      <c r="AA267">
        <v>1349.9315999999999</v>
      </c>
      <c r="AB267">
        <v>-975.06420000000003</v>
      </c>
    </row>
    <row r="268" spans="1:28" x14ac:dyDescent="0.2">
      <c r="A268" t="s">
        <v>391</v>
      </c>
      <c r="B268">
        <v>14999.599695000001</v>
      </c>
      <c r="C268">
        <v>1349.9033810000001</v>
      </c>
      <c r="D268">
        <v>-1000.062038</v>
      </c>
      <c r="E268">
        <f t="shared" si="37"/>
        <v>266</v>
      </c>
      <c r="F268" t="str">
        <f t="shared" si="38"/>
        <v/>
      </c>
      <c r="J268" t="s">
        <v>391</v>
      </c>
      <c r="K268">
        <v>14999.6235</v>
      </c>
      <c r="L268">
        <v>1349.875</v>
      </c>
      <c r="M268">
        <v>-1000.0699</v>
      </c>
      <c r="N268">
        <f t="shared" si="36"/>
        <v>266</v>
      </c>
      <c r="O268" t="str">
        <f t="shared" si="39"/>
        <v/>
      </c>
      <c r="Q268">
        <f t="shared" si="40"/>
        <v>14999.6235</v>
      </c>
      <c r="R268">
        <f t="shared" si="41"/>
        <v>-2.3804999998901621E-2</v>
      </c>
      <c r="S268">
        <f t="shared" si="42"/>
        <v>2.8381000000081258E-2</v>
      </c>
      <c r="T268">
        <f t="shared" si="43"/>
        <v>7.8619999999318679E-3</v>
      </c>
      <c r="Y268" t="s">
        <v>391</v>
      </c>
      <c r="Z268">
        <v>14999.591700000001</v>
      </c>
      <c r="AA268">
        <v>1349.9099000000001</v>
      </c>
      <c r="AB268">
        <v>-1000.059</v>
      </c>
    </row>
    <row r="269" spans="1:28" x14ac:dyDescent="0.2">
      <c r="A269" t="s">
        <v>392</v>
      </c>
      <c r="B269">
        <v>15499.604294000001</v>
      </c>
      <c r="C269">
        <v>1349.875321</v>
      </c>
      <c r="D269">
        <v>-1025.060682</v>
      </c>
      <c r="E269">
        <f t="shared" si="37"/>
        <v>267</v>
      </c>
      <c r="F269" t="str">
        <f t="shared" si="38"/>
        <v/>
      </c>
      <c r="J269" t="s">
        <v>392</v>
      </c>
      <c r="K269">
        <v>15499.628000000001</v>
      </c>
      <c r="L269">
        <v>1349.8513</v>
      </c>
      <c r="M269">
        <v>-1025.0663999999999</v>
      </c>
      <c r="N269">
        <f t="shared" si="36"/>
        <v>267</v>
      </c>
      <c r="O269" t="str">
        <f t="shared" si="39"/>
        <v/>
      </c>
      <c r="Q269">
        <f t="shared" si="40"/>
        <v>15499.628000000001</v>
      </c>
      <c r="R269">
        <f t="shared" si="41"/>
        <v>-2.370599999994738E-2</v>
      </c>
      <c r="S269">
        <f t="shared" si="42"/>
        <v>2.402099999994789E-2</v>
      </c>
      <c r="T269">
        <f t="shared" si="43"/>
        <v>5.7179999998879794E-3</v>
      </c>
      <c r="Y269" t="s">
        <v>392</v>
      </c>
      <c r="Z269">
        <v>15499.5952</v>
      </c>
      <c r="AA269">
        <v>1349.8823</v>
      </c>
      <c r="AB269">
        <v>-1025.0576000000001</v>
      </c>
    </row>
    <row r="270" spans="1:28" x14ac:dyDescent="0.2">
      <c r="A270" t="s">
        <v>393</v>
      </c>
      <c r="B270">
        <v>15999.593612999999</v>
      </c>
      <c r="C270">
        <v>1349.823261</v>
      </c>
      <c r="D270">
        <v>-1050.0744890000001</v>
      </c>
      <c r="E270">
        <f t="shared" si="37"/>
        <v>268</v>
      </c>
      <c r="F270" t="str">
        <f t="shared" si="38"/>
        <v/>
      </c>
      <c r="J270" t="s">
        <v>393</v>
      </c>
      <c r="K270">
        <v>15999.617200000001</v>
      </c>
      <c r="L270">
        <v>1349.8000999999999</v>
      </c>
      <c r="M270">
        <v>-1050.0854999999999</v>
      </c>
      <c r="N270">
        <f t="shared" si="36"/>
        <v>268</v>
      </c>
      <c r="O270" t="str">
        <f t="shared" si="39"/>
        <v/>
      </c>
      <c r="Q270">
        <f t="shared" si="40"/>
        <v>15999.617200000001</v>
      </c>
      <c r="R270">
        <f t="shared" si="41"/>
        <v>-2.3587000001498382E-2</v>
      </c>
      <c r="S270">
        <f t="shared" si="42"/>
        <v>2.3161000000072818E-2</v>
      </c>
      <c r="T270">
        <f t="shared" si="43"/>
        <v>1.1010999999825799E-2</v>
      </c>
      <c r="Y270" t="s">
        <v>393</v>
      </c>
      <c r="Z270">
        <v>15999.582899999999</v>
      </c>
      <c r="AA270">
        <v>1349.8315</v>
      </c>
      <c r="AB270">
        <v>-1050.0691999999999</v>
      </c>
    </row>
    <row r="271" spans="1:28" x14ac:dyDescent="0.2">
      <c r="A271" t="s">
        <v>394</v>
      </c>
      <c r="B271">
        <v>16499.586325</v>
      </c>
      <c r="C271">
        <v>1349.8247260000001</v>
      </c>
      <c r="D271">
        <v>-1075.064337</v>
      </c>
      <c r="E271">
        <f t="shared" si="37"/>
        <v>269</v>
      </c>
      <c r="F271" t="str">
        <f t="shared" si="38"/>
        <v/>
      </c>
      <c r="J271" t="s">
        <v>394</v>
      </c>
      <c r="K271">
        <v>16499.609400000001</v>
      </c>
      <c r="L271">
        <v>1349.7987000000001</v>
      </c>
      <c r="M271">
        <v>-1075.0698</v>
      </c>
      <c r="N271">
        <f t="shared" si="36"/>
        <v>269</v>
      </c>
      <c r="O271" t="str">
        <f t="shared" si="39"/>
        <v/>
      </c>
      <c r="Q271">
        <f t="shared" si="40"/>
        <v>16499.609400000001</v>
      </c>
      <c r="R271">
        <f t="shared" si="41"/>
        <v>-2.3075000000972068E-2</v>
      </c>
      <c r="S271">
        <f t="shared" si="42"/>
        <v>2.6026000000001659E-2</v>
      </c>
      <c r="T271">
        <f t="shared" si="43"/>
        <v>5.4629999999633583E-3</v>
      </c>
      <c r="Y271" t="s">
        <v>394</v>
      </c>
      <c r="Z271">
        <v>16499.5743</v>
      </c>
      <c r="AA271">
        <v>1349.8357000000001</v>
      </c>
      <c r="AB271">
        <v>-1075.06</v>
      </c>
    </row>
    <row r="272" spans="1:28" x14ac:dyDescent="0.2">
      <c r="A272" t="s">
        <v>395</v>
      </c>
      <c r="B272">
        <v>16999.603932000002</v>
      </c>
      <c r="C272">
        <v>1349.805807</v>
      </c>
      <c r="D272">
        <v>-1100.056409</v>
      </c>
      <c r="E272">
        <f t="shared" si="37"/>
        <v>270</v>
      </c>
      <c r="F272" t="str">
        <f t="shared" si="38"/>
        <v/>
      </c>
      <c r="J272" t="s">
        <v>395</v>
      </c>
      <c r="K272">
        <v>16999.626199999999</v>
      </c>
      <c r="L272">
        <v>1349.788</v>
      </c>
      <c r="M272">
        <v>-1100.0600999999999</v>
      </c>
      <c r="N272">
        <f t="shared" si="36"/>
        <v>270</v>
      </c>
      <c r="O272" t="str">
        <f t="shared" si="39"/>
        <v/>
      </c>
      <c r="Q272">
        <f t="shared" si="40"/>
        <v>16999.626199999999</v>
      </c>
      <c r="R272">
        <f t="shared" si="41"/>
        <v>-2.2267999996984145E-2</v>
      </c>
      <c r="S272">
        <f t="shared" si="42"/>
        <v>1.7806999999947948E-2</v>
      </c>
      <c r="T272">
        <f t="shared" si="43"/>
        <v>3.6909999998897547E-3</v>
      </c>
      <c r="Y272" t="s">
        <v>395</v>
      </c>
      <c r="Z272">
        <v>16999.590899999999</v>
      </c>
      <c r="AA272">
        <v>1349.8154999999999</v>
      </c>
      <c r="AB272">
        <v>-1100.0521000000001</v>
      </c>
    </row>
    <row r="273" spans="1:28" x14ac:dyDescent="0.2">
      <c r="A273" t="s">
        <v>396</v>
      </c>
      <c r="B273">
        <v>17499.626338999999</v>
      </c>
      <c r="C273">
        <v>1349.7871399999999</v>
      </c>
      <c r="D273">
        <v>-1125.0499179999999</v>
      </c>
      <c r="E273">
        <f t="shared" si="37"/>
        <v>271</v>
      </c>
      <c r="F273" t="str">
        <f t="shared" si="38"/>
        <v/>
      </c>
      <c r="J273" t="s">
        <v>396</v>
      </c>
      <c r="K273">
        <v>17499.647000000001</v>
      </c>
      <c r="L273">
        <v>1349.7550000000001</v>
      </c>
      <c r="M273">
        <v>-1125.0516</v>
      </c>
      <c r="N273">
        <f t="shared" si="36"/>
        <v>271</v>
      </c>
      <c r="O273" t="str">
        <f t="shared" si="39"/>
        <v/>
      </c>
      <c r="Q273">
        <f t="shared" si="40"/>
        <v>17499.647000000001</v>
      </c>
      <c r="R273">
        <f t="shared" si="41"/>
        <v>-2.0661000002291985E-2</v>
      </c>
      <c r="S273">
        <f t="shared" si="42"/>
        <v>3.2139999999799329E-2</v>
      </c>
      <c r="T273">
        <f t="shared" si="43"/>
        <v>1.6820000000734581E-3</v>
      </c>
      <c r="Y273" t="s">
        <v>396</v>
      </c>
      <c r="Z273">
        <v>17499.611799999999</v>
      </c>
      <c r="AA273">
        <v>1349.8061</v>
      </c>
      <c r="AB273">
        <v>-1125.0462</v>
      </c>
    </row>
    <row r="274" spans="1:28" x14ac:dyDescent="0.2">
      <c r="A274" t="s">
        <v>397</v>
      </c>
      <c r="B274">
        <v>17999.645811999999</v>
      </c>
      <c r="C274">
        <v>1349.776824</v>
      </c>
      <c r="D274">
        <v>-1150.053991</v>
      </c>
      <c r="E274">
        <f t="shared" si="37"/>
        <v>272</v>
      </c>
      <c r="F274" t="str">
        <f t="shared" si="38"/>
        <v/>
      </c>
      <c r="J274" t="s">
        <v>397</v>
      </c>
      <c r="K274">
        <v>17999.6643</v>
      </c>
      <c r="L274">
        <v>1349.7551000000001</v>
      </c>
      <c r="M274">
        <v>-1150.0741</v>
      </c>
      <c r="N274">
        <f t="shared" si="36"/>
        <v>272</v>
      </c>
      <c r="O274" t="str">
        <f t="shared" si="39"/>
        <v/>
      </c>
      <c r="Q274">
        <f t="shared" si="40"/>
        <v>17999.6643</v>
      </c>
      <c r="R274">
        <f t="shared" si="41"/>
        <v>-1.8488000001525506E-2</v>
      </c>
      <c r="S274">
        <f t="shared" si="42"/>
        <v>2.1723999999949228E-2</v>
      </c>
      <c r="T274">
        <f t="shared" si="43"/>
        <v>2.0109000000047672E-2</v>
      </c>
      <c r="Y274" t="s">
        <v>397</v>
      </c>
      <c r="Z274">
        <v>17999.629799999999</v>
      </c>
      <c r="AA274">
        <v>1349.7927999999999</v>
      </c>
      <c r="AB274">
        <v>-1150.0381</v>
      </c>
    </row>
    <row r="275" spans="1:28" x14ac:dyDescent="0.2">
      <c r="A275" t="s">
        <v>398</v>
      </c>
      <c r="B275">
        <v>18499.590208000001</v>
      </c>
      <c r="C275">
        <v>1349.779266</v>
      </c>
      <c r="D275">
        <v>-1175.0560889999999</v>
      </c>
      <c r="E275">
        <f t="shared" si="37"/>
        <v>273</v>
      </c>
      <c r="F275" t="str">
        <f t="shared" si="38"/>
        <v/>
      </c>
      <c r="J275" t="s">
        <v>398</v>
      </c>
      <c r="K275">
        <v>18499.611799999999</v>
      </c>
      <c r="L275">
        <v>1349.7608</v>
      </c>
      <c r="M275">
        <v>-1175.0616</v>
      </c>
      <c r="N275">
        <f t="shared" si="36"/>
        <v>273</v>
      </c>
      <c r="O275" t="str">
        <f t="shared" si="39"/>
        <v/>
      </c>
      <c r="Q275">
        <f t="shared" si="40"/>
        <v>18499.611799999999</v>
      </c>
      <c r="R275">
        <f t="shared" si="41"/>
        <v>-2.1591999997326639E-2</v>
      </c>
      <c r="S275">
        <f t="shared" si="42"/>
        <v>1.8465999999989435E-2</v>
      </c>
      <c r="T275">
        <f t="shared" si="43"/>
        <v>5.5110000000695436E-3</v>
      </c>
      <c r="Y275" t="s">
        <v>398</v>
      </c>
      <c r="Z275">
        <v>18499.570599999999</v>
      </c>
      <c r="AA275">
        <v>1349.7963</v>
      </c>
      <c r="AB275">
        <v>-1175.0478000000001</v>
      </c>
    </row>
    <row r="276" spans="1:28" x14ac:dyDescent="0.2">
      <c r="A276" t="s">
        <v>399</v>
      </c>
      <c r="B276">
        <v>18999.610896999999</v>
      </c>
      <c r="C276">
        <v>1349.7551249999999</v>
      </c>
      <c r="D276">
        <v>-1200.0737650000001</v>
      </c>
      <c r="E276">
        <f t="shared" si="37"/>
        <v>274</v>
      </c>
      <c r="F276" t="str">
        <f t="shared" si="38"/>
        <v/>
      </c>
      <c r="J276" t="s">
        <v>399</v>
      </c>
      <c r="K276">
        <v>18999.634699999999</v>
      </c>
      <c r="L276">
        <v>1349.7498000000001</v>
      </c>
      <c r="M276">
        <v>-1200.0812000000001</v>
      </c>
      <c r="N276">
        <f t="shared" si="36"/>
        <v>274</v>
      </c>
      <c r="O276" t="str">
        <f t="shared" si="39"/>
        <v/>
      </c>
      <c r="Q276">
        <f t="shared" si="40"/>
        <v>18999.634699999999</v>
      </c>
      <c r="R276">
        <f t="shared" si="41"/>
        <v>-2.3803000000043539E-2</v>
      </c>
      <c r="S276">
        <f t="shared" si="42"/>
        <v>5.3249999998570274E-3</v>
      </c>
      <c r="T276">
        <f t="shared" si="43"/>
        <v>7.4349999999867578E-3</v>
      </c>
      <c r="Y276" t="s">
        <v>399</v>
      </c>
      <c r="Z276">
        <v>18999.586899999998</v>
      </c>
      <c r="AA276">
        <v>1349.7637999999999</v>
      </c>
      <c r="AB276">
        <v>-1200.0617999999999</v>
      </c>
    </row>
    <row r="277" spans="1:28" x14ac:dyDescent="0.2">
      <c r="A277" t="s">
        <v>400</v>
      </c>
      <c r="B277">
        <v>19499.635685000001</v>
      </c>
      <c r="C277">
        <v>1349.765283</v>
      </c>
      <c r="D277">
        <v>-1225.080271</v>
      </c>
      <c r="E277">
        <f t="shared" si="37"/>
        <v>275</v>
      </c>
      <c r="F277" t="str">
        <f t="shared" si="38"/>
        <v/>
      </c>
      <c r="J277" t="s">
        <v>400</v>
      </c>
      <c r="K277">
        <v>19499.655599999998</v>
      </c>
      <c r="L277">
        <v>1349.75</v>
      </c>
      <c r="M277">
        <v>-1225.0871</v>
      </c>
      <c r="N277">
        <f t="shared" si="36"/>
        <v>275</v>
      </c>
      <c r="O277" t="str">
        <f t="shared" si="39"/>
        <v/>
      </c>
      <c r="Q277">
        <f t="shared" si="40"/>
        <v>19499.655599999998</v>
      </c>
      <c r="R277">
        <f t="shared" si="41"/>
        <v>-1.991499999712687E-2</v>
      </c>
      <c r="S277">
        <f t="shared" si="42"/>
        <v>1.5282999999953972E-2</v>
      </c>
      <c r="T277">
        <f t="shared" si="43"/>
        <v>6.8289999999251449E-3</v>
      </c>
      <c r="Y277" t="s">
        <v>400</v>
      </c>
      <c r="Z277">
        <v>19499.6116</v>
      </c>
      <c r="AA277">
        <v>1349.7858000000001</v>
      </c>
      <c r="AB277">
        <v>-1225.0677000000001</v>
      </c>
    </row>
    <row r="278" spans="1:28" x14ac:dyDescent="0.2">
      <c r="A278" t="s">
        <v>401</v>
      </c>
      <c r="B278">
        <v>19999.634942000001</v>
      </c>
      <c r="C278">
        <v>1349.7486289999999</v>
      </c>
      <c r="D278">
        <v>-1250.075227</v>
      </c>
      <c r="E278">
        <f t="shared" si="37"/>
        <v>276</v>
      </c>
      <c r="F278" t="str">
        <f t="shared" si="38"/>
        <v/>
      </c>
      <c r="J278" t="s">
        <v>401</v>
      </c>
      <c r="K278">
        <v>19999.652600000001</v>
      </c>
      <c r="L278">
        <v>1349.7317</v>
      </c>
      <c r="M278">
        <v>-1250.0808999999999</v>
      </c>
      <c r="N278">
        <f t="shared" si="36"/>
        <v>276</v>
      </c>
      <c r="O278" t="str">
        <f t="shared" si="39"/>
        <v/>
      </c>
      <c r="Q278">
        <f t="shared" si="40"/>
        <v>19999.652600000001</v>
      </c>
      <c r="R278">
        <f t="shared" si="41"/>
        <v>-1.7658000000665197E-2</v>
      </c>
      <c r="S278">
        <f t="shared" si="42"/>
        <v>1.6928999999890948E-2</v>
      </c>
      <c r="T278">
        <f t="shared" si="43"/>
        <v>5.6729999998879066E-3</v>
      </c>
      <c r="Y278" t="s">
        <v>401</v>
      </c>
      <c r="Z278">
        <v>19999.61</v>
      </c>
      <c r="AA278">
        <v>1349.7747999999999</v>
      </c>
      <c r="AB278">
        <v>-1250.0626</v>
      </c>
    </row>
    <row r="279" spans="1:28" x14ac:dyDescent="0.2">
      <c r="A279" t="s">
        <v>402</v>
      </c>
      <c r="B279">
        <v>20499.623321999999</v>
      </c>
      <c r="C279">
        <v>1349.732137</v>
      </c>
      <c r="D279">
        <v>-1275.080189</v>
      </c>
      <c r="E279">
        <f t="shared" si="37"/>
        <v>277</v>
      </c>
      <c r="F279" t="str">
        <f t="shared" si="38"/>
        <v/>
      </c>
      <c r="J279" t="s">
        <v>402</v>
      </c>
      <c r="K279">
        <v>20499.634099999999</v>
      </c>
      <c r="L279">
        <v>1349.7266</v>
      </c>
      <c r="M279">
        <v>-1275.0944</v>
      </c>
      <c r="N279">
        <f t="shared" si="36"/>
        <v>277</v>
      </c>
      <c r="O279" t="str">
        <f t="shared" si="39"/>
        <v/>
      </c>
      <c r="Q279">
        <f t="shared" si="40"/>
        <v>20499.634099999999</v>
      </c>
      <c r="R279">
        <f t="shared" si="41"/>
        <v>-1.0777999999845633E-2</v>
      </c>
      <c r="S279">
        <f t="shared" si="42"/>
        <v>5.5370000000038999E-3</v>
      </c>
      <c r="T279">
        <f t="shared" si="43"/>
        <v>1.4210999999932028E-2</v>
      </c>
      <c r="Y279" t="s">
        <v>402</v>
      </c>
      <c r="Z279">
        <v>20499.6047</v>
      </c>
      <c r="AA279">
        <v>1349.7438</v>
      </c>
      <c r="AB279">
        <v>-1275.0537999999999</v>
      </c>
    </row>
    <row r="280" spans="1:28" x14ac:dyDescent="0.2">
      <c r="A280" t="s">
        <v>403</v>
      </c>
      <c r="B280">
        <v>20999.617967999999</v>
      </c>
      <c r="C280">
        <v>1349.747521</v>
      </c>
      <c r="D280">
        <v>-1300.1056309999999</v>
      </c>
      <c r="E280">
        <f t="shared" si="37"/>
        <v>278</v>
      </c>
      <c r="F280" t="str">
        <f t="shared" si="38"/>
        <v/>
      </c>
      <c r="J280" t="s">
        <v>403</v>
      </c>
      <c r="K280">
        <v>20999.6263</v>
      </c>
      <c r="L280">
        <v>1349.7375</v>
      </c>
      <c r="M280">
        <v>-1300.1128000000001</v>
      </c>
      <c r="N280">
        <f t="shared" si="36"/>
        <v>278</v>
      </c>
      <c r="O280" t="str">
        <f t="shared" si="39"/>
        <v/>
      </c>
      <c r="Q280">
        <f t="shared" si="40"/>
        <v>20999.6263</v>
      </c>
      <c r="R280">
        <f t="shared" si="41"/>
        <v>-8.3320000012463424E-3</v>
      </c>
      <c r="S280">
        <f t="shared" si="42"/>
        <v>1.0021000000051572E-2</v>
      </c>
      <c r="T280">
        <f t="shared" si="43"/>
        <v>7.1690000002035958E-3</v>
      </c>
      <c r="Y280" t="s">
        <v>403</v>
      </c>
      <c r="Z280">
        <v>20999.601200000001</v>
      </c>
      <c r="AA280">
        <v>1349.7692999999999</v>
      </c>
      <c r="AB280">
        <v>-1300.0886</v>
      </c>
    </row>
    <row r="281" spans="1:28" x14ac:dyDescent="0.2">
      <c r="A281" t="s">
        <v>404</v>
      </c>
      <c r="B281">
        <v>21499.626232999999</v>
      </c>
      <c r="C281">
        <v>1349.7267360000001</v>
      </c>
      <c r="D281">
        <v>-1325.099389</v>
      </c>
      <c r="E281">
        <f t="shared" si="37"/>
        <v>279</v>
      </c>
      <c r="F281" t="str">
        <f t="shared" si="38"/>
        <v/>
      </c>
      <c r="J281" t="s">
        <v>404</v>
      </c>
      <c r="K281">
        <v>21499.6348</v>
      </c>
      <c r="L281">
        <v>1349.7166</v>
      </c>
      <c r="M281">
        <v>-1325.1061</v>
      </c>
      <c r="N281">
        <f t="shared" si="36"/>
        <v>279</v>
      </c>
      <c r="O281" t="str">
        <f t="shared" si="39"/>
        <v/>
      </c>
      <c r="Q281">
        <f t="shared" si="40"/>
        <v>21499.6348</v>
      </c>
      <c r="R281">
        <f t="shared" si="41"/>
        <v>-8.5670000007667113E-3</v>
      </c>
      <c r="S281">
        <f t="shared" si="42"/>
        <v>1.0136000000102285E-2</v>
      </c>
      <c r="T281">
        <f t="shared" si="43"/>
        <v>6.7109999999956926E-3</v>
      </c>
      <c r="Y281" t="s">
        <v>404</v>
      </c>
      <c r="Z281">
        <v>21499.606500000002</v>
      </c>
      <c r="AA281">
        <v>1349.7532000000001</v>
      </c>
      <c r="AB281">
        <v>-1325.08</v>
      </c>
    </row>
    <row r="282" spans="1:28" x14ac:dyDescent="0.2">
      <c r="A282" t="s">
        <v>405</v>
      </c>
      <c r="B282">
        <v>21999.635599000001</v>
      </c>
      <c r="C282">
        <v>1349.7096039999999</v>
      </c>
      <c r="D282">
        <v>-1350.1051749999999</v>
      </c>
      <c r="E282">
        <f t="shared" si="37"/>
        <v>280</v>
      </c>
      <c r="F282" t="str">
        <f t="shared" si="38"/>
        <v/>
      </c>
      <c r="J282" t="s">
        <v>405</v>
      </c>
      <c r="K282">
        <v>21999.645700000001</v>
      </c>
      <c r="L282">
        <v>1349.7048</v>
      </c>
      <c r="M282">
        <v>-1350.1126999999999</v>
      </c>
      <c r="N282">
        <f t="shared" si="36"/>
        <v>280</v>
      </c>
      <c r="O282" t="str">
        <f t="shared" si="39"/>
        <v/>
      </c>
      <c r="Q282">
        <f t="shared" si="40"/>
        <v>21999.645700000001</v>
      </c>
      <c r="R282">
        <f t="shared" si="41"/>
        <v>-1.0100999999849591E-2</v>
      </c>
      <c r="S282">
        <f t="shared" si="42"/>
        <v>4.8039999999218708E-3</v>
      </c>
      <c r="T282">
        <f t="shared" si="43"/>
        <v>7.5249999999869033E-3</v>
      </c>
      <c r="Y282" t="s">
        <v>405</v>
      </c>
      <c r="Z282">
        <v>21999.61</v>
      </c>
      <c r="AA282">
        <v>1349.7272</v>
      </c>
      <c r="AB282">
        <v>-1350.0787</v>
      </c>
    </row>
    <row r="283" spans="1:28" x14ac:dyDescent="0.2">
      <c r="A283" t="s">
        <v>406</v>
      </c>
      <c r="B283">
        <v>22499.606424000001</v>
      </c>
      <c r="C283">
        <v>1349.707529</v>
      </c>
      <c r="D283">
        <v>-1375.101273</v>
      </c>
      <c r="E283">
        <f t="shared" si="37"/>
        <v>281</v>
      </c>
      <c r="F283" t="str">
        <f t="shared" si="38"/>
        <v/>
      </c>
      <c r="J283" t="s">
        <v>406</v>
      </c>
      <c r="K283">
        <v>22499.615099999999</v>
      </c>
      <c r="L283">
        <v>1349.7058</v>
      </c>
      <c r="M283">
        <v>-1375.105</v>
      </c>
      <c r="N283">
        <f t="shared" si="36"/>
        <v>281</v>
      </c>
      <c r="O283" t="str">
        <f t="shared" si="39"/>
        <v/>
      </c>
      <c r="Q283">
        <f t="shared" si="40"/>
        <v>22499.615099999999</v>
      </c>
      <c r="R283">
        <f t="shared" si="41"/>
        <v>-8.6759999976493418E-3</v>
      </c>
      <c r="S283">
        <f t="shared" si="42"/>
        <v>1.7290000000684813E-3</v>
      </c>
      <c r="T283">
        <f t="shared" si="43"/>
        <v>3.7270000000262371E-3</v>
      </c>
      <c r="Y283" t="s">
        <v>406</v>
      </c>
      <c r="Z283">
        <v>22499.5821</v>
      </c>
      <c r="AA283">
        <v>1349.7174</v>
      </c>
      <c r="AB283">
        <v>-1375.0834</v>
      </c>
    </row>
    <row r="284" spans="1:28" x14ac:dyDescent="0.2">
      <c r="A284" t="s">
        <v>407</v>
      </c>
      <c r="B284">
        <v>22999.625859</v>
      </c>
      <c r="C284">
        <v>1349.676631</v>
      </c>
      <c r="D284">
        <v>-1400.0965699999999</v>
      </c>
      <c r="E284">
        <f t="shared" si="37"/>
        <v>282</v>
      </c>
      <c r="F284" t="str">
        <f t="shared" si="38"/>
        <v/>
      </c>
      <c r="J284" t="s">
        <v>407</v>
      </c>
      <c r="K284">
        <v>22999.633600000001</v>
      </c>
      <c r="L284">
        <v>1349.6867999999999</v>
      </c>
      <c r="M284">
        <v>-1400.1101000000001</v>
      </c>
      <c r="N284">
        <f t="shared" si="36"/>
        <v>282</v>
      </c>
      <c r="O284" t="str">
        <f t="shared" si="39"/>
        <v/>
      </c>
      <c r="Q284">
        <f t="shared" si="40"/>
        <v>22999.633600000001</v>
      </c>
      <c r="R284">
        <f t="shared" si="41"/>
        <v>-7.7410000012605451E-3</v>
      </c>
      <c r="S284">
        <f t="shared" si="42"/>
        <v>-1.0168999999905282E-2</v>
      </c>
      <c r="T284">
        <f t="shared" si="43"/>
        <v>1.3530000000173459E-2</v>
      </c>
      <c r="Y284" t="s">
        <v>407</v>
      </c>
      <c r="Z284">
        <v>22999.613000000001</v>
      </c>
      <c r="AA284">
        <v>1349.6959999999999</v>
      </c>
      <c r="AB284">
        <v>-1400.0908999999999</v>
      </c>
    </row>
    <row r="285" spans="1:28" x14ac:dyDescent="0.2">
      <c r="A285" t="s">
        <v>408</v>
      </c>
      <c r="B285">
        <v>23499.634862999999</v>
      </c>
      <c r="C285">
        <v>1349.6572160000001</v>
      </c>
      <c r="D285">
        <v>-1425.111562</v>
      </c>
      <c r="E285">
        <f t="shared" si="37"/>
        <v>283</v>
      </c>
      <c r="F285" t="str">
        <f t="shared" si="38"/>
        <v/>
      </c>
      <c r="J285" t="s">
        <v>408</v>
      </c>
      <c r="K285">
        <v>23499.640599999999</v>
      </c>
      <c r="L285">
        <v>1349.6529</v>
      </c>
      <c r="M285">
        <v>-1425.1129000000001</v>
      </c>
      <c r="N285">
        <f t="shared" si="36"/>
        <v>283</v>
      </c>
      <c r="O285" t="str">
        <f t="shared" si="39"/>
        <v/>
      </c>
      <c r="Q285">
        <f t="shared" si="40"/>
        <v>23499.640599999999</v>
      </c>
      <c r="R285">
        <f t="shared" si="41"/>
        <v>-5.7369999994989485E-3</v>
      </c>
      <c r="S285">
        <f t="shared" si="42"/>
        <v>4.3160000000170839E-3</v>
      </c>
      <c r="T285">
        <f t="shared" si="43"/>
        <v>1.3380000000324799E-3</v>
      </c>
      <c r="Y285" t="s">
        <v>408</v>
      </c>
      <c r="Z285">
        <v>23499.612499999999</v>
      </c>
      <c r="AA285">
        <v>1349.6832999999999</v>
      </c>
      <c r="AB285">
        <v>-1425.0998999999999</v>
      </c>
    </row>
    <row r="286" spans="1:28" x14ac:dyDescent="0.2">
      <c r="A286" t="s">
        <v>409</v>
      </c>
      <c r="B286">
        <v>23999.669264</v>
      </c>
      <c r="C286">
        <v>1349.6063349999999</v>
      </c>
      <c r="D286">
        <v>-1450.1428209999999</v>
      </c>
      <c r="E286">
        <f t="shared" si="37"/>
        <v>284</v>
      </c>
      <c r="F286" t="str">
        <f t="shared" si="38"/>
        <v/>
      </c>
      <c r="J286" t="s">
        <v>409</v>
      </c>
      <c r="K286">
        <v>23999.675500000001</v>
      </c>
      <c r="L286">
        <v>1349.6066000000001</v>
      </c>
      <c r="M286">
        <v>-1450.1423</v>
      </c>
      <c r="N286">
        <f t="shared" si="36"/>
        <v>284</v>
      </c>
      <c r="O286" t="str">
        <f t="shared" si="39"/>
        <v/>
      </c>
      <c r="Q286">
        <f t="shared" si="40"/>
        <v>23999.675500000001</v>
      </c>
      <c r="R286">
        <f t="shared" si="41"/>
        <v>-6.2360000010812655E-3</v>
      </c>
      <c r="S286">
        <f t="shared" si="42"/>
        <v>-2.6500000012674718E-4</v>
      </c>
      <c r="T286">
        <f t="shared" si="43"/>
        <v>-5.2099999993515667E-4</v>
      </c>
      <c r="Y286" t="s">
        <v>409</v>
      </c>
      <c r="Z286">
        <v>23999.643100000001</v>
      </c>
      <c r="AA286">
        <v>1349.6092000000001</v>
      </c>
      <c r="AB286">
        <v>-1450.1412</v>
      </c>
    </row>
    <row r="287" spans="1:28" x14ac:dyDescent="0.2">
      <c r="A287" t="s">
        <v>410</v>
      </c>
      <c r="B287">
        <v>24499.717696</v>
      </c>
      <c r="C287">
        <v>1349.589408</v>
      </c>
      <c r="D287">
        <v>-1475.1331970000001</v>
      </c>
      <c r="E287">
        <f t="shared" si="37"/>
        <v>285</v>
      </c>
      <c r="F287" t="str">
        <f t="shared" si="38"/>
        <v/>
      </c>
      <c r="J287" t="s">
        <v>410</v>
      </c>
      <c r="K287">
        <v>24499.723300000001</v>
      </c>
      <c r="L287">
        <v>1349.5862</v>
      </c>
      <c r="M287">
        <v>-1475.1335999999999</v>
      </c>
      <c r="N287">
        <f t="shared" si="36"/>
        <v>285</v>
      </c>
      <c r="O287" t="str">
        <f t="shared" si="39"/>
        <v/>
      </c>
      <c r="Q287">
        <f t="shared" si="40"/>
        <v>24499.723300000001</v>
      </c>
      <c r="R287">
        <f t="shared" si="41"/>
        <v>-5.6040000017674174E-3</v>
      </c>
      <c r="S287">
        <f t="shared" si="42"/>
        <v>3.2080000000860309E-3</v>
      </c>
      <c r="T287">
        <f t="shared" si="43"/>
        <v>4.0299999977833068E-4</v>
      </c>
      <c r="Y287" t="s">
        <v>410</v>
      </c>
      <c r="Z287">
        <v>24499.688200000001</v>
      </c>
      <c r="AA287">
        <v>1349.6206</v>
      </c>
      <c r="AB287">
        <v>-1475.1246000000001</v>
      </c>
    </row>
    <row r="288" spans="1:28" x14ac:dyDescent="0.2">
      <c r="A288" t="s">
        <v>411</v>
      </c>
      <c r="B288">
        <v>24999.769583000001</v>
      </c>
      <c r="C288">
        <v>1349.5677599999999</v>
      </c>
      <c r="D288">
        <v>-1500.13841</v>
      </c>
      <c r="E288">
        <f t="shared" si="37"/>
        <v>286</v>
      </c>
      <c r="F288" t="str">
        <f t="shared" si="38"/>
        <v/>
      </c>
      <c r="J288" t="s">
        <v>411</v>
      </c>
      <c r="K288">
        <v>24999.782599999999</v>
      </c>
      <c r="L288">
        <v>1349.5676000000001</v>
      </c>
      <c r="M288">
        <v>-1500.1369999999999</v>
      </c>
      <c r="N288">
        <f t="shared" si="36"/>
        <v>286</v>
      </c>
      <c r="O288" t="str">
        <f t="shared" si="39"/>
        <v/>
      </c>
      <c r="Q288">
        <f t="shared" si="40"/>
        <v>24999.782599999999</v>
      </c>
      <c r="R288">
        <f t="shared" si="41"/>
        <v>-1.301699999748962E-2</v>
      </c>
      <c r="S288">
        <f t="shared" si="42"/>
        <v>1.5999999982341251E-4</v>
      </c>
      <c r="T288">
        <f t="shared" si="43"/>
        <v>-1.410000000078071E-3</v>
      </c>
      <c r="Y288" t="s">
        <v>411</v>
      </c>
      <c r="Z288">
        <v>24999.740699999998</v>
      </c>
      <c r="AA288">
        <v>1349.5767000000001</v>
      </c>
      <c r="AB288">
        <v>-1500.1375</v>
      </c>
    </row>
    <row r="289" spans="1:28" x14ac:dyDescent="0.2">
      <c r="A289" t="s">
        <v>412</v>
      </c>
      <c r="B289">
        <v>25499.752755000001</v>
      </c>
      <c r="C289">
        <v>1349.5471110000001</v>
      </c>
      <c r="D289">
        <v>-1525.1393290000001</v>
      </c>
      <c r="E289">
        <f t="shared" si="37"/>
        <v>287</v>
      </c>
      <c r="F289" t="str">
        <f t="shared" si="38"/>
        <v/>
      </c>
      <c r="J289" t="s">
        <v>412</v>
      </c>
      <c r="K289">
        <v>25499.7592</v>
      </c>
      <c r="L289">
        <v>1349.5455999999999</v>
      </c>
      <c r="M289">
        <v>-1525.1386</v>
      </c>
      <c r="N289">
        <f t="shared" si="36"/>
        <v>287</v>
      </c>
      <c r="O289" t="str">
        <f t="shared" si="39"/>
        <v/>
      </c>
      <c r="Q289">
        <f t="shared" si="40"/>
        <v>25499.7592</v>
      </c>
      <c r="R289">
        <f t="shared" si="41"/>
        <v>-6.4449999990756623E-3</v>
      </c>
      <c r="S289">
        <f t="shared" si="42"/>
        <v>1.5110000001641311E-3</v>
      </c>
      <c r="T289">
        <f t="shared" si="43"/>
        <v>-7.2900000009212818E-4</v>
      </c>
      <c r="Y289" t="s">
        <v>412</v>
      </c>
      <c r="Z289">
        <v>25499.706999999999</v>
      </c>
      <c r="AA289">
        <v>1349.5753999999999</v>
      </c>
      <c r="AB289">
        <v>-1525.1415</v>
      </c>
    </row>
    <row r="290" spans="1:28" x14ac:dyDescent="0.2">
      <c r="A290" t="s">
        <v>413</v>
      </c>
      <c r="B290">
        <v>25999.735146999999</v>
      </c>
      <c r="C290">
        <v>1349.514326</v>
      </c>
      <c r="D290">
        <v>-1550.162016</v>
      </c>
      <c r="E290">
        <f t="shared" si="37"/>
        <v>288</v>
      </c>
      <c r="F290" t="str">
        <f t="shared" si="38"/>
        <v/>
      </c>
      <c r="J290" t="s">
        <v>413</v>
      </c>
      <c r="K290">
        <v>25999.739799999999</v>
      </c>
      <c r="L290">
        <v>1349.5139999999999</v>
      </c>
      <c r="M290">
        <v>-1550.1593</v>
      </c>
      <c r="N290">
        <f t="shared" si="36"/>
        <v>288</v>
      </c>
      <c r="O290" t="str">
        <f t="shared" si="39"/>
        <v/>
      </c>
      <c r="Q290">
        <f t="shared" si="40"/>
        <v>25999.739799999999</v>
      </c>
      <c r="R290">
        <f t="shared" si="41"/>
        <v>-4.6529999999620486E-3</v>
      </c>
      <c r="S290">
        <f t="shared" si="42"/>
        <v>3.2600000008642382E-4</v>
      </c>
      <c r="T290">
        <f t="shared" si="43"/>
        <v>-2.7159999999639695E-3</v>
      </c>
      <c r="Y290" t="s">
        <v>413</v>
      </c>
      <c r="Z290">
        <v>25999.697499999998</v>
      </c>
      <c r="AA290">
        <v>1349.5264</v>
      </c>
      <c r="AB290">
        <v>-1550.2064</v>
      </c>
    </row>
    <row r="291" spans="1:28" x14ac:dyDescent="0.2">
      <c r="A291" t="s">
        <v>414</v>
      </c>
      <c r="B291">
        <v>26499.729800000001</v>
      </c>
      <c r="C291">
        <v>1349.4903489999999</v>
      </c>
      <c r="D291">
        <v>-1575.1796320000001</v>
      </c>
      <c r="E291">
        <f t="shared" si="37"/>
        <v>289</v>
      </c>
      <c r="F291" t="str">
        <f t="shared" si="38"/>
        <v/>
      </c>
      <c r="J291" t="s">
        <v>414</v>
      </c>
      <c r="K291">
        <v>26499.732400000001</v>
      </c>
      <c r="L291">
        <v>1349.4894999999999</v>
      </c>
      <c r="M291">
        <v>-1575.1782000000001</v>
      </c>
      <c r="N291">
        <f t="shared" si="36"/>
        <v>289</v>
      </c>
      <c r="O291" t="str">
        <f t="shared" si="39"/>
        <v/>
      </c>
      <c r="Q291">
        <f t="shared" si="40"/>
        <v>26499.732400000001</v>
      </c>
      <c r="R291">
        <f t="shared" si="41"/>
        <v>-2.599999999802094E-3</v>
      </c>
      <c r="S291">
        <f t="shared" si="42"/>
        <v>8.4900000001653098E-4</v>
      </c>
      <c r="T291">
        <f t="shared" si="43"/>
        <v>-1.4320000000225264E-3</v>
      </c>
      <c r="Y291" t="s">
        <v>414</v>
      </c>
      <c r="Z291">
        <v>26499.702799999999</v>
      </c>
      <c r="AA291">
        <v>1349.5160000000001</v>
      </c>
      <c r="AB291">
        <v>-1575.2131999999999</v>
      </c>
    </row>
    <row r="292" spans="1:28" x14ac:dyDescent="0.2">
      <c r="A292" t="s">
        <v>415</v>
      </c>
      <c r="B292">
        <v>26999.734253999999</v>
      </c>
      <c r="C292">
        <v>1349.4790519999999</v>
      </c>
      <c r="D292">
        <v>-1600.183456</v>
      </c>
      <c r="E292">
        <f t="shared" si="37"/>
        <v>290</v>
      </c>
      <c r="F292" t="str">
        <f t="shared" si="38"/>
        <v/>
      </c>
      <c r="J292" t="s">
        <v>415</v>
      </c>
      <c r="K292">
        <v>26999.740900000001</v>
      </c>
      <c r="L292">
        <v>1349.4699000000001</v>
      </c>
      <c r="M292">
        <v>-1600.1822</v>
      </c>
      <c r="N292">
        <f t="shared" si="36"/>
        <v>290</v>
      </c>
      <c r="O292" t="str">
        <f t="shared" si="39"/>
        <v/>
      </c>
      <c r="Q292">
        <f t="shared" si="40"/>
        <v>26999.740900000001</v>
      </c>
      <c r="R292">
        <f t="shared" si="41"/>
        <v>-6.6460000016377307E-3</v>
      </c>
      <c r="S292">
        <f t="shared" si="42"/>
        <v>9.1519999998581625E-3</v>
      </c>
      <c r="T292">
        <f t="shared" si="43"/>
        <v>-1.2560000000121363E-3</v>
      </c>
      <c r="Y292" t="s">
        <v>415</v>
      </c>
      <c r="Z292">
        <v>26999.7042</v>
      </c>
      <c r="AA292">
        <v>1349.5346999999999</v>
      </c>
      <c r="AB292">
        <v>-1600.2411999999999</v>
      </c>
    </row>
    <row r="293" spans="1:28" x14ac:dyDescent="0.2">
      <c r="A293" t="s">
        <v>416</v>
      </c>
      <c r="B293">
        <v>27499.741374000001</v>
      </c>
      <c r="C293">
        <v>1349.453379</v>
      </c>
      <c r="D293">
        <v>-1625.179981</v>
      </c>
      <c r="E293">
        <f t="shared" si="37"/>
        <v>291</v>
      </c>
      <c r="F293" t="str">
        <f t="shared" si="38"/>
        <v/>
      </c>
      <c r="J293" t="s">
        <v>416</v>
      </c>
      <c r="K293">
        <v>27499.743699999999</v>
      </c>
      <c r="L293">
        <v>1349.4535000000001</v>
      </c>
      <c r="M293">
        <v>-1625.1797999999999</v>
      </c>
      <c r="N293">
        <f t="shared" si="36"/>
        <v>291</v>
      </c>
      <c r="O293" t="str">
        <f t="shared" si="39"/>
        <v/>
      </c>
      <c r="Q293">
        <f t="shared" si="40"/>
        <v>27499.743699999999</v>
      </c>
      <c r="R293">
        <f t="shared" si="41"/>
        <v>-2.325999997992767E-3</v>
      </c>
      <c r="S293">
        <f t="shared" si="42"/>
        <v>-1.2100000003556488E-4</v>
      </c>
      <c r="T293">
        <f t="shared" si="43"/>
        <v>-1.8100000011145312E-4</v>
      </c>
      <c r="Y293" t="s">
        <v>416</v>
      </c>
      <c r="Z293">
        <v>27499.705900000001</v>
      </c>
      <c r="AA293">
        <v>1349.4458999999999</v>
      </c>
      <c r="AB293">
        <v>-1625.1918000000001</v>
      </c>
    </row>
    <row r="294" spans="1:28" x14ac:dyDescent="0.2">
      <c r="A294" t="s">
        <v>417</v>
      </c>
      <c r="B294">
        <v>27999.746586000001</v>
      </c>
      <c r="C294">
        <v>1349.4509250000001</v>
      </c>
      <c r="D294">
        <v>-1650.1607140000001</v>
      </c>
      <c r="E294">
        <f t="shared" si="37"/>
        <v>292</v>
      </c>
      <c r="F294" t="str">
        <f t="shared" si="38"/>
        <v/>
      </c>
      <c r="J294" t="s">
        <v>417</v>
      </c>
      <c r="K294">
        <v>27999.748</v>
      </c>
      <c r="L294">
        <v>1349.4499000000001</v>
      </c>
      <c r="M294">
        <v>-1650.1603</v>
      </c>
      <c r="N294">
        <f t="shared" si="36"/>
        <v>292</v>
      </c>
      <c r="O294" t="str">
        <f t="shared" si="39"/>
        <v/>
      </c>
      <c r="Q294">
        <f t="shared" si="40"/>
        <v>27999.748</v>
      </c>
      <c r="R294">
        <f t="shared" si="41"/>
        <v>-1.4139999984763563E-3</v>
      </c>
      <c r="S294">
        <f t="shared" si="42"/>
        <v>1.025000000026921E-3</v>
      </c>
      <c r="T294">
        <f t="shared" si="43"/>
        <v>-4.1400000009161886E-4</v>
      </c>
      <c r="Y294" t="s">
        <v>417</v>
      </c>
      <c r="Z294">
        <v>27999.7163</v>
      </c>
      <c r="AA294">
        <v>1349.5382999999999</v>
      </c>
      <c r="AB294">
        <v>-1650.2052000000001</v>
      </c>
    </row>
    <row r="295" spans="1:28" x14ac:dyDescent="0.2">
      <c r="A295" t="s">
        <v>418</v>
      </c>
      <c r="B295">
        <v>28499.710598999998</v>
      </c>
      <c r="C295">
        <v>1349.449985</v>
      </c>
      <c r="D295">
        <v>-1675.1706019999999</v>
      </c>
      <c r="E295">
        <f t="shared" si="37"/>
        <v>293</v>
      </c>
      <c r="F295" t="str">
        <f t="shared" si="38"/>
        <v/>
      </c>
      <c r="J295" t="s">
        <v>418</v>
      </c>
      <c r="K295">
        <v>28499.7107</v>
      </c>
      <c r="L295">
        <v>1349.4494</v>
      </c>
      <c r="M295">
        <v>-1675.1701</v>
      </c>
      <c r="N295">
        <f t="shared" si="36"/>
        <v>293</v>
      </c>
      <c r="O295" t="str">
        <f t="shared" si="39"/>
        <v/>
      </c>
      <c r="Q295">
        <f t="shared" si="40"/>
        <v>28499.7107</v>
      </c>
      <c r="R295">
        <f t="shared" si="41"/>
        <v>-1.0100000145030208E-4</v>
      </c>
      <c r="S295">
        <f t="shared" si="42"/>
        <v>5.8500000000094587E-4</v>
      </c>
      <c r="T295">
        <f t="shared" si="43"/>
        <v>-5.0199999986944022E-4</v>
      </c>
      <c r="Y295" t="s">
        <v>418</v>
      </c>
      <c r="Z295">
        <v>28499.704300000001</v>
      </c>
      <c r="AA295">
        <v>1349.5424</v>
      </c>
      <c r="AB295">
        <v>-1675.2460000000001</v>
      </c>
    </row>
    <row r="296" spans="1:28" x14ac:dyDescent="0.2">
      <c r="A296" t="s">
        <v>419</v>
      </c>
      <c r="B296">
        <v>28999.751193</v>
      </c>
      <c r="C296">
        <v>1349.4471169999999</v>
      </c>
      <c r="D296">
        <v>-1700.2079570000001</v>
      </c>
      <c r="E296">
        <f t="shared" si="37"/>
        <v>294</v>
      </c>
      <c r="F296" t="str">
        <f t="shared" si="38"/>
        <v/>
      </c>
      <c r="J296" t="s">
        <v>419</v>
      </c>
      <c r="K296">
        <v>28999.745699999999</v>
      </c>
      <c r="L296">
        <v>1349.4434000000001</v>
      </c>
      <c r="M296">
        <v>-1700.2047</v>
      </c>
      <c r="N296">
        <f t="shared" si="36"/>
        <v>294</v>
      </c>
      <c r="O296" t="str">
        <f t="shared" si="39"/>
        <v/>
      </c>
      <c r="Q296">
        <f t="shared" si="40"/>
        <v>28999.745699999999</v>
      </c>
      <c r="R296">
        <f t="shared" si="41"/>
        <v>5.4930000005697366E-3</v>
      </c>
      <c r="S296">
        <f t="shared" si="42"/>
        <v>3.716999999824111E-3</v>
      </c>
      <c r="T296">
        <f t="shared" si="43"/>
        <v>-3.2570000000760047E-3</v>
      </c>
      <c r="Y296" t="s">
        <v>419</v>
      </c>
      <c r="Z296">
        <v>28999.7317</v>
      </c>
      <c r="AA296">
        <v>1349.4804999999999</v>
      </c>
      <c r="AB296">
        <v>-1700.2747999999999</v>
      </c>
    </row>
    <row r="297" spans="1:28" x14ac:dyDescent="0.2">
      <c r="A297" t="s">
        <v>420</v>
      </c>
      <c r="B297">
        <v>29499.612142000002</v>
      </c>
      <c r="C297">
        <v>1349.433937</v>
      </c>
      <c r="D297">
        <v>-1725.2328640000001</v>
      </c>
      <c r="E297">
        <f t="shared" si="37"/>
        <v>295</v>
      </c>
      <c r="F297" t="str">
        <f t="shared" si="38"/>
        <v/>
      </c>
      <c r="J297" t="s">
        <v>420</v>
      </c>
      <c r="K297">
        <v>29499.612300000001</v>
      </c>
      <c r="L297">
        <v>1349.4338</v>
      </c>
      <c r="M297">
        <v>-1725.2329</v>
      </c>
      <c r="N297">
        <f t="shared" si="36"/>
        <v>295</v>
      </c>
      <c r="O297" t="str">
        <f t="shared" si="39"/>
        <v/>
      </c>
      <c r="Q297">
        <f t="shared" si="40"/>
        <v>29499.612300000001</v>
      </c>
      <c r="R297">
        <f t="shared" si="41"/>
        <v>-1.5799999891896732E-4</v>
      </c>
      <c r="S297">
        <f t="shared" si="42"/>
        <v>1.3699999999516876E-4</v>
      </c>
      <c r="T297">
        <f t="shared" si="43"/>
        <v>3.5999999909108737E-5</v>
      </c>
      <c r="Y297" t="s">
        <v>420</v>
      </c>
      <c r="Z297">
        <v>29499.599999999999</v>
      </c>
      <c r="AA297">
        <v>1349.4967999999999</v>
      </c>
      <c r="AB297">
        <v>-1725.2618</v>
      </c>
    </row>
    <row r="298" spans="1:28" x14ac:dyDescent="0.2">
      <c r="A298" t="s">
        <v>421</v>
      </c>
      <c r="B298">
        <v>29999.607564999998</v>
      </c>
      <c r="C298">
        <v>1349.411454</v>
      </c>
      <c r="D298">
        <v>-1750.2766839999999</v>
      </c>
      <c r="E298">
        <f t="shared" si="37"/>
        <v>296</v>
      </c>
      <c r="F298" t="str">
        <f t="shared" si="38"/>
        <v/>
      </c>
      <c r="J298" t="s">
        <v>421</v>
      </c>
      <c r="K298">
        <v>29999.607499999998</v>
      </c>
      <c r="L298">
        <v>1349.4113</v>
      </c>
      <c r="M298">
        <v>-1750.2768000000001</v>
      </c>
      <c r="N298">
        <f t="shared" si="36"/>
        <v>296</v>
      </c>
      <c r="O298" t="str">
        <f t="shared" si="39"/>
        <v/>
      </c>
      <c r="Q298">
        <f t="shared" si="40"/>
        <v>29999.607499999998</v>
      </c>
      <c r="R298">
        <f t="shared" si="41"/>
        <v>6.5000000176951289E-5</v>
      </c>
      <c r="S298">
        <f t="shared" si="42"/>
        <v>1.5400000006593473E-4</v>
      </c>
      <c r="T298">
        <f t="shared" si="43"/>
        <v>1.1600000016187551E-4</v>
      </c>
      <c r="Y298" t="s">
        <v>421</v>
      </c>
      <c r="Z298">
        <v>29999.6191</v>
      </c>
      <c r="AA298">
        <v>1349.5055</v>
      </c>
      <c r="AB298">
        <v>-1750.3015</v>
      </c>
    </row>
    <row r="299" spans="1:28" x14ac:dyDescent="0.2">
      <c r="A299" t="s">
        <v>422</v>
      </c>
      <c r="B299">
        <v>30499.620469000001</v>
      </c>
      <c r="C299">
        <v>1349.4318209999999</v>
      </c>
      <c r="D299">
        <v>-1775.2553310000001</v>
      </c>
      <c r="E299">
        <f t="shared" si="37"/>
        <v>297</v>
      </c>
      <c r="F299" t="str">
        <f t="shared" si="38"/>
        <v/>
      </c>
      <c r="J299" t="s">
        <v>422</v>
      </c>
      <c r="K299">
        <v>30499.620699999999</v>
      </c>
      <c r="L299">
        <v>1349.4319</v>
      </c>
      <c r="M299">
        <v>-1775.2550000000001</v>
      </c>
      <c r="N299">
        <f t="shared" si="36"/>
        <v>297</v>
      </c>
      <c r="O299" t="str">
        <f t="shared" si="39"/>
        <v/>
      </c>
      <c r="Q299">
        <f t="shared" si="40"/>
        <v>30499.620699999999</v>
      </c>
      <c r="R299">
        <f t="shared" si="41"/>
        <v>-2.3099999816622585E-4</v>
      </c>
      <c r="S299">
        <f t="shared" si="42"/>
        <v>-7.9000000141604687E-5</v>
      </c>
      <c r="T299">
        <f t="shared" si="43"/>
        <v>-3.309999999601132E-4</v>
      </c>
      <c r="Y299" t="s">
        <v>422</v>
      </c>
      <c r="Z299">
        <v>30499.623299999999</v>
      </c>
      <c r="AA299">
        <v>1349.4792</v>
      </c>
      <c r="AB299">
        <v>-1775.3810000000001</v>
      </c>
    </row>
    <row r="300" spans="1:28" x14ac:dyDescent="0.2">
      <c r="A300" t="s">
        <v>423</v>
      </c>
      <c r="B300">
        <v>30999.592817000001</v>
      </c>
      <c r="C300">
        <v>1349.4058219999999</v>
      </c>
      <c r="D300">
        <v>-1800.258079</v>
      </c>
      <c r="E300">
        <f t="shared" si="37"/>
        <v>298</v>
      </c>
      <c r="F300" t="str">
        <f t="shared" si="38"/>
        <v/>
      </c>
      <c r="J300" t="s">
        <v>423</v>
      </c>
      <c r="K300">
        <v>30999.584900000002</v>
      </c>
      <c r="L300">
        <v>1349.4057</v>
      </c>
      <c r="M300">
        <v>-1800.2581</v>
      </c>
      <c r="N300">
        <f t="shared" si="36"/>
        <v>298</v>
      </c>
      <c r="O300" t="str">
        <f t="shared" si="39"/>
        <v/>
      </c>
      <c r="Q300">
        <f t="shared" si="40"/>
        <v>30999.584900000002</v>
      </c>
      <c r="R300">
        <f t="shared" si="41"/>
        <v>7.9169999989971984E-3</v>
      </c>
      <c r="S300">
        <f t="shared" si="42"/>
        <v>1.2199999991935329E-4</v>
      </c>
      <c r="T300">
        <f t="shared" si="43"/>
        <v>2.1000000060666935E-5</v>
      </c>
      <c r="Y300" t="s">
        <v>423</v>
      </c>
      <c r="Z300">
        <v>30999.595000000001</v>
      </c>
      <c r="AA300">
        <v>1349.4736</v>
      </c>
      <c r="AB300">
        <v>-1800.3407999999999</v>
      </c>
    </row>
    <row r="301" spans="1:28" x14ac:dyDescent="0.2">
      <c r="A301" t="s">
        <v>424</v>
      </c>
      <c r="B301">
        <v>31499.595417</v>
      </c>
      <c r="C301">
        <v>1349.384982</v>
      </c>
      <c r="D301">
        <v>-1825.260671</v>
      </c>
      <c r="E301">
        <f t="shared" si="37"/>
        <v>299</v>
      </c>
      <c r="F301" t="str">
        <f t="shared" si="38"/>
        <v/>
      </c>
      <c r="J301" t="s">
        <v>424</v>
      </c>
      <c r="K301">
        <v>31499.595700000002</v>
      </c>
      <c r="L301">
        <v>1349.3846000000001</v>
      </c>
      <c r="M301">
        <v>-1825.2601999999999</v>
      </c>
      <c r="N301">
        <f t="shared" si="36"/>
        <v>299</v>
      </c>
      <c r="O301" t="str">
        <f t="shared" si="39"/>
        <v/>
      </c>
      <c r="Q301">
        <f t="shared" si="40"/>
        <v>31499.595700000002</v>
      </c>
      <c r="R301">
        <f t="shared" si="41"/>
        <v>-2.8300000121816993E-4</v>
      </c>
      <c r="S301">
        <f t="shared" si="42"/>
        <v>3.8199999994503742E-4</v>
      </c>
      <c r="T301">
        <f t="shared" si="43"/>
        <v>-4.7100000006139453E-4</v>
      </c>
      <c r="Y301" t="s">
        <v>424</v>
      </c>
      <c r="Z301">
        <v>31499.582699999999</v>
      </c>
      <c r="AA301">
        <v>1349.4775</v>
      </c>
      <c r="AB301">
        <v>-1825.3433</v>
      </c>
    </row>
    <row r="302" spans="1:28" x14ac:dyDescent="0.2">
      <c r="A302" t="s">
        <v>425</v>
      </c>
      <c r="B302">
        <v>31999.637171999999</v>
      </c>
      <c r="C302">
        <v>1349.3575639999999</v>
      </c>
      <c r="D302">
        <v>-1850.2816680000001</v>
      </c>
      <c r="E302">
        <f t="shared" si="37"/>
        <v>300</v>
      </c>
      <c r="F302" t="str">
        <f t="shared" si="38"/>
        <v/>
      </c>
      <c r="J302" t="s">
        <v>425</v>
      </c>
      <c r="K302">
        <v>31999.637200000001</v>
      </c>
      <c r="L302">
        <v>1349.3576</v>
      </c>
      <c r="M302">
        <v>-1850.2809999999999</v>
      </c>
      <c r="N302">
        <f t="shared" si="36"/>
        <v>300</v>
      </c>
      <c r="O302" t="str">
        <f t="shared" si="39"/>
        <v/>
      </c>
      <c r="Q302">
        <f t="shared" si="40"/>
        <v>31999.637200000001</v>
      </c>
      <c r="R302">
        <f t="shared" si="41"/>
        <v>-2.800000220304355E-5</v>
      </c>
      <c r="S302">
        <f t="shared" si="42"/>
        <v>-3.6000000136482413E-5</v>
      </c>
      <c r="T302">
        <f t="shared" si="43"/>
        <v>-6.6800000013245153E-4</v>
      </c>
      <c r="Y302" t="s">
        <v>425</v>
      </c>
      <c r="Z302">
        <v>31999.639899999998</v>
      </c>
      <c r="AA302">
        <v>1349.3554999999999</v>
      </c>
      <c r="AB302">
        <v>-1850.3679</v>
      </c>
    </row>
    <row r="303" spans="1:28" x14ac:dyDescent="0.2">
      <c r="A303" t="s">
        <v>426</v>
      </c>
      <c r="B303">
        <v>32499.675515999999</v>
      </c>
      <c r="C303">
        <v>1349.329986</v>
      </c>
      <c r="D303">
        <v>-1875.30313</v>
      </c>
      <c r="E303">
        <f t="shared" si="37"/>
        <v>301</v>
      </c>
      <c r="F303" t="str">
        <f t="shared" si="38"/>
        <v/>
      </c>
      <c r="J303" t="s">
        <v>426</v>
      </c>
      <c r="K303">
        <v>32499.675299999999</v>
      </c>
      <c r="L303">
        <v>1349.3291999999999</v>
      </c>
      <c r="M303">
        <v>-1875.3021000000001</v>
      </c>
      <c r="N303">
        <f t="shared" si="36"/>
        <v>301</v>
      </c>
      <c r="O303" t="str">
        <f t="shared" si="39"/>
        <v/>
      </c>
      <c r="Q303">
        <f t="shared" si="40"/>
        <v>32499.675299999999</v>
      </c>
      <c r="R303">
        <f t="shared" si="41"/>
        <v>2.1600000036414713E-4</v>
      </c>
      <c r="S303">
        <f t="shared" si="42"/>
        <v>7.8600000006190385E-4</v>
      </c>
      <c r="T303">
        <f t="shared" si="43"/>
        <v>-1.0299999999006104E-3</v>
      </c>
      <c r="Y303" t="s">
        <v>426</v>
      </c>
      <c r="Z303">
        <v>32499.680100000001</v>
      </c>
      <c r="AA303">
        <v>1349.4025999999999</v>
      </c>
      <c r="AB303">
        <v>-1875.3943999999999</v>
      </c>
    </row>
    <row r="304" spans="1:28" x14ac:dyDescent="0.2">
      <c r="A304" t="s">
        <v>427</v>
      </c>
      <c r="B304">
        <v>32999.707612999999</v>
      </c>
      <c r="C304">
        <v>1349.3051929999999</v>
      </c>
      <c r="D304">
        <v>-1900.307939</v>
      </c>
      <c r="E304">
        <f t="shared" si="37"/>
        <v>302</v>
      </c>
      <c r="F304" t="str">
        <f t="shared" si="38"/>
        <v/>
      </c>
      <c r="J304" t="s">
        <v>427</v>
      </c>
      <c r="K304">
        <v>32999.701999999997</v>
      </c>
      <c r="L304">
        <v>1349.2958000000001</v>
      </c>
      <c r="M304">
        <v>-1900.3082999999999</v>
      </c>
      <c r="N304">
        <f t="shared" si="36"/>
        <v>302</v>
      </c>
      <c r="O304" t="str">
        <f t="shared" si="39"/>
        <v/>
      </c>
      <c r="Q304">
        <f t="shared" si="40"/>
        <v>32999.701999999997</v>
      </c>
      <c r="R304">
        <f t="shared" si="41"/>
        <v>5.6130000011762604E-3</v>
      </c>
      <c r="S304">
        <f t="shared" si="42"/>
        <v>9.3929999998181302E-3</v>
      </c>
      <c r="T304">
        <f t="shared" si="43"/>
        <v>3.6099999988437048E-4</v>
      </c>
      <c r="Y304" t="s">
        <v>427</v>
      </c>
      <c r="Z304">
        <v>32999.7091</v>
      </c>
      <c r="AA304">
        <v>1349.3522</v>
      </c>
      <c r="AB304">
        <v>-1900.39</v>
      </c>
    </row>
    <row r="305" spans="1:28" x14ac:dyDescent="0.2">
      <c r="A305" t="s">
        <v>428</v>
      </c>
      <c r="B305">
        <v>33499.610344000001</v>
      </c>
      <c r="C305">
        <v>1349.3559379999999</v>
      </c>
      <c r="D305">
        <v>-1100.3425</v>
      </c>
      <c r="E305">
        <f t="shared" si="37"/>
        <v>303</v>
      </c>
      <c r="F305" t="str">
        <f t="shared" si="38"/>
        <v/>
      </c>
      <c r="J305" t="s">
        <v>428</v>
      </c>
      <c r="K305">
        <v>33499.609499999999</v>
      </c>
      <c r="L305">
        <v>1349.3548000000001</v>
      </c>
      <c r="M305">
        <v>-1100.3402000000001</v>
      </c>
      <c r="N305">
        <f t="shared" si="36"/>
        <v>303</v>
      </c>
      <c r="O305" t="str">
        <f t="shared" si="39"/>
        <v/>
      </c>
      <c r="Q305">
        <f t="shared" si="40"/>
        <v>33499.609499999999</v>
      </c>
      <c r="R305">
        <f t="shared" si="41"/>
        <v>8.44000001961831E-4</v>
      </c>
      <c r="S305">
        <f t="shared" si="42"/>
        <v>1.1379999998553103E-3</v>
      </c>
      <c r="T305">
        <f t="shared" si="43"/>
        <v>-2.2999999998774001E-3</v>
      </c>
      <c r="Y305" t="s">
        <v>428</v>
      </c>
      <c r="Z305">
        <v>33499.625899999999</v>
      </c>
      <c r="AA305">
        <v>1349.4094</v>
      </c>
      <c r="AB305">
        <v>-1100.4512</v>
      </c>
    </row>
    <row r="306" spans="1:28" x14ac:dyDescent="0.2">
      <c r="A306" t="s">
        <v>429</v>
      </c>
      <c r="B306">
        <v>33999.621336999997</v>
      </c>
      <c r="C306">
        <v>1349.3391099999999</v>
      </c>
      <c r="D306">
        <v>-1100.3430049999999</v>
      </c>
      <c r="E306">
        <f t="shared" si="37"/>
        <v>304</v>
      </c>
      <c r="F306" t="str">
        <f t="shared" si="38"/>
        <v/>
      </c>
      <c r="J306" t="s">
        <v>429</v>
      </c>
      <c r="K306">
        <v>33999.620900000002</v>
      </c>
      <c r="L306">
        <v>1349.3362999999999</v>
      </c>
      <c r="M306">
        <v>-1100.3411000000001</v>
      </c>
      <c r="N306">
        <f t="shared" si="36"/>
        <v>304</v>
      </c>
      <c r="O306" t="str">
        <f t="shared" si="39"/>
        <v/>
      </c>
      <c r="Q306">
        <f t="shared" si="40"/>
        <v>33999.620900000002</v>
      </c>
      <c r="R306">
        <f t="shared" si="41"/>
        <v>4.3699999514501542E-4</v>
      </c>
      <c r="S306">
        <f t="shared" si="42"/>
        <v>2.8099999999540159E-3</v>
      </c>
      <c r="T306">
        <f t="shared" si="43"/>
        <v>-1.9049999998514977E-3</v>
      </c>
      <c r="Y306" t="s">
        <v>429</v>
      </c>
      <c r="Z306">
        <v>33999.626300000004</v>
      </c>
      <c r="AA306">
        <v>1349.4429</v>
      </c>
      <c r="AB306">
        <v>-1100.4146000000001</v>
      </c>
    </row>
    <row r="307" spans="1:28" x14ac:dyDescent="0.2">
      <c r="A307" t="s">
        <v>430</v>
      </c>
      <c r="B307">
        <v>34499.622608999998</v>
      </c>
      <c r="C307">
        <v>1349.3262629999999</v>
      </c>
      <c r="D307">
        <v>-1100.3525010000001</v>
      </c>
      <c r="E307">
        <f t="shared" si="37"/>
        <v>305</v>
      </c>
      <c r="F307" t="str">
        <f t="shared" si="38"/>
        <v/>
      </c>
      <c r="J307" t="s">
        <v>430</v>
      </c>
      <c r="K307">
        <v>34499.621099999997</v>
      </c>
      <c r="L307">
        <v>1349.3230000000001</v>
      </c>
      <c r="M307">
        <v>-1100.3489</v>
      </c>
      <c r="N307">
        <f t="shared" si="36"/>
        <v>305</v>
      </c>
      <c r="O307" t="str">
        <f t="shared" si="39"/>
        <v/>
      </c>
      <c r="Q307">
        <f t="shared" si="40"/>
        <v>34499.621099999997</v>
      </c>
      <c r="R307">
        <f t="shared" si="41"/>
        <v>1.5090000015334226E-3</v>
      </c>
      <c r="S307">
        <f t="shared" si="42"/>
        <v>3.2629999998334824E-3</v>
      </c>
      <c r="T307">
        <f t="shared" si="43"/>
        <v>-3.6010000001169828E-3</v>
      </c>
      <c r="Y307" t="s">
        <v>430</v>
      </c>
      <c r="Z307">
        <v>34499.641499999998</v>
      </c>
      <c r="AA307">
        <v>1349.4268999999999</v>
      </c>
      <c r="AB307">
        <v>-1100.4641999999999</v>
      </c>
    </row>
    <row r="308" spans="1:28" x14ac:dyDescent="0.2">
      <c r="A308" t="s">
        <v>431</v>
      </c>
      <c r="B308">
        <v>34999.622300000003</v>
      </c>
      <c r="C308">
        <v>1349.2944749999999</v>
      </c>
      <c r="D308">
        <v>-1100.336834</v>
      </c>
      <c r="E308">
        <f t="shared" si="37"/>
        <v>306</v>
      </c>
      <c r="F308" t="str">
        <f t="shared" si="38"/>
        <v/>
      </c>
      <c r="J308" t="s">
        <v>431</v>
      </c>
      <c r="K308">
        <v>34999.620699999999</v>
      </c>
      <c r="L308">
        <v>1349.2955999999999</v>
      </c>
      <c r="M308">
        <v>-1100.3352</v>
      </c>
      <c r="N308">
        <f t="shared" ref="N308:N371" si="44">RIGHT(J308,LEN(J308)-FIND("_",J308,FIND("_",J308)+1))*1</f>
        <v>306</v>
      </c>
      <c r="O308" t="str">
        <f t="shared" si="39"/>
        <v/>
      </c>
      <c r="Q308">
        <f t="shared" si="40"/>
        <v>34999.620699999999</v>
      </c>
      <c r="R308">
        <f t="shared" si="41"/>
        <v>1.6000000032363459E-3</v>
      </c>
      <c r="S308">
        <f t="shared" si="42"/>
        <v>-1.125000000001819E-3</v>
      </c>
      <c r="T308">
        <f t="shared" si="43"/>
        <v>-1.6339999999672727E-3</v>
      </c>
      <c r="Y308" t="s">
        <v>431</v>
      </c>
      <c r="Z308">
        <v>34999.643300000003</v>
      </c>
      <c r="AA308">
        <v>1349.2634</v>
      </c>
      <c r="AB308">
        <v>-1100.3795</v>
      </c>
    </row>
    <row r="309" spans="1:28" x14ac:dyDescent="0.2">
      <c r="A309" t="s">
        <v>432</v>
      </c>
      <c r="B309">
        <v>35499.631224999997</v>
      </c>
      <c r="C309">
        <v>1349.274269</v>
      </c>
      <c r="D309">
        <v>-1100.337509</v>
      </c>
      <c r="E309">
        <f t="shared" si="37"/>
        <v>307</v>
      </c>
      <c r="F309" t="str">
        <f t="shared" si="38"/>
        <v/>
      </c>
      <c r="J309" t="s">
        <v>432</v>
      </c>
      <c r="K309">
        <v>35499.6302</v>
      </c>
      <c r="L309">
        <v>1349.2638999999999</v>
      </c>
      <c r="M309">
        <v>-1100.3359</v>
      </c>
      <c r="N309">
        <f t="shared" si="44"/>
        <v>307</v>
      </c>
      <c r="O309" t="str">
        <f t="shared" si="39"/>
        <v/>
      </c>
      <c r="Q309">
        <f t="shared" si="40"/>
        <v>35499.6302</v>
      </c>
      <c r="R309">
        <f t="shared" si="41"/>
        <v>1.0249999977531843E-3</v>
      </c>
      <c r="S309">
        <f t="shared" si="42"/>
        <v>1.0369000000082451E-2</v>
      </c>
      <c r="T309">
        <f t="shared" si="43"/>
        <v>-1.6089999999167048E-3</v>
      </c>
      <c r="Y309" t="s">
        <v>432</v>
      </c>
      <c r="Z309">
        <v>35499.638200000001</v>
      </c>
      <c r="AA309">
        <v>1349.5127</v>
      </c>
      <c r="AB309">
        <v>-1100.3729000000001</v>
      </c>
    </row>
    <row r="310" spans="1:28" x14ac:dyDescent="0.2">
      <c r="A310" t="s">
        <v>433</v>
      </c>
      <c r="B310">
        <v>35999.627718000003</v>
      </c>
      <c r="C310">
        <v>1349.257314</v>
      </c>
      <c r="D310">
        <v>-1100.355427</v>
      </c>
      <c r="E310">
        <f t="shared" si="37"/>
        <v>308</v>
      </c>
      <c r="F310" t="str">
        <f t="shared" si="38"/>
        <v/>
      </c>
      <c r="J310" t="s">
        <v>433</v>
      </c>
      <c r="K310">
        <v>35999.625800000002</v>
      </c>
      <c r="L310">
        <v>1349.2491</v>
      </c>
      <c r="M310">
        <v>-1100.3496</v>
      </c>
      <c r="N310">
        <f t="shared" si="44"/>
        <v>308</v>
      </c>
      <c r="O310" t="str">
        <f t="shared" si="39"/>
        <v/>
      </c>
      <c r="Q310">
        <f t="shared" si="40"/>
        <v>35999.625800000002</v>
      </c>
      <c r="R310">
        <f t="shared" si="41"/>
        <v>1.9180000017513521E-3</v>
      </c>
      <c r="S310">
        <f t="shared" si="42"/>
        <v>8.2139999999526481E-3</v>
      </c>
      <c r="T310">
        <f t="shared" si="43"/>
        <v>-5.8269999999538413E-3</v>
      </c>
      <c r="Y310" t="s">
        <v>433</v>
      </c>
      <c r="Z310">
        <v>35999.644699999997</v>
      </c>
      <c r="AA310">
        <v>1349.4226000000001</v>
      </c>
      <c r="AB310">
        <v>-1100.4733000000001</v>
      </c>
    </row>
    <row r="311" spans="1:28" x14ac:dyDescent="0.2">
      <c r="A311" t="s">
        <v>434</v>
      </c>
      <c r="B311">
        <v>36499.644114000002</v>
      </c>
      <c r="C311">
        <v>1349.242246</v>
      </c>
      <c r="D311">
        <v>-1100.3566149999999</v>
      </c>
      <c r="E311">
        <f t="shared" si="37"/>
        <v>309</v>
      </c>
      <c r="F311" t="str">
        <f t="shared" si="38"/>
        <v/>
      </c>
      <c r="J311" t="s">
        <v>434</v>
      </c>
      <c r="K311">
        <v>36499.642399999997</v>
      </c>
      <c r="L311">
        <v>1349.2258999999999</v>
      </c>
      <c r="M311">
        <v>-1100.3502000000001</v>
      </c>
      <c r="N311">
        <f t="shared" si="44"/>
        <v>309</v>
      </c>
      <c r="O311" t="str">
        <f t="shared" si="39"/>
        <v/>
      </c>
      <c r="Q311">
        <f t="shared" si="40"/>
        <v>36499.642399999997</v>
      </c>
      <c r="R311">
        <f t="shared" si="41"/>
        <v>1.714000005449634E-3</v>
      </c>
      <c r="S311">
        <f t="shared" si="42"/>
        <v>1.6346000000112326E-2</v>
      </c>
      <c r="T311">
        <f t="shared" si="43"/>
        <v>-6.4149999998335261E-3</v>
      </c>
      <c r="Y311" t="s">
        <v>434</v>
      </c>
      <c r="Z311">
        <v>36499.654499999997</v>
      </c>
      <c r="AA311">
        <v>1349.5359000000001</v>
      </c>
      <c r="AB311">
        <v>-1100.4712999999999</v>
      </c>
    </row>
    <row r="312" spans="1:28" x14ac:dyDescent="0.2">
      <c r="A312" t="s">
        <v>435</v>
      </c>
      <c r="B312">
        <v>36999.621926</v>
      </c>
      <c r="C312">
        <v>1349.2210030000001</v>
      </c>
      <c r="D312">
        <v>-1100.3668270000001</v>
      </c>
      <c r="E312">
        <f t="shared" si="37"/>
        <v>310</v>
      </c>
      <c r="F312" t="str">
        <f t="shared" si="38"/>
        <v/>
      </c>
      <c r="J312" t="s">
        <v>435</v>
      </c>
      <c r="K312">
        <v>36999.6204</v>
      </c>
      <c r="L312">
        <v>1349.2147</v>
      </c>
      <c r="M312">
        <v>-1100.3619000000001</v>
      </c>
      <c r="N312">
        <f t="shared" si="44"/>
        <v>310</v>
      </c>
      <c r="O312" t="str">
        <f t="shared" si="39"/>
        <v/>
      </c>
      <c r="Q312">
        <f t="shared" si="40"/>
        <v>36999.6204</v>
      </c>
      <c r="R312">
        <f t="shared" si="41"/>
        <v>1.5260000000125729E-3</v>
      </c>
      <c r="S312">
        <f t="shared" si="42"/>
        <v>6.3030000001162989E-3</v>
      </c>
      <c r="T312">
        <f t="shared" si="43"/>
        <v>-4.9269999999523861E-3</v>
      </c>
      <c r="Y312" t="s">
        <v>435</v>
      </c>
      <c r="Z312">
        <v>36999.633600000001</v>
      </c>
      <c r="AA312">
        <v>1349.3223</v>
      </c>
      <c r="AB312">
        <v>-1100.4457</v>
      </c>
    </row>
    <row r="313" spans="1:28" x14ac:dyDescent="0.2">
      <c r="A313" t="s">
        <v>436</v>
      </c>
      <c r="B313">
        <v>37499.608894999998</v>
      </c>
      <c r="C313">
        <v>1349.2065680000001</v>
      </c>
      <c r="D313">
        <v>-1100.3565120000001</v>
      </c>
      <c r="E313">
        <f t="shared" si="37"/>
        <v>311</v>
      </c>
      <c r="F313" t="str">
        <f t="shared" si="38"/>
        <v/>
      </c>
      <c r="J313" t="s">
        <v>436</v>
      </c>
      <c r="K313">
        <v>37499.606399999997</v>
      </c>
      <c r="L313">
        <v>1349.1958</v>
      </c>
      <c r="M313">
        <v>-1100.3475000000001</v>
      </c>
      <c r="N313">
        <f t="shared" si="44"/>
        <v>311</v>
      </c>
      <c r="O313" t="str">
        <f t="shared" si="39"/>
        <v/>
      </c>
      <c r="Q313">
        <f t="shared" si="40"/>
        <v>37499.606399999997</v>
      </c>
      <c r="R313">
        <f t="shared" si="41"/>
        <v>2.4950000006356277E-3</v>
      </c>
      <c r="S313">
        <f t="shared" si="42"/>
        <v>1.0768000000098255E-2</v>
      </c>
      <c r="T313">
        <f t="shared" si="43"/>
        <v>-9.0119999999842548E-3</v>
      </c>
      <c r="Y313" t="s">
        <v>436</v>
      </c>
      <c r="Z313">
        <v>37499.626799999998</v>
      </c>
      <c r="AA313">
        <v>1349.3628000000001</v>
      </c>
      <c r="AB313">
        <v>-1100.4864</v>
      </c>
    </row>
    <row r="314" spans="1:28" x14ac:dyDescent="0.2">
      <c r="A314" t="s">
        <v>437</v>
      </c>
      <c r="B314">
        <v>37999.654880000002</v>
      </c>
      <c r="C314">
        <v>1349.175641</v>
      </c>
      <c r="D314">
        <v>-1100.3779830000001</v>
      </c>
      <c r="E314">
        <f t="shared" si="37"/>
        <v>312</v>
      </c>
      <c r="F314" t="str">
        <f t="shared" si="38"/>
        <v/>
      </c>
      <c r="J314" t="s">
        <v>437</v>
      </c>
      <c r="K314">
        <v>37999.653400000003</v>
      </c>
      <c r="L314">
        <v>1349.1686999999999</v>
      </c>
      <c r="M314">
        <v>-1100.3686</v>
      </c>
      <c r="N314">
        <f t="shared" si="44"/>
        <v>312</v>
      </c>
      <c r="O314" t="str">
        <f t="shared" si="39"/>
        <v/>
      </c>
      <c r="Q314">
        <f t="shared" si="40"/>
        <v>37999.653400000003</v>
      </c>
      <c r="R314">
        <f t="shared" si="41"/>
        <v>1.4799999989918433E-3</v>
      </c>
      <c r="S314">
        <f t="shared" si="42"/>
        <v>6.9410000000971195E-3</v>
      </c>
      <c r="T314">
        <f t="shared" si="43"/>
        <v>-9.3830000000707514E-3</v>
      </c>
      <c r="Y314" t="s">
        <v>437</v>
      </c>
      <c r="Z314">
        <v>37999.6639</v>
      </c>
      <c r="AA314">
        <v>1349.268</v>
      </c>
      <c r="AB314">
        <v>-1100.5028</v>
      </c>
    </row>
    <row r="315" spans="1:28" x14ac:dyDescent="0.2">
      <c r="A315" t="s">
        <v>438</v>
      </c>
      <c r="B315">
        <v>37999.640145999998</v>
      </c>
      <c r="C315">
        <v>-1350.7440160000001</v>
      </c>
      <c r="D315">
        <v>-1100.2910240000001</v>
      </c>
      <c r="E315">
        <f t="shared" si="37"/>
        <v>313</v>
      </c>
      <c r="F315" t="str">
        <f t="shared" si="38"/>
        <v/>
      </c>
      <c r="J315" t="s">
        <v>438</v>
      </c>
      <c r="K315">
        <v>37999.639000000003</v>
      </c>
      <c r="L315">
        <v>-1350.7399</v>
      </c>
      <c r="M315">
        <v>-1100.2862</v>
      </c>
      <c r="N315">
        <f t="shared" si="44"/>
        <v>313</v>
      </c>
      <c r="O315" t="str">
        <f t="shared" si="39"/>
        <v/>
      </c>
      <c r="Q315">
        <f t="shared" si="40"/>
        <v>37999.639000000003</v>
      </c>
      <c r="R315">
        <f t="shared" si="41"/>
        <v>1.1459999950602651E-3</v>
      </c>
      <c r="S315">
        <f t="shared" si="42"/>
        <v>-4.1160000000672881E-3</v>
      </c>
      <c r="T315">
        <f t="shared" si="43"/>
        <v>-4.8240000000987493E-3</v>
      </c>
      <c r="Y315" t="s">
        <v>438</v>
      </c>
      <c r="Z315">
        <v>37999.650500000003</v>
      </c>
      <c r="AA315">
        <v>-1350.7996000000001</v>
      </c>
      <c r="AB315">
        <v>-1100.3486</v>
      </c>
    </row>
    <row r="316" spans="1:28" x14ac:dyDescent="0.2">
      <c r="A316" t="s">
        <v>439</v>
      </c>
      <c r="B316">
        <v>37499.641141</v>
      </c>
      <c r="C316">
        <v>-1350.7149119999999</v>
      </c>
      <c r="D316">
        <v>-1100.3110139999999</v>
      </c>
      <c r="E316">
        <f t="shared" si="37"/>
        <v>314</v>
      </c>
      <c r="F316" t="str">
        <f t="shared" si="38"/>
        <v/>
      </c>
      <c r="J316" t="s">
        <v>439</v>
      </c>
      <c r="K316">
        <v>37499.642500000002</v>
      </c>
      <c r="L316">
        <v>-1350.7122999999999</v>
      </c>
      <c r="M316">
        <v>-1100.3085000000001</v>
      </c>
      <c r="N316">
        <f t="shared" si="44"/>
        <v>314</v>
      </c>
      <c r="O316" t="str">
        <f t="shared" si="39"/>
        <v/>
      </c>
      <c r="Q316">
        <f t="shared" si="40"/>
        <v>37499.642500000002</v>
      </c>
      <c r="R316">
        <f t="shared" si="41"/>
        <v>-1.3590000016847625E-3</v>
      </c>
      <c r="S316">
        <f t="shared" si="42"/>
        <v>-2.6119999999991705E-3</v>
      </c>
      <c r="T316">
        <f t="shared" si="43"/>
        <v>-2.5139999997918494E-3</v>
      </c>
      <c r="Y316" t="s">
        <v>439</v>
      </c>
      <c r="Z316">
        <v>37499.631399999998</v>
      </c>
      <c r="AA316">
        <v>-1350.748</v>
      </c>
      <c r="AB316">
        <v>-1100.3451</v>
      </c>
    </row>
    <row r="317" spans="1:28" x14ac:dyDescent="0.2">
      <c r="A317" t="s">
        <v>440</v>
      </c>
      <c r="B317">
        <v>36999.664450999997</v>
      </c>
      <c r="C317">
        <v>-1350.6931669999999</v>
      </c>
      <c r="D317">
        <v>-1100.323204</v>
      </c>
      <c r="E317">
        <f t="shared" si="37"/>
        <v>315</v>
      </c>
      <c r="F317" t="str">
        <f t="shared" si="38"/>
        <v/>
      </c>
      <c r="J317" t="s">
        <v>440</v>
      </c>
      <c r="K317">
        <v>36999.664100000002</v>
      </c>
      <c r="L317">
        <v>-1350.6946</v>
      </c>
      <c r="M317">
        <v>-1100.3175000000001</v>
      </c>
      <c r="N317">
        <f t="shared" si="44"/>
        <v>315</v>
      </c>
      <c r="O317" t="str">
        <f t="shared" si="39"/>
        <v/>
      </c>
      <c r="Q317">
        <f t="shared" si="40"/>
        <v>36999.664100000002</v>
      </c>
      <c r="R317">
        <f t="shared" si="41"/>
        <v>3.5099999513477087E-4</v>
      </c>
      <c r="S317">
        <f t="shared" si="42"/>
        <v>1.4330000001336884E-3</v>
      </c>
      <c r="T317">
        <f t="shared" si="43"/>
        <v>-5.703999999923326E-3</v>
      </c>
      <c r="Y317" t="s">
        <v>440</v>
      </c>
      <c r="Z317">
        <v>36999.665399999998</v>
      </c>
      <c r="AA317">
        <v>-1350.6682000000001</v>
      </c>
      <c r="AB317">
        <v>-1100.4069999999999</v>
      </c>
    </row>
    <row r="318" spans="1:28" x14ac:dyDescent="0.2">
      <c r="A318" t="s">
        <v>441</v>
      </c>
      <c r="B318">
        <v>36499.652943000001</v>
      </c>
      <c r="C318">
        <v>-1350.6984359999999</v>
      </c>
      <c r="D318">
        <v>-1100.3123459999999</v>
      </c>
      <c r="E318">
        <f t="shared" si="37"/>
        <v>316</v>
      </c>
      <c r="F318" t="str">
        <f t="shared" si="38"/>
        <v/>
      </c>
      <c r="J318" t="s">
        <v>441</v>
      </c>
      <c r="K318">
        <v>36499.652000000002</v>
      </c>
      <c r="L318">
        <v>-1350.6983</v>
      </c>
      <c r="M318">
        <v>-1100.3073999999999</v>
      </c>
      <c r="N318">
        <f t="shared" si="44"/>
        <v>316</v>
      </c>
      <c r="O318" t="str">
        <f t="shared" si="39"/>
        <v/>
      </c>
      <c r="Q318">
        <f t="shared" si="40"/>
        <v>36499.652000000002</v>
      </c>
      <c r="R318">
        <f t="shared" si="41"/>
        <v>9.4299999909708276E-4</v>
      </c>
      <c r="S318">
        <f t="shared" si="42"/>
        <v>-1.3599999988400668E-4</v>
      </c>
      <c r="T318">
        <f t="shared" si="43"/>
        <v>-4.9460000000181026E-3</v>
      </c>
      <c r="Y318" t="s">
        <v>441</v>
      </c>
      <c r="Z318">
        <v>36499.660600000003</v>
      </c>
      <c r="AA318">
        <v>-1350.7017000000001</v>
      </c>
      <c r="AB318">
        <v>-1100.3916999999999</v>
      </c>
    </row>
    <row r="319" spans="1:28" x14ac:dyDescent="0.2">
      <c r="A319" t="s">
        <v>442</v>
      </c>
      <c r="B319">
        <v>35999.631887000003</v>
      </c>
      <c r="C319">
        <v>-1350.663239</v>
      </c>
      <c r="D319">
        <v>-1100.29719</v>
      </c>
      <c r="E319">
        <f t="shared" si="37"/>
        <v>317</v>
      </c>
      <c r="F319" t="str">
        <f t="shared" si="38"/>
        <v/>
      </c>
      <c r="J319" t="s">
        <v>442</v>
      </c>
      <c r="K319">
        <v>35999.631500000003</v>
      </c>
      <c r="L319">
        <v>-1350.6629</v>
      </c>
      <c r="M319">
        <v>-1100.2944</v>
      </c>
      <c r="N319">
        <f t="shared" si="44"/>
        <v>317</v>
      </c>
      <c r="O319" t="str">
        <f t="shared" si="39"/>
        <v/>
      </c>
      <c r="Q319">
        <f t="shared" si="40"/>
        <v>35999.631500000003</v>
      </c>
      <c r="R319">
        <f t="shared" si="41"/>
        <v>3.8700000004610047E-4</v>
      </c>
      <c r="S319">
        <f t="shared" si="42"/>
        <v>-3.3899999993991514E-4</v>
      </c>
      <c r="T319">
        <f t="shared" si="43"/>
        <v>-2.7900000000045111E-3</v>
      </c>
      <c r="Y319" t="s">
        <v>442</v>
      </c>
      <c r="Z319">
        <v>35999.635600000001</v>
      </c>
      <c r="AA319">
        <v>-1350.6697999999999</v>
      </c>
      <c r="AB319">
        <v>-1100.3471</v>
      </c>
    </row>
    <row r="320" spans="1:28" x14ac:dyDescent="0.2">
      <c r="A320" t="s">
        <v>443</v>
      </c>
      <c r="B320">
        <v>35499.637525999999</v>
      </c>
      <c r="C320">
        <v>-1350.6553799999999</v>
      </c>
      <c r="D320">
        <v>-1100.27819</v>
      </c>
      <c r="E320">
        <f t="shared" si="37"/>
        <v>318</v>
      </c>
      <c r="F320" t="str">
        <f t="shared" si="38"/>
        <v/>
      </c>
      <c r="J320" t="s">
        <v>443</v>
      </c>
      <c r="K320">
        <v>35499.637699999999</v>
      </c>
      <c r="L320">
        <v>-1350.6510000000001</v>
      </c>
      <c r="M320">
        <v>-1100.2773</v>
      </c>
      <c r="N320">
        <f t="shared" si="44"/>
        <v>318</v>
      </c>
      <c r="O320" t="str">
        <f t="shared" si="39"/>
        <v/>
      </c>
      <c r="Q320">
        <f t="shared" si="40"/>
        <v>35499.637699999999</v>
      </c>
      <c r="R320">
        <f t="shared" si="41"/>
        <v>-1.7400000069756061E-4</v>
      </c>
      <c r="S320">
        <f t="shared" si="42"/>
        <v>-4.3799999998554995E-3</v>
      </c>
      <c r="T320">
        <f t="shared" si="43"/>
        <v>-8.9000000002670276E-4</v>
      </c>
      <c r="Y320" t="s">
        <v>443</v>
      </c>
      <c r="Z320">
        <v>35499.638700000003</v>
      </c>
      <c r="AA320">
        <v>-1350.7482</v>
      </c>
      <c r="AB320">
        <v>-1100.2927</v>
      </c>
    </row>
    <row r="321" spans="1:28" x14ac:dyDescent="0.2">
      <c r="A321" t="s">
        <v>444</v>
      </c>
      <c r="B321">
        <v>34999.641106000003</v>
      </c>
      <c r="C321">
        <v>-1350.6260520000001</v>
      </c>
      <c r="D321">
        <v>-1100.2895329999999</v>
      </c>
      <c r="E321">
        <f t="shared" si="37"/>
        <v>319</v>
      </c>
      <c r="F321" t="str">
        <f t="shared" si="38"/>
        <v/>
      </c>
      <c r="J321" t="s">
        <v>444</v>
      </c>
      <c r="K321">
        <v>34999.6414</v>
      </c>
      <c r="L321">
        <v>-1350.6226999999999</v>
      </c>
      <c r="M321">
        <v>-1100.2865999999999</v>
      </c>
      <c r="N321">
        <f t="shared" si="44"/>
        <v>319</v>
      </c>
      <c r="O321" t="str">
        <f t="shared" si="39"/>
        <v/>
      </c>
      <c r="Q321">
        <f t="shared" si="40"/>
        <v>34999.6414</v>
      </c>
      <c r="R321">
        <f t="shared" si="41"/>
        <v>-2.9399999766610563E-4</v>
      </c>
      <c r="S321">
        <f t="shared" si="42"/>
        <v>-3.3520000001772132E-3</v>
      </c>
      <c r="T321">
        <f t="shared" si="43"/>
        <v>-2.9329999999845313E-3</v>
      </c>
      <c r="Y321" t="s">
        <v>444</v>
      </c>
      <c r="Z321">
        <v>34999.6397</v>
      </c>
      <c r="AA321">
        <v>-1350.7023999999999</v>
      </c>
      <c r="AB321">
        <v>-1100.3534</v>
      </c>
    </row>
    <row r="322" spans="1:28" x14ac:dyDescent="0.2">
      <c r="A322" t="s">
        <v>445</v>
      </c>
      <c r="B322">
        <v>34499.600061999998</v>
      </c>
      <c r="C322">
        <v>-1350.613795</v>
      </c>
      <c r="D322">
        <v>-1100.2917930000001</v>
      </c>
      <c r="E322">
        <f t="shared" si="37"/>
        <v>320</v>
      </c>
      <c r="F322" t="str">
        <f t="shared" si="38"/>
        <v/>
      </c>
      <c r="J322" t="s">
        <v>445</v>
      </c>
      <c r="K322">
        <v>34499.599600000001</v>
      </c>
      <c r="L322">
        <v>-1350.6139000000001</v>
      </c>
      <c r="M322">
        <v>-1100.2889</v>
      </c>
      <c r="N322">
        <f t="shared" si="44"/>
        <v>320</v>
      </c>
      <c r="O322" t="str">
        <f t="shared" si="39"/>
        <v/>
      </c>
      <c r="Q322">
        <f t="shared" si="40"/>
        <v>34499.599600000001</v>
      </c>
      <c r="R322">
        <f t="shared" si="41"/>
        <v>4.619999963324517E-4</v>
      </c>
      <c r="S322">
        <f t="shared" si="42"/>
        <v>1.05000000075961E-4</v>
      </c>
      <c r="T322">
        <f t="shared" si="43"/>
        <v>-2.8930000000855216E-3</v>
      </c>
      <c r="Y322" t="s">
        <v>445</v>
      </c>
      <c r="Z322">
        <v>34499.604800000001</v>
      </c>
      <c r="AA322">
        <v>-1350.6098</v>
      </c>
      <c r="AB322">
        <v>-1100.3651</v>
      </c>
    </row>
    <row r="323" spans="1:28" x14ac:dyDescent="0.2">
      <c r="A323" t="s">
        <v>446</v>
      </c>
      <c r="B323">
        <v>33999.591754000001</v>
      </c>
      <c r="C323">
        <v>-1350.587779</v>
      </c>
      <c r="D323">
        <v>-1100.2991480000001</v>
      </c>
      <c r="E323">
        <f t="shared" si="37"/>
        <v>321</v>
      </c>
      <c r="F323" t="str">
        <f t="shared" si="38"/>
        <v/>
      </c>
      <c r="J323" t="s">
        <v>446</v>
      </c>
      <c r="K323">
        <v>33999.592100000002</v>
      </c>
      <c r="L323">
        <v>-1350.5853</v>
      </c>
      <c r="M323">
        <v>-1100.2972</v>
      </c>
      <c r="N323">
        <f t="shared" si="44"/>
        <v>321</v>
      </c>
      <c r="O323" t="str">
        <f t="shared" si="39"/>
        <v/>
      </c>
      <c r="Q323">
        <f t="shared" si="40"/>
        <v>33999.592100000002</v>
      </c>
      <c r="R323">
        <f t="shared" si="41"/>
        <v>-3.4600000071804971E-4</v>
      </c>
      <c r="S323">
        <f t="shared" si="42"/>
        <v>-2.4789999999939027E-3</v>
      </c>
      <c r="T323">
        <f t="shared" si="43"/>
        <v>-1.9480000000839937E-3</v>
      </c>
      <c r="Y323" t="s">
        <v>446</v>
      </c>
      <c r="Z323">
        <v>33999.588499999998</v>
      </c>
      <c r="AA323">
        <v>-1350.6624999999999</v>
      </c>
      <c r="AB323">
        <v>-1100.3526999999999</v>
      </c>
    </row>
    <row r="324" spans="1:28" x14ac:dyDescent="0.2">
      <c r="A324" t="s">
        <v>447</v>
      </c>
      <c r="B324">
        <v>33499.586102000001</v>
      </c>
      <c r="C324">
        <v>-1350.5806110000001</v>
      </c>
      <c r="D324">
        <v>-1100.266394</v>
      </c>
      <c r="E324">
        <f t="shared" ref="E324:E387" si="45">RIGHT(A324,LEN(A324)-FIND("_",A324,FIND("_",A324)+1))*1</f>
        <v>322</v>
      </c>
      <c r="F324" t="str">
        <f t="shared" ref="F324:F387" si="46">IF(E324&lt;&gt;1+E323,"err","")</f>
        <v/>
      </c>
      <c r="J324" t="s">
        <v>447</v>
      </c>
      <c r="K324">
        <v>33499.585599999999</v>
      </c>
      <c r="L324">
        <v>-1350.5796</v>
      </c>
      <c r="M324">
        <v>-1100.2645</v>
      </c>
      <c r="N324">
        <f t="shared" si="44"/>
        <v>322</v>
      </c>
      <c r="O324" t="str">
        <f t="shared" ref="O324:O387" si="47">IF(N324&lt;&gt;1+N323,"err","")</f>
        <v/>
      </c>
      <c r="Q324">
        <f t="shared" ref="Q324:Q387" si="48">K324</f>
        <v>33499.585599999999</v>
      </c>
      <c r="R324">
        <f t="shared" ref="R324:R387" si="49">B324-K324</f>
        <v>5.0200000259792432E-4</v>
      </c>
      <c r="S324">
        <f t="shared" ref="S324:S387" si="50">C324-L324</f>
        <v>-1.0110000000622676E-3</v>
      </c>
      <c r="T324">
        <f t="shared" ref="T324:T387" si="51">D324-M324</f>
        <v>-1.8939999999929569E-3</v>
      </c>
      <c r="Y324" t="s">
        <v>447</v>
      </c>
      <c r="Z324">
        <v>33499.592799999999</v>
      </c>
      <c r="AA324">
        <v>-1350.6152</v>
      </c>
      <c r="AB324">
        <v>-1100.3285000000001</v>
      </c>
    </row>
    <row r="325" spans="1:28" x14ac:dyDescent="0.2">
      <c r="A325" t="s">
        <v>448</v>
      </c>
      <c r="B325">
        <v>32999.666086999998</v>
      </c>
      <c r="C325">
        <v>-1350.6419000000001</v>
      </c>
      <c r="D325">
        <v>-1900.2458799999999</v>
      </c>
      <c r="E325">
        <f t="shared" si="45"/>
        <v>323</v>
      </c>
      <c r="F325" t="str">
        <f t="shared" si="46"/>
        <v/>
      </c>
      <c r="J325" t="s">
        <v>448</v>
      </c>
      <c r="K325">
        <v>32999.673000000003</v>
      </c>
      <c r="L325">
        <v>-1350.6334999999999</v>
      </c>
      <c r="M325">
        <v>-1900.2610999999999</v>
      </c>
      <c r="N325">
        <f t="shared" si="44"/>
        <v>323</v>
      </c>
      <c r="O325" t="str">
        <f t="shared" si="47"/>
        <v/>
      </c>
      <c r="Q325">
        <f t="shared" si="48"/>
        <v>32999.673000000003</v>
      </c>
      <c r="R325">
        <f t="shared" si="49"/>
        <v>-6.9130000047152862E-3</v>
      </c>
      <c r="S325">
        <f t="shared" si="50"/>
        <v>-8.4000000001651642E-3</v>
      </c>
      <c r="T325">
        <f t="shared" si="51"/>
        <v>1.5219999999999345E-2</v>
      </c>
      <c r="Y325" t="s">
        <v>448</v>
      </c>
      <c r="Z325">
        <v>32999.6705</v>
      </c>
      <c r="AA325">
        <v>-1350.6587</v>
      </c>
      <c r="AB325">
        <v>-1900.3276000000001</v>
      </c>
    </row>
    <row r="326" spans="1:28" x14ac:dyDescent="0.2">
      <c r="A326" t="s">
        <v>449</v>
      </c>
      <c r="B326">
        <v>32499.633109999999</v>
      </c>
      <c r="C326">
        <v>-1350.6129289999999</v>
      </c>
      <c r="D326">
        <v>-1875.252741</v>
      </c>
      <c r="E326">
        <f t="shared" si="45"/>
        <v>324</v>
      </c>
      <c r="F326" t="str">
        <f t="shared" si="46"/>
        <v/>
      </c>
      <c r="J326" t="s">
        <v>449</v>
      </c>
      <c r="K326">
        <v>32499.6338</v>
      </c>
      <c r="L326">
        <v>-1350.6125999999999</v>
      </c>
      <c r="M326">
        <v>-1875.2524000000001</v>
      </c>
      <c r="N326">
        <f t="shared" si="44"/>
        <v>324</v>
      </c>
      <c r="O326" t="str">
        <f t="shared" si="47"/>
        <v/>
      </c>
      <c r="Q326">
        <f t="shared" si="48"/>
        <v>32499.6338</v>
      </c>
      <c r="R326">
        <f t="shared" si="49"/>
        <v>-6.900000007590279E-4</v>
      </c>
      <c r="S326">
        <f t="shared" si="50"/>
        <v>-3.2899999996516271E-4</v>
      </c>
      <c r="T326">
        <f t="shared" si="51"/>
        <v>-3.4099999993486563E-4</v>
      </c>
      <c r="Y326" t="s">
        <v>449</v>
      </c>
      <c r="Z326">
        <v>32499.6217</v>
      </c>
      <c r="AA326">
        <v>-1350.6310000000001</v>
      </c>
      <c r="AB326">
        <v>-1875.2707</v>
      </c>
    </row>
    <row r="327" spans="1:28" x14ac:dyDescent="0.2">
      <c r="A327" t="s">
        <v>450</v>
      </c>
      <c r="B327">
        <v>31999.58972</v>
      </c>
      <c r="C327">
        <v>-1350.58149</v>
      </c>
      <c r="D327">
        <v>-1850.239949</v>
      </c>
      <c r="E327">
        <f t="shared" si="45"/>
        <v>325</v>
      </c>
      <c r="F327" t="str">
        <f t="shared" si="46"/>
        <v/>
      </c>
      <c r="J327" t="s">
        <v>450</v>
      </c>
      <c r="K327">
        <v>31999.591</v>
      </c>
      <c r="L327">
        <v>-1350.5807</v>
      </c>
      <c r="M327">
        <v>-1850.2393</v>
      </c>
      <c r="N327">
        <f t="shared" si="44"/>
        <v>325</v>
      </c>
      <c r="O327" t="str">
        <f t="shared" si="47"/>
        <v/>
      </c>
      <c r="Q327">
        <f t="shared" si="48"/>
        <v>31999.591</v>
      </c>
      <c r="R327">
        <f t="shared" si="49"/>
        <v>-1.2800000004062895E-3</v>
      </c>
      <c r="S327">
        <f t="shared" si="50"/>
        <v>-7.9000000005180482E-4</v>
      </c>
      <c r="T327">
        <f t="shared" si="51"/>
        <v>-6.4900000006673508E-4</v>
      </c>
      <c r="Y327" t="s">
        <v>450</v>
      </c>
      <c r="Z327">
        <v>31999.563699999999</v>
      </c>
      <c r="AA327">
        <v>-1350.63</v>
      </c>
      <c r="AB327">
        <v>-1850.2773999999999</v>
      </c>
    </row>
    <row r="328" spans="1:28" x14ac:dyDescent="0.2">
      <c r="A328" t="s">
        <v>451</v>
      </c>
      <c r="B328">
        <v>31499.521110000001</v>
      </c>
      <c r="C328">
        <v>-1350.5597660000001</v>
      </c>
      <c r="D328">
        <v>-1825.219632</v>
      </c>
      <c r="E328">
        <f t="shared" si="45"/>
        <v>326</v>
      </c>
      <c r="F328" t="str">
        <f t="shared" si="46"/>
        <v/>
      </c>
      <c r="J328" t="s">
        <v>451</v>
      </c>
      <c r="K328">
        <v>31499.522199999999</v>
      </c>
      <c r="L328">
        <v>-1350.5588</v>
      </c>
      <c r="M328">
        <v>-1825.2193</v>
      </c>
      <c r="N328">
        <f t="shared" si="44"/>
        <v>326</v>
      </c>
      <c r="O328" t="str">
        <f t="shared" si="47"/>
        <v/>
      </c>
      <c r="Q328">
        <f t="shared" si="48"/>
        <v>31499.522199999999</v>
      </c>
      <c r="R328">
        <f t="shared" si="49"/>
        <v>-1.0899999979301356E-3</v>
      </c>
      <c r="S328">
        <f t="shared" si="50"/>
        <v>-9.6600000006219489E-4</v>
      </c>
      <c r="T328">
        <f t="shared" si="51"/>
        <v>-3.3200000007127528E-4</v>
      </c>
      <c r="Y328" t="s">
        <v>451</v>
      </c>
      <c r="Z328">
        <v>31499.493699999999</v>
      </c>
      <c r="AA328">
        <v>-1350.6255000000001</v>
      </c>
      <c r="AB328">
        <v>-1825.2393999999999</v>
      </c>
    </row>
    <row r="329" spans="1:28" x14ac:dyDescent="0.2">
      <c r="A329" t="s">
        <v>452</v>
      </c>
      <c r="B329">
        <v>30999.517925</v>
      </c>
      <c r="C329">
        <v>-1350.575388</v>
      </c>
      <c r="D329">
        <v>-1800.204315</v>
      </c>
      <c r="E329">
        <f t="shared" si="45"/>
        <v>327</v>
      </c>
      <c r="F329" t="str">
        <f t="shared" si="46"/>
        <v/>
      </c>
      <c r="J329" t="s">
        <v>452</v>
      </c>
      <c r="K329">
        <v>30999.5232</v>
      </c>
      <c r="L329">
        <v>-1350.5418</v>
      </c>
      <c r="M329">
        <v>-1800.2066</v>
      </c>
      <c r="N329">
        <f t="shared" si="44"/>
        <v>327</v>
      </c>
      <c r="O329" t="str">
        <f t="shared" si="47"/>
        <v/>
      </c>
      <c r="Q329">
        <f t="shared" si="48"/>
        <v>30999.5232</v>
      </c>
      <c r="R329">
        <f t="shared" si="49"/>
        <v>-5.2749999995285179E-3</v>
      </c>
      <c r="S329">
        <f t="shared" si="50"/>
        <v>-3.3588000000008833E-2</v>
      </c>
      <c r="T329">
        <f t="shared" si="51"/>
        <v>2.2850000000289583E-3</v>
      </c>
      <c r="Y329" t="s">
        <v>452</v>
      </c>
      <c r="Z329">
        <v>30999.4935</v>
      </c>
      <c r="AA329">
        <v>-1350.5373999999999</v>
      </c>
      <c r="AB329">
        <v>-1800.2279000000001</v>
      </c>
    </row>
    <row r="330" spans="1:28" x14ac:dyDescent="0.2">
      <c r="A330" t="s">
        <v>453</v>
      </c>
      <c r="B330">
        <v>30499.546622999998</v>
      </c>
      <c r="C330">
        <v>-1350.5141249999999</v>
      </c>
      <c r="D330">
        <v>-1775.209421</v>
      </c>
      <c r="E330">
        <f t="shared" si="45"/>
        <v>328</v>
      </c>
      <c r="F330" t="str">
        <f t="shared" si="46"/>
        <v/>
      </c>
      <c r="J330" t="s">
        <v>453</v>
      </c>
      <c r="K330">
        <v>30499.547699999999</v>
      </c>
      <c r="L330">
        <v>-1350.5137999999999</v>
      </c>
      <c r="M330">
        <v>-1775.2092</v>
      </c>
      <c r="N330">
        <f t="shared" si="44"/>
        <v>328</v>
      </c>
      <c r="O330" t="str">
        <f t="shared" si="47"/>
        <v/>
      </c>
      <c r="Q330">
        <f t="shared" si="48"/>
        <v>30499.547699999999</v>
      </c>
      <c r="R330">
        <f t="shared" si="49"/>
        <v>-1.0770000008051284E-3</v>
      </c>
      <c r="S330">
        <f t="shared" si="50"/>
        <v>-3.2499999997526174E-4</v>
      </c>
      <c r="T330">
        <f t="shared" si="51"/>
        <v>-2.2100000001046283E-4</v>
      </c>
      <c r="Y330" t="s">
        <v>453</v>
      </c>
      <c r="Z330">
        <v>30499.515599999999</v>
      </c>
      <c r="AA330">
        <v>-1350.5399</v>
      </c>
      <c r="AB330">
        <v>-1775.2219</v>
      </c>
    </row>
    <row r="331" spans="1:28" x14ac:dyDescent="0.2">
      <c r="A331" t="s">
        <v>454</v>
      </c>
      <c r="B331">
        <v>29999.557076000001</v>
      </c>
      <c r="C331">
        <v>-1350.4921879999999</v>
      </c>
      <c r="D331">
        <v>-1750.215958</v>
      </c>
      <c r="E331">
        <f t="shared" si="45"/>
        <v>329</v>
      </c>
      <c r="F331" t="str">
        <f t="shared" si="46"/>
        <v/>
      </c>
      <c r="J331" t="s">
        <v>454</v>
      </c>
      <c r="K331">
        <v>29999.5586</v>
      </c>
      <c r="L331">
        <v>-1350.4921999999999</v>
      </c>
      <c r="M331">
        <v>-1750.2161000000001</v>
      </c>
      <c r="N331">
        <f t="shared" si="44"/>
        <v>329</v>
      </c>
      <c r="O331" t="str">
        <f t="shared" si="47"/>
        <v/>
      </c>
      <c r="Q331">
        <f t="shared" si="48"/>
        <v>29999.5586</v>
      </c>
      <c r="R331">
        <f t="shared" si="49"/>
        <v>-1.5239999993355013E-3</v>
      </c>
      <c r="S331">
        <f t="shared" si="50"/>
        <v>1.1999999969702912E-5</v>
      </c>
      <c r="T331">
        <f t="shared" si="51"/>
        <v>1.4200000009623182E-4</v>
      </c>
      <c r="Y331" t="s">
        <v>454</v>
      </c>
      <c r="Z331">
        <v>29999.5157</v>
      </c>
      <c r="AA331">
        <v>-1350.4970000000001</v>
      </c>
      <c r="AB331">
        <v>-1750.2031999999999</v>
      </c>
    </row>
    <row r="332" spans="1:28" x14ac:dyDescent="0.2">
      <c r="A332" t="s">
        <v>455</v>
      </c>
      <c r="B332">
        <v>29499.555068999998</v>
      </c>
      <c r="C332">
        <v>-1350.4852089999999</v>
      </c>
      <c r="D332">
        <v>-1725.2064989999999</v>
      </c>
      <c r="E332">
        <f t="shared" si="45"/>
        <v>330</v>
      </c>
      <c r="F332" t="str">
        <f t="shared" si="46"/>
        <v/>
      </c>
      <c r="J332" t="s">
        <v>455</v>
      </c>
      <c r="K332">
        <v>29499.557100000002</v>
      </c>
      <c r="L332">
        <v>-1350.4840999999999</v>
      </c>
      <c r="M332">
        <v>-1725.2064</v>
      </c>
      <c r="N332">
        <f t="shared" si="44"/>
        <v>330</v>
      </c>
      <c r="O332" t="str">
        <f t="shared" si="47"/>
        <v/>
      </c>
      <c r="Q332">
        <f t="shared" si="48"/>
        <v>29499.557100000002</v>
      </c>
      <c r="R332">
        <f t="shared" si="49"/>
        <v>-2.0310000036261044E-3</v>
      </c>
      <c r="S332">
        <f t="shared" si="50"/>
        <v>-1.1090000000422151E-3</v>
      </c>
      <c r="T332">
        <f t="shared" si="51"/>
        <v>-9.8999999863735866E-5</v>
      </c>
      <c r="Y332" t="s">
        <v>455</v>
      </c>
      <c r="Z332">
        <v>29499.503100000002</v>
      </c>
      <c r="AA332">
        <v>-1350.5435</v>
      </c>
      <c r="AB332">
        <v>-1725.2128</v>
      </c>
    </row>
    <row r="333" spans="1:28" x14ac:dyDescent="0.2">
      <c r="A333" t="s">
        <v>456</v>
      </c>
      <c r="B333">
        <v>28999.607579</v>
      </c>
      <c r="C333">
        <v>-1350.4525510000001</v>
      </c>
      <c r="D333">
        <v>-1700.168465</v>
      </c>
      <c r="E333">
        <f t="shared" si="45"/>
        <v>331</v>
      </c>
      <c r="F333" t="str">
        <f t="shared" si="46"/>
        <v/>
      </c>
      <c r="J333" t="s">
        <v>456</v>
      </c>
      <c r="K333">
        <v>28999.630099999998</v>
      </c>
      <c r="L333">
        <v>-1350.4763</v>
      </c>
      <c r="M333">
        <v>-1700.1733999999999</v>
      </c>
      <c r="N333">
        <f t="shared" si="44"/>
        <v>331</v>
      </c>
      <c r="O333" t="str">
        <f t="shared" si="47"/>
        <v/>
      </c>
      <c r="Q333">
        <f t="shared" si="48"/>
        <v>28999.630099999998</v>
      </c>
      <c r="R333">
        <f t="shared" si="49"/>
        <v>-2.2520999998960178E-2</v>
      </c>
      <c r="S333">
        <f t="shared" si="50"/>
        <v>2.3748999999952503E-2</v>
      </c>
      <c r="T333">
        <f t="shared" si="51"/>
        <v>4.9349999999321881E-3</v>
      </c>
      <c r="Y333" t="s">
        <v>456</v>
      </c>
      <c r="Z333">
        <v>28999.579000000002</v>
      </c>
      <c r="AA333">
        <v>-1350.4558</v>
      </c>
      <c r="AB333">
        <v>-1700.1783</v>
      </c>
    </row>
    <row r="334" spans="1:28" x14ac:dyDescent="0.2">
      <c r="A334" t="s">
        <v>457</v>
      </c>
      <c r="B334">
        <v>28499.611595999999</v>
      </c>
      <c r="C334">
        <v>-1350.4654989999999</v>
      </c>
      <c r="D334">
        <v>-1675.138052</v>
      </c>
      <c r="E334">
        <f t="shared" si="45"/>
        <v>332</v>
      </c>
      <c r="F334" t="str">
        <f t="shared" si="46"/>
        <v/>
      </c>
      <c r="J334" t="s">
        <v>457</v>
      </c>
      <c r="K334">
        <v>28499.6152</v>
      </c>
      <c r="L334">
        <v>-1350.4649999999999</v>
      </c>
      <c r="M334">
        <v>-1675.1378999999999</v>
      </c>
      <c r="N334">
        <f t="shared" si="44"/>
        <v>332</v>
      </c>
      <c r="O334" t="str">
        <f t="shared" si="47"/>
        <v/>
      </c>
      <c r="Q334">
        <f t="shared" si="48"/>
        <v>28499.6152</v>
      </c>
      <c r="R334">
        <f t="shared" si="49"/>
        <v>-3.6040000013599638E-3</v>
      </c>
      <c r="S334">
        <f t="shared" si="50"/>
        <v>-4.9899999999070133E-4</v>
      </c>
      <c r="T334">
        <f t="shared" si="51"/>
        <v>-1.5200000007098424E-4</v>
      </c>
      <c r="Y334" t="s">
        <v>457</v>
      </c>
      <c r="Z334">
        <v>28499.552199999998</v>
      </c>
      <c r="AA334">
        <v>-1350.4872</v>
      </c>
      <c r="AB334">
        <v>-1675.1436000000001</v>
      </c>
    </row>
    <row r="335" spans="1:28" x14ac:dyDescent="0.2">
      <c r="A335" t="s">
        <v>458</v>
      </c>
      <c r="B335">
        <v>27999.605242000001</v>
      </c>
      <c r="C335">
        <v>-1350.4711150000001</v>
      </c>
      <c r="D335">
        <v>-1650.123464</v>
      </c>
      <c r="E335">
        <f t="shared" si="45"/>
        <v>333</v>
      </c>
      <c r="F335" t="str">
        <f t="shared" si="46"/>
        <v/>
      </c>
      <c r="J335" t="s">
        <v>458</v>
      </c>
      <c r="K335">
        <v>27999.608800000002</v>
      </c>
      <c r="L335">
        <v>-1350.472</v>
      </c>
      <c r="M335">
        <v>-1650.1224999999999</v>
      </c>
      <c r="N335">
        <f t="shared" si="44"/>
        <v>333</v>
      </c>
      <c r="O335" t="str">
        <f t="shared" si="47"/>
        <v/>
      </c>
      <c r="Q335">
        <f t="shared" si="48"/>
        <v>27999.608800000002</v>
      </c>
      <c r="R335">
        <f t="shared" si="49"/>
        <v>-3.5580000003392342E-3</v>
      </c>
      <c r="S335">
        <f t="shared" si="50"/>
        <v>8.8499999992563971E-4</v>
      </c>
      <c r="T335">
        <f t="shared" si="51"/>
        <v>-9.640000000672444E-4</v>
      </c>
      <c r="Y335" t="s">
        <v>458</v>
      </c>
      <c r="Z335">
        <v>27999.560399999998</v>
      </c>
      <c r="AA335">
        <v>-1350.4423999999999</v>
      </c>
      <c r="AB335">
        <v>-1650.1574000000001</v>
      </c>
    </row>
    <row r="336" spans="1:28" x14ac:dyDescent="0.2">
      <c r="A336" t="s">
        <v>459</v>
      </c>
      <c r="B336">
        <v>27499.569008999999</v>
      </c>
      <c r="C336">
        <v>-1350.465796</v>
      </c>
      <c r="D336">
        <v>-1625.1409610000001</v>
      </c>
      <c r="E336">
        <f t="shared" si="45"/>
        <v>334</v>
      </c>
      <c r="F336" t="str">
        <f t="shared" si="46"/>
        <v/>
      </c>
      <c r="J336" t="s">
        <v>459</v>
      </c>
      <c r="K336">
        <v>27499.573100000001</v>
      </c>
      <c r="L336">
        <v>-1350.4657</v>
      </c>
      <c r="M336">
        <v>-1625.1394</v>
      </c>
      <c r="N336">
        <f t="shared" si="44"/>
        <v>334</v>
      </c>
      <c r="O336" t="str">
        <f t="shared" si="47"/>
        <v/>
      </c>
      <c r="Q336">
        <f t="shared" si="48"/>
        <v>27499.573100000001</v>
      </c>
      <c r="R336">
        <f t="shared" si="49"/>
        <v>-4.0910000025178306E-3</v>
      </c>
      <c r="S336">
        <f t="shared" si="50"/>
        <v>-9.5999999984996975E-5</v>
      </c>
      <c r="T336">
        <f t="shared" si="51"/>
        <v>-1.5610000000378932E-3</v>
      </c>
      <c r="Y336" t="s">
        <v>459</v>
      </c>
      <c r="Z336">
        <v>27499.524399999998</v>
      </c>
      <c r="AA336">
        <v>-1350.4785999999999</v>
      </c>
      <c r="AB336">
        <v>-1625.1822999999999</v>
      </c>
    </row>
    <row r="337" spans="1:28" x14ac:dyDescent="0.2">
      <c r="A337" t="s">
        <v>460</v>
      </c>
      <c r="B337">
        <v>26999.555864999998</v>
      </c>
      <c r="C337">
        <v>-1350.4582660000001</v>
      </c>
      <c r="D337">
        <v>-1600.1529410000001</v>
      </c>
      <c r="E337">
        <f t="shared" si="45"/>
        <v>335</v>
      </c>
      <c r="F337" t="str">
        <f t="shared" si="46"/>
        <v/>
      </c>
      <c r="J337" t="s">
        <v>460</v>
      </c>
      <c r="K337">
        <v>26999.574199999999</v>
      </c>
      <c r="L337">
        <v>-1350.4691</v>
      </c>
      <c r="M337">
        <v>-1600.1568</v>
      </c>
      <c r="N337">
        <f t="shared" si="44"/>
        <v>335</v>
      </c>
      <c r="O337" t="str">
        <f t="shared" si="47"/>
        <v/>
      </c>
      <c r="Q337">
        <f t="shared" si="48"/>
        <v>26999.574199999999</v>
      </c>
      <c r="R337">
        <f t="shared" si="49"/>
        <v>-1.8335000000661239E-2</v>
      </c>
      <c r="S337">
        <f t="shared" si="50"/>
        <v>1.0833999999931621E-2</v>
      </c>
      <c r="T337">
        <f t="shared" si="51"/>
        <v>3.8589999999203428E-3</v>
      </c>
      <c r="Y337" t="s">
        <v>460</v>
      </c>
      <c r="Z337">
        <v>26999.5134</v>
      </c>
      <c r="AA337">
        <v>-1350.46</v>
      </c>
      <c r="AB337">
        <v>-1600.212</v>
      </c>
    </row>
    <row r="338" spans="1:28" x14ac:dyDescent="0.2">
      <c r="A338" t="s">
        <v>461</v>
      </c>
      <c r="B338">
        <v>26499.511632999998</v>
      </c>
      <c r="C338">
        <v>-1350.4352739999999</v>
      </c>
      <c r="D338">
        <v>-1575.1486600000001</v>
      </c>
      <c r="E338">
        <f t="shared" si="45"/>
        <v>336</v>
      </c>
      <c r="F338" t="str">
        <f t="shared" si="46"/>
        <v/>
      </c>
      <c r="J338" t="s">
        <v>461</v>
      </c>
      <c r="K338">
        <v>26499.516500000002</v>
      </c>
      <c r="L338">
        <v>-1350.4351999999999</v>
      </c>
      <c r="M338">
        <v>-1575.1468</v>
      </c>
      <c r="N338">
        <f t="shared" si="44"/>
        <v>336</v>
      </c>
      <c r="O338" t="str">
        <f t="shared" si="47"/>
        <v/>
      </c>
      <c r="Q338">
        <f t="shared" si="48"/>
        <v>26499.516500000002</v>
      </c>
      <c r="R338">
        <f t="shared" si="49"/>
        <v>-4.867000003287103E-3</v>
      </c>
      <c r="S338">
        <f t="shared" si="50"/>
        <v>-7.4000000040541636E-5</v>
      </c>
      <c r="T338">
        <f t="shared" si="51"/>
        <v>-1.8600000000787986E-3</v>
      </c>
      <c r="Y338" t="s">
        <v>461</v>
      </c>
      <c r="Z338">
        <v>26499.474600000001</v>
      </c>
      <c r="AA338">
        <v>-1350.453</v>
      </c>
      <c r="AB338">
        <v>-1575.1759999999999</v>
      </c>
    </row>
    <row r="339" spans="1:28" x14ac:dyDescent="0.2">
      <c r="A339" t="s">
        <v>462</v>
      </c>
      <c r="B339">
        <v>25999.526000999998</v>
      </c>
      <c r="C339">
        <v>-1350.4221660000001</v>
      </c>
      <c r="D339">
        <v>-1550.135935</v>
      </c>
      <c r="E339">
        <f t="shared" si="45"/>
        <v>337</v>
      </c>
      <c r="F339" t="str">
        <f t="shared" si="46"/>
        <v/>
      </c>
      <c r="J339" t="s">
        <v>462</v>
      </c>
      <c r="K339">
        <v>25999.534500000002</v>
      </c>
      <c r="L339">
        <v>-1350.4268999999999</v>
      </c>
      <c r="M339">
        <v>-1550.1333</v>
      </c>
      <c r="N339">
        <f t="shared" si="44"/>
        <v>337</v>
      </c>
      <c r="O339" t="str">
        <f t="shared" si="47"/>
        <v/>
      </c>
      <c r="Q339">
        <f t="shared" si="48"/>
        <v>25999.534500000002</v>
      </c>
      <c r="R339">
        <f t="shared" si="49"/>
        <v>-8.4990000032121316E-3</v>
      </c>
      <c r="S339">
        <f t="shared" si="50"/>
        <v>4.7339999998712301E-3</v>
      </c>
      <c r="T339">
        <f t="shared" si="51"/>
        <v>-2.635000000054788E-3</v>
      </c>
      <c r="Y339" t="s">
        <v>462</v>
      </c>
      <c r="Z339">
        <v>25999.478500000001</v>
      </c>
      <c r="AA339">
        <v>-1350.377</v>
      </c>
      <c r="AB339">
        <v>-1550.1664000000001</v>
      </c>
    </row>
    <row r="340" spans="1:28" x14ac:dyDescent="0.2">
      <c r="A340" t="s">
        <v>463</v>
      </c>
      <c r="B340">
        <v>25499.506164999999</v>
      </c>
      <c r="C340">
        <v>-1350.402092</v>
      </c>
      <c r="D340">
        <v>-1525.119741</v>
      </c>
      <c r="E340">
        <f t="shared" si="45"/>
        <v>338</v>
      </c>
      <c r="F340" t="str">
        <f t="shared" si="46"/>
        <v/>
      </c>
      <c r="J340" t="s">
        <v>463</v>
      </c>
      <c r="K340">
        <v>25499.515200000002</v>
      </c>
      <c r="L340">
        <v>-1350.4041</v>
      </c>
      <c r="M340">
        <v>-1525.1151</v>
      </c>
      <c r="N340">
        <f t="shared" si="44"/>
        <v>338</v>
      </c>
      <c r="O340" t="str">
        <f t="shared" si="47"/>
        <v/>
      </c>
      <c r="Q340">
        <f t="shared" si="48"/>
        <v>25499.515200000002</v>
      </c>
      <c r="R340">
        <f t="shared" si="49"/>
        <v>-9.0350000027683564E-3</v>
      </c>
      <c r="S340">
        <f t="shared" si="50"/>
        <v>2.0079999999325082E-3</v>
      </c>
      <c r="T340">
        <f t="shared" si="51"/>
        <v>-4.6409999999923457E-3</v>
      </c>
      <c r="Y340" t="s">
        <v>463</v>
      </c>
      <c r="Z340">
        <v>25499.459699999999</v>
      </c>
      <c r="AA340">
        <v>-1350.4032</v>
      </c>
      <c r="AB340">
        <v>-1525.1624999999999</v>
      </c>
    </row>
    <row r="341" spans="1:28" x14ac:dyDescent="0.2">
      <c r="A341" t="s">
        <v>464</v>
      </c>
      <c r="B341">
        <v>24999.511254000001</v>
      </c>
      <c r="C341">
        <v>-1350.3778890000001</v>
      </c>
      <c r="D341">
        <v>-1500.1079589999999</v>
      </c>
      <c r="E341">
        <f t="shared" si="45"/>
        <v>339</v>
      </c>
      <c r="F341" t="str">
        <f t="shared" si="46"/>
        <v/>
      </c>
      <c r="J341" t="s">
        <v>464</v>
      </c>
      <c r="K341">
        <v>24999.519799999998</v>
      </c>
      <c r="L341">
        <v>-1350.3753999999999</v>
      </c>
      <c r="M341">
        <v>-1500.1023</v>
      </c>
      <c r="N341">
        <f t="shared" si="44"/>
        <v>339</v>
      </c>
      <c r="O341" t="str">
        <f t="shared" si="47"/>
        <v/>
      </c>
      <c r="Q341">
        <f t="shared" si="48"/>
        <v>24999.519799999998</v>
      </c>
      <c r="R341">
        <f t="shared" si="49"/>
        <v>-8.5459999972954392E-3</v>
      </c>
      <c r="S341">
        <f t="shared" si="50"/>
        <v>-2.4890000001960289E-3</v>
      </c>
      <c r="T341">
        <f t="shared" si="51"/>
        <v>-5.6589999999232532E-3</v>
      </c>
      <c r="Y341" t="s">
        <v>464</v>
      </c>
      <c r="Z341">
        <v>24999.479299999999</v>
      </c>
      <c r="AA341">
        <v>-1350.3438000000001</v>
      </c>
      <c r="AB341">
        <v>-1500.1542999999999</v>
      </c>
    </row>
    <row r="342" spans="1:28" x14ac:dyDescent="0.2">
      <c r="A342" t="s">
        <v>465</v>
      </c>
      <c r="B342">
        <v>24499.470105</v>
      </c>
      <c r="C342">
        <v>-1350.341917</v>
      </c>
      <c r="D342">
        <v>-1475.1136309999999</v>
      </c>
      <c r="E342">
        <f t="shared" si="45"/>
        <v>340</v>
      </c>
      <c r="F342" t="str">
        <f t="shared" si="46"/>
        <v/>
      </c>
      <c r="J342" t="s">
        <v>465</v>
      </c>
      <c r="K342">
        <v>24499.481400000001</v>
      </c>
      <c r="L342">
        <v>-1350.3445999999999</v>
      </c>
      <c r="M342">
        <v>-1475.1078</v>
      </c>
      <c r="N342">
        <f t="shared" si="44"/>
        <v>340</v>
      </c>
      <c r="O342" t="str">
        <f t="shared" si="47"/>
        <v/>
      </c>
      <c r="Q342">
        <f t="shared" si="48"/>
        <v>24499.481400000001</v>
      </c>
      <c r="R342">
        <f t="shared" si="49"/>
        <v>-1.1295000000245636E-2</v>
      </c>
      <c r="S342">
        <f t="shared" si="50"/>
        <v>2.6829999999335996E-3</v>
      </c>
      <c r="T342">
        <f t="shared" si="51"/>
        <v>-5.8309999999437423E-3</v>
      </c>
      <c r="Y342" t="s">
        <v>465</v>
      </c>
      <c r="Z342">
        <v>24499.427199999998</v>
      </c>
      <c r="AA342">
        <v>-1350.3459</v>
      </c>
      <c r="AB342">
        <v>-1475.1469</v>
      </c>
    </row>
    <row r="343" spans="1:28" x14ac:dyDescent="0.2">
      <c r="A343" t="s">
        <v>466</v>
      </c>
      <c r="B343">
        <v>23999.410797</v>
      </c>
      <c r="C343">
        <v>-1350.314001</v>
      </c>
      <c r="D343">
        <v>-1450.1014419999999</v>
      </c>
      <c r="E343">
        <f t="shared" si="45"/>
        <v>341</v>
      </c>
      <c r="F343" t="str">
        <f t="shared" si="46"/>
        <v/>
      </c>
      <c r="J343" t="s">
        <v>466</v>
      </c>
      <c r="K343">
        <v>23999.420300000002</v>
      </c>
      <c r="L343">
        <v>-1350.3232</v>
      </c>
      <c r="M343">
        <v>-1450.0958000000001</v>
      </c>
      <c r="N343">
        <f t="shared" si="44"/>
        <v>341</v>
      </c>
      <c r="O343" t="str">
        <f t="shared" si="47"/>
        <v/>
      </c>
      <c r="Q343">
        <f t="shared" si="48"/>
        <v>23999.420300000002</v>
      </c>
      <c r="R343">
        <f t="shared" si="49"/>
        <v>-9.5030000011320226E-3</v>
      </c>
      <c r="S343">
        <f t="shared" si="50"/>
        <v>9.1990000000805594E-3</v>
      </c>
      <c r="T343">
        <f t="shared" si="51"/>
        <v>-5.6419999998524872E-3</v>
      </c>
      <c r="Y343" t="s">
        <v>466</v>
      </c>
      <c r="Z343">
        <v>23999.3861</v>
      </c>
      <c r="AA343">
        <v>-1350.2737999999999</v>
      </c>
      <c r="AB343">
        <v>-1450.1293000000001</v>
      </c>
    </row>
    <row r="344" spans="1:28" x14ac:dyDescent="0.2">
      <c r="A344" t="s">
        <v>467</v>
      </c>
      <c r="B344">
        <v>23499.373425000002</v>
      </c>
      <c r="C344">
        <v>-1350.2860069999999</v>
      </c>
      <c r="D344">
        <v>-1425.0818360000001</v>
      </c>
      <c r="E344">
        <f t="shared" si="45"/>
        <v>342</v>
      </c>
      <c r="F344" t="str">
        <f t="shared" si="46"/>
        <v/>
      </c>
      <c r="J344" t="s">
        <v>467</v>
      </c>
      <c r="K344">
        <v>23499.3825</v>
      </c>
      <c r="L344">
        <v>-1350.2946999999999</v>
      </c>
      <c r="M344">
        <v>-1425.0715</v>
      </c>
      <c r="N344">
        <f t="shared" si="44"/>
        <v>342</v>
      </c>
      <c r="O344" t="str">
        <f t="shared" si="47"/>
        <v/>
      </c>
      <c r="Q344">
        <f t="shared" si="48"/>
        <v>23499.3825</v>
      </c>
      <c r="R344">
        <f t="shared" si="49"/>
        <v>-9.0749999981198926E-3</v>
      </c>
      <c r="S344">
        <f t="shared" si="50"/>
        <v>8.6929999999938445E-3</v>
      </c>
      <c r="T344">
        <f t="shared" si="51"/>
        <v>-1.0336000000052081E-2</v>
      </c>
      <c r="Y344" t="s">
        <v>467</v>
      </c>
      <c r="Z344">
        <v>23499.354299999999</v>
      </c>
      <c r="AA344">
        <v>-1350.2551000000001</v>
      </c>
      <c r="AB344">
        <v>-1425.1262999999999</v>
      </c>
    </row>
    <row r="345" spans="1:28" x14ac:dyDescent="0.2">
      <c r="A345" t="s">
        <v>468</v>
      </c>
      <c r="B345">
        <v>22999.378982999999</v>
      </c>
      <c r="C345">
        <v>-1350.2842000000001</v>
      </c>
      <c r="D345">
        <v>-1400.0787419999999</v>
      </c>
      <c r="E345">
        <f t="shared" si="45"/>
        <v>343</v>
      </c>
      <c r="F345" t="str">
        <f t="shared" si="46"/>
        <v/>
      </c>
      <c r="J345" t="s">
        <v>468</v>
      </c>
      <c r="K345">
        <v>22999.393599999999</v>
      </c>
      <c r="L345">
        <v>-1350.2650000000001</v>
      </c>
      <c r="M345">
        <v>-1400.075</v>
      </c>
      <c r="N345">
        <f t="shared" si="44"/>
        <v>343</v>
      </c>
      <c r="O345" t="str">
        <f t="shared" si="47"/>
        <v/>
      </c>
      <c r="Q345">
        <f t="shared" si="48"/>
        <v>22999.393599999999</v>
      </c>
      <c r="R345">
        <f t="shared" si="49"/>
        <v>-1.4617000000725966E-2</v>
      </c>
      <c r="S345">
        <f t="shared" si="50"/>
        <v>-1.9199999999955253E-2</v>
      </c>
      <c r="T345">
        <f t="shared" si="51"/>
        <v>-3.7419999998746789E-3</v>
      </c>
      <c r="Y345" t="s">
        <v>468</v>
      </c>
      <c r="Z345">
        <v>22999.3511</v>
      </c>
      <c r="AA345">
        <v>-1350.2648999999999</v>
      </c>
      <c r="AB345">
        <v>-1400.1277</v>
      </c>
    </row>
    <row r="346" spans="1:28" x14ac:dyDescent="0.2">
      <c r="A346" t="s">
        <v>469</v>
      </c>
      <c r="B346">
        <v>22499.350353000002</v>
      </c>
      <c r="C346">
        <v>-1350.2284669999999</v>
      </c>
      <c r="D346">
        <v>-1375.0840700000001</v>
      </c>
      <c r="E346">
        <f t="shared" si="45"/>
        <v>344</v>
      </c>
      <c r="F346" t="str">
        <f t="shared" si="46"/>
        <v/>
      </c>
      <c r="J346" t="s">
        <v>469</v>
      </c>
      <c r="K346">
        <v>22499.361199999999</v>
      </c>
      <c r="L346">
        <v>-1350.2357999999999</v>
      </c>
      <c r="M346">
        <v>-1375.0741</v>
      </c>
      <c r="N346">
        <f t="shared" si="44"/>
        <v>344</v>
      </c>
      <c r="O346" t="str">
        <f t="shared" si="47"/>
        <v/>
      </c>
      <c r="Q346">
        <f t="shared" si="48"/>
        <v>22499.361199999999</v>
      </c>
      <c r="R346">
        <f t="shared" si="49"/>
        <v>-1.0846999997738749E-2</v>
      </c>
      <c r="S346">
        <f t="shared" si="50"/>
        <v>7.3330000000169093E-3</v>
      </c>
      <c r="T346">
        <f t="shared" si="51"/>
        <v>-9.9700000000666478E-3</v>
      </c>
      <c r="Y346" t="s">
        <v>469</v>
      </c>
      <c r="Z346">
        <v>22499.330699999999</v>
      </c>
      <c r="AA346">
        <v>-1350.2154</v>
      </c>
      <c r="AB346">
        <v>-1375.1112000000001</v>
      </c>
    </row>
    <row r="347" spans="1:28" x14ac:dyDescent="0.2">
      <c r="A347" t="s">
        <v>470</v>
      </c>
      <c r="B347">
        <v>21999.370769000001</v>
      </c>
      <c r="C347">
        <v>-1350.231491</v>
      </c>
      <c r="D347">
        <v>-1350.0868250000001</v>
      </c>
      <c r="E347">
        <f t="shared" si="45"/>
        <v>345</v>
      </c>
      <c r="F347" t="str">
        <f t="shared" si="46"/>
        <v/>
      </c>
      <c r="J347" t="s">
        <v>470</v>
      </c>
      <c r="K347">
        <v>21999.3822</v>
      </c>
      <c r="L347">
        <v>-1350.2367999999999</v>
      </c>
      <c r="M347">
        <v>-1350.079</v>
      </c>
      <c r="N347">
        <f t="shared" si="44"/>
        <v>345</v>
      </c>
      <c r="O347" t="str">
        <f t="shared" si="47"/>
        <v/>
      </c>
      <c r="Q347">
        <f t="shared" si="48"/>
        <v>21999.3822</v>
      </c>
      <c r="R347">
        <f t="shared" si="49"/>
        <v>-1.1430999998992775E-2</v>
      </c>
      <c r="S347">
        <f t="shared" si="50"/>
        <v>5.3089999998974235E-3</v>
      </c>
      <c r="T347">
        <f t="shared" si="51"/>
        <v>-7.8250000001389708E-3</v>
      </c>
      <c r="Y347" t="s">
        <v>470</v>
      </c>
      <c r="Z347">
        <v>21999.350900000001</v>
      </c>
      <c r="AA347">
        <v>-1350.2276999999999</v>
      </c>
      <c r="AB347">
        <v>-1350.1030000000001</v>
      </c>
    </row>
    <row r="348" spans="1:28" x14ac:dyDescent="0.2">
      <c r="A348" t="s">
        <v>471</v>
      </c>
      <c r="B348">
        <v>21499.375026000002</v>
      </c>
      <c r="C348">
        <v>-1350.204041</v>
      </c>
      <c r="D348">
        <v>-1325.0768860000001</v>
      </c>
      <c r="E348">
        <f t="shared" si="45"/>
        <v>346</v>
      </c>
      <c r="F348" t="str">
        <f t="shared" si="46"/>
        <v/>
      </c>
      <c r="J348" t="s">
        <v>471</v>
      </c>
      <c r="K348">
        <v>21499.388200000001</v>
      </c>
      <c r="L348">
        <v>-1350.2141999999999</v>
      </c>
      <c r="M348">
        <v>-1325.0599</v>
      </c>
      <c r="N348">
        <f t="shared" si="44"/>
        <v>346</v>
      </c>
      <c r="O348" t="str">
        <f t="shared" si="47"/>
        <v/>
      </c>
      <c r="Q348">
        <f t="shared" si="48"/>
        <v>21499.388200000001</v>
      </c>
      <c r="R348">
        <f t="shared" si="49"/>
        <v>-1.317399999970803E-2</v>
      </c>
      <c r="S348">
        <f t="shared" si="50"/>
        <v>1.0158999999930529E-2</v>
      </c>
      <c r="T348">
        <f t="shared" si="51"/>
        <v>-1.6986000000088097E-2</v>
      </c>
      <c r="Y348" t="s">
        <v>471</v>
      </c>
      <c r="Z348">
        <v>21499.358100000001</v>
      </c>
      <c r="AA348">
        <v>-1350.1907000000001</v>
      </c>
      <c r="AB348">
        <v>-1325.1098999999999</v>
      </c>
    </row>
    <row r="349" spans="1:28" x14ac:dyDescent="0.2">
      <c r="A349" t="s">
        <v>472</v>
      </c>
      <c r="B349">
        <v>20999.384372</v>
      </c>
      <c r="C349">
        <v>-1350.1894890000001</v>
      </c>
      <c r="D349">
        <v>-1300.084979</v>
      </c>
      <c r="E349">
        <f t="shared" si="45"/>
        <v>347</v>
      </c>
      <c r="F349" t="str">
        <f t="shared" si="46"/>
        <v/>
      </c>
      <c r="J349" t="s">
        <v>472</v>
      </c>
      <c r="K349">
        <v>20999.397499999999</v>
      </c>
      <c r="L349">
        <v>-1350.1998000000001</v>
      </c>
      <c r="M349">
        <v>-1300.0763999999999</v>
      </c>
      <c r="N349">
        <f t="shared" si="44"/>
        <v>347</v>
      </c>
      <c r="O349" t="str">
        <f t="shared" si="47"/>
        <v/>
      </c>
      <c r="Q349">
        <f t="shared" si="48"/>
        <v>20999.397499999999</v>
      </c>
      <c r="R349">
        <f t="shared" si="49"/>
        <v>-1.3127999998687301E-2</v>
      </c>
      <c r="S349">
        <f t="shared" si="50"/>
        <v>1.0311000000001513E-2</v>
      </c>
      <c r="T349">
        <f t="shared" si="51"/>
        <v>-8.5790000000542932E-3</v>
      </c>
      <c r="Y349" t="s">
        <v>472</v>
      </c>
      <c r="Z349">
        <v>20999.368299999998</v>
      </c>
      <c r="AA349">
        <v>-1350.1789000000001</v>
      </c>
      <c r="AB349">
        <v>-1300.0968</v>
      </c>
    </row>
    <row r="350" spans="1:28" x14ac:dyDescent="0.2">
      <c r="A350" t="s">
        <v>473</v>
      </c>
      <c r="B350">
        <v>20499.381280000001</v>
      </c>
      <c r="C350">
        <v>-1350.1997220000001</v>
      </c>
      <c r="D350">
        <v>-1275.064963</v>
      </c>
      <c r="E350">
        <f t="shared" si="45"/>
        <v>348</v>
      </c>
      <c r="F350" t="str">
        <f t="shared" si="46"/>
        <v/>
      </c>
      <c r="J350" t="s">
        <v>473</v>
      </c>
      <c r="K350">
        <v>20499.396400000001</v>
      </c>
      <c r="L350">
        <v>-1350.2008000000001</v>
      </c>
      <c r="M350">
        <v>-1275.0598</v>
      </c>
      <c r="N350">
        <f t="shared" si="44"/>
        <v>348</v>
      </c>
      <c r="O350" t="str">
        <f t="shared" si="47"/>
        <v/>
      </c>
      <c r="Q350">
        <f t="shared" si="48"/>
        <v>20499.396400000001</v>
      </c>
      <c r="R350">
        <f t="shared" si="49"/>
        <v>-1.5120000000024447E-2</v>
      </c>
      <c r="S350">
        <f t="shared" si="50"/>
        <v>1.0780000000067957E-3</v>
      </c>
      <c r="T350">
        <f t="shared" si="51"/>
        <v>-5.1630000000386644E-3</v>
      </c>
      <c r="Y350" t="s">
        <v>473</v>
      </c>
      <c r="Z350">
        <v>20499.361099999998</v>
      </c>
      <c r="AA350">
        <v>-1350.2075</v>
      </c>
      <c r="AB350">
        <v>-1275.0684000000001</v>
      </c>
    </row>
    <row r="351" spans="1:28" x14ac:dyDescent="0.2">
      <c r="A351" t="s">
        <v>474</v>
      </c>
      <c r="B351">
        <v>19999.393285999999</v>
      </c>
      <c r="C351">
        <v>-1350.1695110000001</v>
      </c>
      <c r="D351">
        <v>-1250.0700609999999</v>
      </c>
      <c r="E351">
        <f t="shared" si="45"/>
        <v>349</v>
      </c>
      <c r="F351" t="str">
        <f t="shared" si="46"/>
        <v/>
      </c>
      <c r="J351" t="s">
        <v>474</v>
      </c>
      <c r="K351">
        <v>19999.412199999999</v>
      </c>
      <c r="L351">
        <v>-1350.1953000000001</v>
      </c>
      <c r="M351">
        <v>-1250.0604000000001</v>
      </c>
      <c r="N351">
        <f t="shared" si="44"/>
        <v>349</v>
      </c>
      <c r="O351" t="str">
        <f t="shared" si="47"/>
        <v/>
      </c>
      <c r="Q351">
        <f t="shared" si="48"/>
        <v>19999.412199999999</v>
      </c>
      <c r="R351">
        <f t="shared" si="49"/>
        <v>-1.8914000000222586E-2</v>
      </c>
      <c r="S351">
        <f t="shared" si="50"/>
        <v>2.5789000000031592E-2</v>
      </c>
      <c r="T351">
        <f t="shared" si="51"/>
        <v>-9.6609999998236162E-3</v>
      </c>
      <c r="Y351" t="s">
        <v>474</v>
      </c>
      <c r="Z351">
        <v>19999.377899999999</v>
      </c>
      <c r="AA351">
        <v>-1350.1445000000001</v>
      </c>
      <c r="AB351">
        <v>-1250.0786000000001</v>
      </c>
    </row>
    <row r="352" spans="1:28" x14ac:dyDescent="0.2">
      <c r="A352" t="s">
        <v>475</v>
      </c>
      <c r="B352">
        <v>19499.379357999998</v>
      </c>
      <c r="C352">
        <v>-1350.1509100000001</v>
      </c>
      <c r="D352">
        <v>-1225.0730530000001</v>
      </c>
      <c r="E352">
        <f t="shared" si="45"/>
        <v>350</v>
      </c>
      <c r="F352" t="str">
        <f t="shared" si="46"/>
        <v/>
      </c>
      <c r="J352" t="s">
        <v>475</v>
      </c>
      <c r="K352">
        <v>19499.397499999999</v>
      </c>
      <c r="L352">
        <v>-1350.1892</v>
      </c>
      <c r="M352">
        <v>-1225.0615</v>
      </c>
      <c r="N352">
        <f t="shared" si="44"/>
        <v>350</v>
      </c>
      <c r="O352" t="str">
        <f t="shared" si="47"/>
        <v/>
      </c>
      <c r="Q352">
        <f t="shared" si="48"/>
        <v>19499.397499999999</v>
      </c>
      <c r="R352">
        <f t="shared" si="49"/>
        <v>-1.8142000000807457E-2</v>
      </c>
      <c r="S352">
        <f t="shared" si="50"/>
        <v>3.8289999999960855E-2</v>
      </c>
      <c r="T352">
        <f t="shared" si="51"/>
        <v>-1.1553000000048996E-2</v>
      </c>
      <c r="Y352" t="s">
        <v>475</v>
      </c>
      <c r="Z352">
        <v>19499.369500000001</v>
      </c>
      <c r="AA352">
        <v>-1350.1157000000001</v>
      </c>
      <c r="AB352">
        <v>-1225.0825</v>
      </c>
    </row>
    <row r="353" spans="1:28" x14ac:dyDescent="0.2">
      <c r="A353" t="s">
        <v>476</v>
      </c>
      <c r="B353">
        <v>18999.339646</v>
      </c>
      <c r="C353">
        <v>-1350.1588059999999</v>
      </c>
      <c r="D353">
        <v>-1200.066671</v>
      </c>
      <c r="E353">
        <f t="shared" si="45"/>
        <v>351</v>
      </c>
      <c r="F353" t="str">
        <f t="shared" si="46"/>
        <v/>
      </c>
      <c r="J353" t="s">
        <v>476</v>
      </c>
      <c r="K353">
        <v>18999.3662</v>
      </c>
      <c r="L353">
        <v>-1350.1967999999999</v>
      </c>
      <c r="M353">
        <v>-1200.0624</v>
      </c>
      <c r="N353">
        <f t="shared" si="44"/>
        <v>351</v>
      </c>
      <c r="O353" t="str">
        <f t="shared" si="47"/>
        <v/>
      </c>
      <c r="Q353">
        <f t="shared" si="48"/>
        <v>18999.3662</v>
      </c>
      <c r="R353">
        <f t="shared" si="49"/>
        <v>-2.6554000000032829E-2</v>
      </c>
      <c r="S353">
        <f t="shared" si="50"/>
        <v>3.7994000000026062E-2</v>
      </c>
      <c r="T353">
        <f t="shared" si="51"/>
        <v>-4.2710000000170112E-3</v>
      </c>
      <c r="Y353" t="s">
        <v>476</v>
      </c>
      <c r="Z353">
        <v>18999.3223</v>
      </c>
      <c r="AA353">
        <v>-1350.1333999999999</v>
      </c>
      <c r="AB353">
        <v>-1200.0663</v>
      </c>
    </row>
    <row r="354" spans="1:28" x14ac:dyDescent="0.2">
      <c r="A354" t="s">
        <v>477</v>
      </c>
      <c r="B354">
        <v>18499.323871000001</v>
      </c>
      <c r="C354">
        <v>-1350.1753799999999</v>
      </c>
      <c r="D354">
        <v>-1175.0767470000001</v>
      </c>
      <c r="E354">
        <f t="shared" si="45"/>
        <v>352</v>
      </c>
      <c r="F354" t="str">
        <f t="shared" si="46"/>
        <v/>
      </c>
      <c r="J354" t="s">
        <v>477</v>
      </c>
      <c r="K354">
        <v>18499.344799999999</v>
      </c>
      <c r="L354">
        <v>-1350.1864</v>
      </c>
      <c r="M354">
        <v>-1175.0617</v>
      </c>
      <c r="N354">
        <f t="shared" si="44"/>
        <v>352</v>
      </c>
      <c r="O354" t="str">
        <f t="shared" si="47"/>
        <v/>
      </c>
      <c r="Q354">
        <f t="shared" si="48"/>
        <v>18499.344799999999</v>
      </c>
      <c r="R354">
        <f t="shared" si="49"/>
        <v>-2.0928999998432118E-2</v>
      </c>
      <c r="S354">
        <f t="shared" si="50"/>
        <v>1.1020000000144137E-2</v>
      </c>
      <c r="T354">
        <f t="shared" si="51"/>
        <v>-1.5047000000095068E-2</v>
      </c>
      <c r="Y354" t="s">
        <v>477</v>
      </c>
      <c r="Z354">
        <v>18499.309700000002</v>
      </c>
      <c r="AA354">
        <v>-1350.1735000000001</v>
      </c>
      <c r="AB354">
        <v>-1175.0844999999999</v>
      </c>
    </row>
    <row r="355" spans="1:28" x14ac:dyDescent="0.2">
      <c r="A355" t="s">
        <v>478</v>
      </c>
      <c r="B355">
        <v>17999.330794000001</v>
      </c>
      <c r="C355">
        <v>-1350.1426280000001</v>
      </c>
      <c r="D355">
        <v>-1150.0463239999999</v>
      </c>
      <c r="E355">
        <f t="shared" si="45"/>
        <v>353</v>
      </c>
      <c r="F355" t="str">
        <f t="shared" si="46"/>
        <v/>
      </c>
      <c r="J355" t="s">
        <v>478</v>
      </c>
      <c r="K355">
        <v>17999.354899999998</v>
      </c>
      <c r="L355">
        <v>-1350.1728000000001</v>
      </c>
      <c r="M355">
        <v>-1150.0497</v>
      </c>
      <c r="N355">
        <f t="shared" si="44"/>
        <v>353</v>
      </c>
      <c r="O355" t="str">
        <f t="shared" si="47"/>
        <v/>
      </c>
      <c r="Q355">
        <f t="shared" si="48"/>
        <v>17999.354899999998</v>
      </c>
      <c r="R355">
        <f t="shared" si="49"/>
        <v>-2.4105999997118488E-2</v>
      </c>
      <c r="S355">
        <f t="shared" si="50"/>
        <v>3.0171999999993204E-2</v>
      </c>
      <c r="T355">
        <f t="shared" si="51"/>
        <v>3.376000000116619E-3</v>
      </c>
      <c r="Y355" t="s">
        <v>478</v>
      </c>
      <c r="Z355">
        <v>17999.317500000001</v>
      </c>
      <c r="AA355">
        <v>-1350.1297999999999</v>
      </c>
      <c r="AB355">
        <v>-1150.0410999999999</v>
      </c>
    </row>
    <row r="356" spans="1:28" x14ac:dyDescent="0.2">
      <c r="A356" t="s">
        <v>479</v>
      </c>
      <c r="B356">
        <v>17499.288312000001</v>
      </c>
      <c r="C356">
        <v>-1350.158473</v>
      </c>
      <c r="D356">
        <v>-1125.038513</v>
      </c>
      <c r="E356">
        <f t="shared" si="45"/>
        <v>354</v>
      </c>
      <c r="F356" t="str">
        <f t="shared" si="46"/>
        <v/>
      </c>
      <c r="J356" t="s">
        <v>479</v>
      </c>
      <c r="K356">
        <v>17499.315999999999</v>
      </c>
      <c r="L356">
        <v>-1350.19</v>
      </c>
      <c r="M356">
        <v>-1125.0463</v>
      </c>
      <c r="N356">
        <f t="shared" si="44"/>
        <v>354</v>
      </c>
      <c r="O356" t="str">
        <f t="shared" si="47"/>
        <v/>
      </c>
      <c r="Q356">
        <f t="shared" si="48"/>
        <v>17499.315999999999</v>
      </c>
      <c r="R356">
        <f t="shared" si="49"/>
        <v>-2.7687999998306623E-2</v>
      </c>
      <c r="S356">
        <f t="shared" si="50"/>
        <v>3.152700000009645E-2</v>
      </c>
      <c r="T356">
        <f t="shared" si="51"/>
        <v>7.7870000000075379E-3</v>
      </c>
      <c r="Y356" t="s">
        <v>479</v>
      </c>
      <c r="Z356">
        <v>17499.2742</v>
      </c>
      <c r="AA356">
        <v>-1350.1481000000001</v>
      </c>
      <c r="AB356">
        <v>-1125.0313000000001</v>
      </c>
    </row>
    <row r="357" spans="1:28" x14ac:dyDescent="0.2">
      <c r="A357" t="s">
        <v>480</v>
      </c>
      <c r="B357">
        <v>16999.274198999999</v>
      </c>
      <c r="C357">
        <v>-1350.1479489999999</v>
      </c>
      <c r="D357">
        <v>-1100.043277</v>
      </c>
      <c r="E357">
        <f t="shared" si="45"/>
        <v>355</v>
      </c>
      <c r="F357" t="str">
        <f t="shared" si="46"/>
        <v/>
      </c>
      <c r="J357" t="s">
        <v>480</v>
      </c>
      <c r="K357">
        <v>16999.294600000001</v>
      </c>
      <c r="L357">
        <v>-1350.1695</v>
      </c>
      <c r="M357">
        <v>-1100.0456999999999</v>
      </c>
      <c r="N357">
        <f t="shared" si="44"/>
        <v>355</v>
      </c>
      <c r="O357" t="str">
        <f t="shared" si="47"/>
        <v/>
      </c>
      <c r="Q357">
        <f t="shared" si="48"/>
        <v>16999.294600000001</v>
      </c>
      <c r="R357">
        <f t="shared" si="49"/>
        <v>-2.040100000158418E-2</v>
      </c>
      <c r="S357">
        <f t="shared" si="50"/>
        <v>2.1551000000044951E-2</v>
      </c>
      <c r="T357">
        <f t="shared" si="51"/>
        <v>2.4229999999079155E-3</v>
      </c>
      <c r="Y357" t="s">
        <v>480</v>
      </c>
      <c r="Z357">
        <v>16999.265100000001</v>
      </c>
      <c r="AA357">
        <v>-1350.1424</v>
      </c>
      <c r="AB357">
        <v>-1100.0400999999999</v>
      </c>
    </row>
    <row r="358" spans="1:28" x14ac:dyDescent="0.2">
      <c r="A358" t="s">
        <v>481</v>
      </c>
      <c r="B358">
        <v>16499.238915999998</v>
      </c>
      <c r="C358">
        <v>-1350.1207010000001</v>
      </c>
      <c r="D358">
        <v>-1075.0718159999999</v>
      </c>
      <c r="E358">
        <f t="shared" si="45"/>
        <v>356</v>
      </c>
      <c r="F358" t="str">
        <f t="shared" si="46"/>
        <v/>
      </c>
      <c r="J358" t="s">
        <v>481</v>
      </c>
      <c r="K358">
        <v>16499.261900000001</v>
      </c>
      <c r="L358">
        <v>-1350.1568</v>
      </c>
      <c r="M358">
        <v>-1075.0725</v>
      </c>
      <c r="N358">
        <f t="shared" si="44"/>
        <v>356</v>
      </c>
      <c r="O358" t="str">
        <f t="shared" si="47"/>
        <v/>
      </c>
      <c r="Q358">
        <f t="shared" si="48"/>
        <v>16499.261900000001</v>
      </c>
      <c r="R358">
        <f t="shared" si="49"/>
        <v>-2.2984000002907123E-2</v>
      </c>
      <c r="S358">
        <f t="shared" si="50"/>
        <v>3.6098999999921944E-2</v>
      </c>
      <c r="T358">
        <f t="shared" si="51"/>
        <v>6.8400000009205542E-4</v>
      </c>
      <c r="Y358" t="s">
        <v>481</v>
      </c>
      <c r="Z358">
        <v>16499.231100000001</v>
      </c>
      <c r="AA358">
        <v>-1350.1112000000001</v>
      </c>
      <c r="AB358">
        <v>-1075.0696</v>
      </c>
    </row>
    <row r="359" spans="1:28" x14ac:dyDescent="0.2">
      <c r="A359" t="s">
        <v>482</v>
      </c>
      <c r="B359">
        <v>15999.239057999999</v>
      </c>
      <c r="C359">
        <v>-1350.0985350000001</v>
      </c>
      <c r="D359">
        <v>-1050.0869359999999</v>
      </c>
      <c r="E359">
        <f t="shared" si="45"/>
        <v>357</v>
      </c>
      <c r="F359" t="str">
        <f t="shared" si="46"/>
        <v/>
      </c>
      <c r="J359" t="s">
        <v>482</v>
      </c>
      <c r="K359">
        <v>15999.257</v>
      </c>
      <c r="L359">
        <v>-1350.1442999999999</v>
      </c>
      <c r="M359">
        <v>-1050.0708999999999</v>
      </c>
      <c r="N359">
        <f t="shared" si="44"/>
        <v>357</v>
      </c>
      <c r="O359" t="str">
        <f t="shared" si="47"/>
        <v/>
      </c>
      <c r="Q359">
        <f t="shared" si="48"/>
        <v>15999.257</v>
      </c>
      <c r="R359">
        <f t="shared" si="49"/>
        <v>-1.7942000000402913E-2</v>
      </c>
      <c r="S359">
        <f t="shared" si="50"/>
        <v>4.5764999999846623E-2</v>
      </c>
      <c r="T359">
        <f t="shared" si="51"/>
        <v>-1.6035999999985506E-2</v>
      </c>
      <c r="Y359" t="s">
        <v>482</v>
      </c>
      <c r="Z359">
        <v>15999.235500000001</v>
      </c>
      <c r="AA359">
        <v>-1350.087</v>
      </c>
      <c r="AB359">
        <v>-1050.0904</v>
      </c>
    </row>
    <row r="360" spans="1:28" x14ac:dyDescent="0.2">
      <c r="A360" t="s">
        <v>483</v>
      </c>
      <c r="B360">
        <v>15499.234705999999</v>
      </c>
      <c r="C360">
        <v>-1350.0711100000001</v>
      </c>
      <c r="D360">
        <v>-1025.057992</v>
      </c>
      <c r="E360">
        <f t="shared" si="45"/>
        <v>358</v>
      </c>
      <c r="F360" t="str">
        <f t="shared" si="46"/>
        <v/>
      </c>
      <c r="J360" t="s">
        <v>483</v>
      </c>
      <c r="K360">
        <v>15499.259700000001</v>
      </c>
      <c r="L360">
        <v>-1350.1288</v>
      </c>
      <c r="M360">
        <v>-1025.0547999999999</v>
      </c>
      <c r="N360">
        <f t="shared" si="44"/>
        <v>358</v>
      </c>
      <c r="O360" t="str">
        <f t="shared" si="47"/>
        <v/>
      </c>
      <c r="Q360">
        <f t="shared" si="48"/>
        <v>15499.259700000001</v>
      </c>
      <c r="R360">
        <f t="shared" si="49"/>
        <v>-2.4994000001242966E-2</v>
      </c>
      <c r="S360">
        <f t="shared" si="50"/>
        <v>5.7689999999865904E-2</v>
      </c>
      <c r="T360">
        <f t="shared" si="51"/>
        <v>-3.192000000126427E-3</v>
      </c>
      <c r="Y360" t="s">
        <v>483</v>
      </c>
      <c r="Z360">
        <v>15499.229300000001</v>
      </c>
      <c r="AA360">
        <v>-1350.0596</v>
      </c>
      <c r="AB360">
        <v>-1025.0572999999999</v>
      </c>
    </row>
    <row r="361" spans="1:28" x14ac:dyDescent="0.2">
      <c r="A361" t="s">
        <v>484</v>
      </c>
      <c r="B361">
        <v>14999.2165</v>
      </c>
      <c r="C361">
        <v>-1350.0283360000001</v>
      </c>
      <c r="D361">
        <v>-1000.041607</v>
      </c>
      <c r="E361">
        <f t="shared" si="45"/>
        <v>359</v>
      </c>
      <c r="F361" t="str">
        <f t="shared" si="46"/>
        <v/>
      </c>
      <c r="J361" t="s">
        <v>484</v>
      </c>
      <c r="K361">
        <v>14999.237499999999</v>
      </c>
      <c r="L361">
        <v>-1350.0717999999999</v>
      </c>
      <c r="M361">
        <v>-1000.0337</v>
      </c>
      <c r="N361">
        <f t="shared" si="44"/>
        <v>359</v>
      </c>
      <c r="O361" t="str">
        <f t="shared" si="47"/>
        <v/>
      </c>
      <c r="Q361">
        <f t="shared" si="48"/>
        <v>14999.237499999999</v>
      </c>
      <c r="R361">
        <f t="shared" si="49"/>
        <v>-2.0999999998821295E-2</v>
      </c>
      <c r="S361">
        <f t="shared" si="50"/>
        <v>4.3463999999858061E-2</v>
      </c>
      <c r="T361">
        <f t="shared" si="51"/>
        <v>-7.9070000000456275E-3</v>
      </c>
      <c r="Y361" t="s">
        <v>484</v>
      </c>
      <c r="Z361">
        <v>14999.2124</v>
      </c>
      <c r="AA361">
        <v>-1350.0215000000001</v>
      </c>
      <c r="AB361">
        <v>-1000.0421</v>
      </c>
    </row>
    <row r="362" spans="1:28" x14ac:dyDescent="0.2">
      <c r="A362" t="s">
        <v>485</v>
      </c>
      <c r="B362">
        <v>14499.212833</v>
      </c>
      <c r="C362">
        <v>-1350.020534</v>
      </c>
      <c r="D362">
        <v>-975.03739099999996</v>
      </c>
      <c r="E362">
        <f t="shared" si="45"/>
        <v>360</v>
      </c>
      <c r="F362" t="str">
        <f t="shared" si="46"/>
        <v/>
      </c>
      <c r="J362" t="s">
        <v>485</v>
      </c>
      <c r="K362">
        <v>14499.240900000001</v>
      </c>
      <c r="L362">
        <v>-1350.049</v>
      </c>
      <c r="M362">
        <v>-975.03570000000002</v>
      </c>
      <c r="N362">
        <f t="shared" si="44"/>
        <v>360</v>
      </c>
      <c r="O362" t="str">
        <f t="shared" si="47"/>
        <v/>
      </c>
      <c r="Q362">
        <f t="shared" si="48"/>
        <v>14499.240900000001</v>
      </c>
      <c r="R362">
        <f t="shared" si="49"/>
        <v>-2.8067000001101405E-2</v>
      </c>
      <c r="S362">
        <f t="shared" si="50"/>
        <v>2.846599999998034E-2</v>
      </c>
      <c r="T362">
        <f t="shared" si="51"/>
        <v>-1.6909999999370484E-3</v>
      </c>
      <c r="Y362" t="s">
        <v>485</v>
      </c>
      <c r="Z362">
        <v>14499.206700000001</v>
      </c>
      <c r="AA362">
        <v>-1350.018</v>
      </c>
      <c r="AB362">
        <v>-975.03629999999998</v>
      </c>
    </row>
    <row r="363" spans="1:28" x14ac:dyDescent="0.2">
      <c r="A363" t="s">
        <v>486</v>
      </c>
      <c r="B363">
        <v>13999.24389</v>
      </c>
      <c r="C363">
        <v>-1349.9709330000001</v>
      </c>
      <c r="D363">
        <v>-950.02902400000005</v>
      </c>
      <c r="E363">
        <f t="shared" si="45"/>
        <v>361</v>
      </c>
      <c r="F363" t="str">
        <f t="shared" si="46"/>
        <v/>
      </c>
      <c r="J363" t="s">
        <v>486</v>
      </c>
      <c r="K363">
        <v>13999.2667</v>
      </c>
      <c r="L363">
        <v>-1350.0155999999999</v>
      </c>
      <c r="M363">
        <v>-950.04089999999997</v>
      </c>
      <c r="N363">
        <f t="shared" si="44"/>
        <v>361</v>
      </c>
      <c r="O363" t="str">
        <f t="shared" si="47"/>
        <v/>
      </c>
      <c r="Q363">
        <f t="shared" si="48"/>
        <v>13999.2667</v>
      </c>
      <c r="R363">
        <f t="shared" si="49"/>
        <v>-2.2810000000390573E-2</v>
      </c>
      <c r="S363">
        <f t="shared" si="50"/>
        <v>4.4666999999890322E-2</v>
      </c>
      <c r="T363">
        <f t="shared" si="51"/>
        <v>1.1875999999915621E-2</v>
      </c>
      <c r="Y363" t="s">
        <v>486</v>
      </c>
      <c r="Z363">
        <v>13999.24</v>
      </c>
      <c r="AA363">
        <v>-1349.9665</v>
      </c>
      <c r="AB363">
        <v>-950.02670000000001</v>
      </c>
    </row>
    <row r="364" spans="1:28" x14ac:dyDescent="0.2">
      <c r="A364" t="s">
        <v>487</v>
      </c>
      <c r="B364">
        <v>13499.20169</v>
      </c>
      <c r="C364">
        <v>-1349.959429</v>
      </c>
      <c r="D364">
        <v>-925.037598</v>
      </c>
      <c r="E364">
        <f t="shared" si="45"/>
        <v>362</v>
      </c>
      <c r="F364" t="str">
        <f t="shared" si="46"/>
        <v/>
      </c>
      <c r="J364" t="s">
        <v>487</v>
      </c>
      <c r="K364">
        <v>13499.2297</v>
      </c>
      <c r="L364">
        <v>-1350.0302999999999</v>
      </c>
      <c r="M364">
        <v>-925.04480000000001</v>
      </c>
      <c r="N364">
        <f t="shared" si="44"/>
        <v>362</v>
      </c>
      <c r="O364" t="str">
        <f t="shared" si="47"/>
        <v/>
      </c>
      <c r="Q364">
        <f t="shared" si="48"/>
        <v>13499.2297</v>
      </c>
      <c r="R364">
        <f t="shared" si="49"/>
        <v>-2.8009999999994761E-2</v>
      </c>
      <c r="S364">
        <f t="shared" si="50"/>
        <v>7.0870999999897322E-2</v>
      </c>
      <c r="T364">
        <f t="shared" si="51"/>
        <v>7.202000000006592E-3</v>
      </c>
      <c r="Y364" t="s">
        <v>487</v>
      </c>
      <c r="Z364">
        <v>13499.1981</v>
      </c>
      <c r="AA364">
        <v>-1349.9534000000001</v>
      </c>
      <c r="AB364">
        <v>-925.03610000000003</v>
      </c>
    </row>
    <row r="365" spans="1:28" x14ac:dyDescent="0.2">
      <c r="A365" t="s">
        <v>488</v>
      </c>
      <c r="B365">
        <v>12999.185485</v>
      </c>
      <c r="C365">
        <v>-1349.946277</v>
      </c>
      <c r="D365">
        <v>-900.03362900000002</v>
      </c>
      <c r="E365">
        <f t="shared" si="45"/>
        <v>363</v>
      </c>
      <c r="F365" t="str">
        <f t="shared" si="46"/>
        <v/>
      </c>
      <c r="J365" t="s">
        <v>488</v>
      </c>
      <c r="K365">
        <v>12999.2138</v>
      </c>
      <c r="L365">
        <v>-1350.0057999999999</v>
      </c>
      <c r="M365">
        <v>-900.04369999999994</v>
      </c>
      <c r="N365">
        <f t="shared" si="44"/>
        <v>363</v>
      </c>
      <c r="O365" t="str">
        <f t="shared" si="47"/>
        <v/>
      </c>
      <c r="Q365">
        <f t="shared" si="48"/>
        <v>12999.2138</v>
      </c>
      <c r="R365">
        <f t="shared" si="49"/>
        <v>-2.8314999999565771E-2</v>
      </c>
      <c r="S365">
        <f t="shared" si="50"/>
        <v>5.9522999999899184E-2</v>
      </c>
      <c r="T365">
        <f t="shared" si="51"/>
        <v>1.0070999999925334E-2</v>
      </c>
      <c r="Y365" t="s">
        <v>488</v>
      </c>
      <c r="Z365">
        <v>12999.182000000001</v>
      </c>
      <c r="AA365">
        <v>-1349.9423999999999</v>
      </c>
      <c r="AB365">
        <v>-900.03219999999999</v>
      </c>
    </row>
    <row r="366" spans="1:28" x14ac:dyDescent="0.2">
      <c r="A366" t="s">
        <v>489</v>
      </c>
      <c r="B366">
        <v>12499.163775000001</v>
      </c>
      <c r="C366">
        <v>-1349.933923</v>
      </c>
      <c r="D366">
        <v>-875.02207399999998</v>
      </c>
      <c r="E366">
        <f t="shared" si="45"/>
        <v>364</v>
      </c>
      <c r="F366" t="str">
        <f t="shared" si="46"/>
        <v/>
      </c>
      <c r="J366" t="s">
        <v>489</v>
      </c>
      <c r="K366">
        <v>12499.1867</v>
      </c>
      <c r="L366">
        <v>-1349.9588000000001</v>
      </c>
      <c r="M366">
        <v>-875.02719999999999</v>
      </c>
      <c r="N366">
        <f t="shared" si="44"/>
        <v>364</v>
      </c>
      <c r="O366" t="str">
        <f t="shared" si="47"/>
        <v/>
      </c>
      <c r="Q366">
        <f t="shared" si="48"/>
        <v>12499.1867</v>
      </c>
      <c r="R366">
        <f t="shared" si="49"/>
        <v>-2.2924999999304418E-2</v>
      </c>
      <c r="S366">
        <f t="shared" si="50"/>
        <v>2.4877000000060434E-2</v>
      </c>
      <c r="T366">
        <f t="shared" si="51"/>
        <v>5.1260000000183936E-3</v>
      </c>
      <c r="Y366" t="s">
        <v>489</v>
      </c>
      <c r="Z366">
        <v>12499.161</v>
      </c>
      <c r="AA366">
        <v>-1349.9329</v>
      </c>
      <c r="AB366">
        <v>-875.0213</v>
      </c>
    </row>
    <row r="367" spans="1:28" x14ac:dyDescent="0.2">
      <c r="A367" t="s">
        <v>490</v>
      </c>
      <c r="B367">
        <v>11999.20318</v>
      </c>
      <c r="C367">
        <v>-1349.8888380000001</v>
      </c>
      <c r="D367">
        <v>-850.01030500000002</v>
      </c>
      <c r="E367">
        <f t="shared" si="45"/>
        <v>365</v>
      </c>
      <c r="F367" t="str">
        <f t="shared" si="46"/>
        <v/>
      </c>
      <c r="J367" t="s">
        <v>490</v>
      </c>
      <c r="K367">
        <v>11999.2147</v>
      </c>
      <c r="L367">
        <v>-1349.9419</v>
      </c>
      <c r="M367">
        <v>-850.02670000000001</v>
      </c>
      <c r="N367">
        <f t="shared" si="44"/>
        <v>365</v>
      </c>
      <c r="O367" t="str">
        <f t="shared" si="47"/>
        <v/>
      </c>
      <c r="Q367">
        <f t="shared" si="48"/>
        <v>11999.2147</v>
      </c>
      <c r="R367">
        <f t="shared" si="49"/>
        <v>-1.1520000000018626E-2</v>
      </c>
      <c r="S367">
        <f t="shared" si="50"/>
        <v>5.3061999999954423E-2</v>
      </c>
      <c r="T367">
        <f t="shared" si="51"/>
        <v>1.6394999999988613E-2</v>
      </c>
      <c r="Y367" t="s">
        <v>490</v>
      </c>
      <c r="Z367">
        <v>11999.2024</v>
      </c>
      <c r="AA367">
        <v>-1349.8864000000001</v>
      </c>
      <c r="AB367">
        <v>-850.00940000000003</v>
      </c>
    </row>
    <row r="368" spans="1:28" x14ac:dyDescent="0.2">
      <c r="A368" t="s">
        <v>491</v>
      </c>
      <c r="B368">
        <v>11499.187346999999</v>
      </c>
      <c r="C368">
        <v>-1349.8425810000001</v>
      </c>
      <c r="D368">
        <v>-825.02158399999996</v>
      </c>
      <c r="E368">
        <f t="shared" si="45"/>
        <v>366</v>
      </c>
      <c r="F368" t="str">
        <f t="shared" si="46"/>
        <v/>
      </c>
      <c r="J368" t="s">
        <v>491</v>
      </c>
      <c r="K368">
        <v>11499.181500000001</v>
      </c>
      <c r="L368">
        <v>-1349.9148</v>
      </c>
      <c r="M368">
        <v>-825.02099999999996</v>
      </c>
      <c r="N368">
        <f t="shared" si="44"/>
        <v>366</v>
      </c>
      <c r="O368" t="str">
        <f t="shared" si="47"/>
        <v/>
      </c>
      <c r="Q368">
        <f t="shared" si="48"/>
        <v>11499.181500000001</v>
      </c>
      <c r="R368">
        <f t="shared" si="49"/>
        <v>5.8469999985391041E-3</v>
      </c>
      <c r="S368">
        <f t="shared" si="50"/>
        <v>7.2218999999904554E-2</v>
      </c>
      <c r="T368">
        <f t="shared" si="51"/>
        <v>-5.8400000000347063E-4</v>
      </c>
      <c r="Y368" t="s">
        <v>491</v>
      </c>
      <c r="Z368">
        <v>11499.188599999999</v>
      </c>
      <c r="AA368">
        <v>-1349.8398</v>
      </c>
      <c r="AB368">
        <v>-825.02170000000001</v>
      </c>
    </row>
    <row r="369" spans="1:28" x14ac:dyDescent="0.2">
      <c r="A369" t="s">
        <v>492</v>
      </c>
      <c r="B369">
        <v>10999.153463000001</v>
      </c>
      <c r="C369">
        <v>-1349.852582</v>
      </c>
      <c r="D369">
        <v>-800.00575400000002</v>
      </c>
      <c r="E369">
        <f t="shared" si="45"/>
        <v>367</v>
      </c>
      <c r="F369" t="str">
        <f t="shared" si="46"/>
        <v/>
      </c>
      <c r="J369" t="s">
        <v>492</v>
      </c>
      <c r="K369">
        <v>10999.163</v>
      </c>
      <c r="L369">
        <v>-1349.9084</v>
      </c>
      <c r="M369">
        <v>-800.02</v>
      </c>
      <c r="N369">
        <f t="shared" si="44"/>
        <v>367</v>
      </c>
      <c r="O369" t="str">
        <f t="shared" si="47"/>
        <v/>
      </c>
      <c r="Q369">
        <f t="shared" si="48"/>
        <v>10999.163</v>
      </c>
      <c r="R369">
        <f t="shared" si="49"/>
        <v>-9.5369999999093125E-3</v>
      </c>
      <c r="S369">
        <f t="shared" si="50"/>
        <v>5.5818000000044776E-2</v>
      </c>
      <c r="T369">
        <f t="shared" si="51"/>
        <v>1.4245999999957348E-2</v>
      </c>
      <c r="Y369" t="s">
        <v>492</v>
      </c>
      <c r="Z369">
        <v>10999.153</v>
      </c>
      <c r="AA369">
        <v>-1349.8510000000001</v>
      </c>
      <c r="AB369">
        <v>-800.00540000000001</v>
      </c>
    </row>
    <row r="370" spans="1:28" x14ac:dyDescent="0.2">
      <c r="A370" t="s">
        <v>493</v>
      </c>
      <c r="B370">
        <v>10499.142773</v>
      </c>
      <c r="C370">
        <v>-1349.833061</v>
      </c>
      <c r="D370">
        <v>-832.98601900000006</v>
      </c>
      <c r="E370">
        <f t="shared" si="45"/>
        <v>368</v>
      </c>
      <c r="F370" t="str">
        <f t="shared" si="46"/>
        <v/>
      </c>
      <c r="J370" t="s">
        <v>493</v>
      </c>
      <c r="K370">
        <v>10499.152700000001</v>
      </c>
      <c r="L370">
        <v>-1349.9178999999999</v>
      </c>
      <c r="M370">
        <v>-833.00490000000002</v>
      </c>
      <c r="N370">
        <f t="shared" si="44"/>
        <v>368</v>
      </c>
      <c r="O370" t="str">
        <f t="shared" si="47"/>
        <v/>
      </c>
      <c r="Q370">
        <f t="shared" si="48"/>
        <v>10499.152700000001</v>
      </c>
      <c r="R370">
        <f t="shared" si="49"/>
        <v>-9.9270000009710202E-3</v>
      </c>
      <c r="S370">
        <f t="shared" si="50"/>
        <v>8.4838999999874432E-2</v>
      </c>
      <c r="T370">
        <f t="shared" si="51"/>
        <v>1.8880999999964843E-2</v>
      </c>
      <c r="Y370" t="s">
        <v>493</v>
      </c>
      <c r="Z370">
        <v>10499.142400000001</v>
      </c>
      <c r="AA370">
        <v>-1349.8313000000001</v>
      </c>
      <c r="AB370">
        <v>-832.98569999999995</v>
      </c>
    </row>
    <row r="371" spans="1:28" x14ac:dyDescent="0.2">
      <c r="A371" t="s">
        <v>494</v>
      </c>
      <c r="B371">
        <v>9999.2132239999992</v>
      </c>
      <c r="C371">
        <v>-1349.8183670000001</v>
      </c>
      <c r="D371">
        <v>-866.99237100000005</v>
      </c>
      <c r="E371">
        <f t="shared" si="45"/>
        <v>369</v>
      </c>
      <c r="F371" t="str">
        <f t="shared" si="46"/>
        <v/>
      </c>
      <c r="J371" t="s">
        <v>494</v>
      </c>
      <c r="K371">
        <v>9999.2073</v>
      </c>
      <c r="L371">
        <v>-1349.8832</v>
      </c>
      <c r="M371">
        <v>-867.01819999999998</v>
      </c>
      <c r="N371">
        <f t="shared" si="44"/>
        <v>369</v>
      </c>
      <c r="O371" t="str">
        <f t="shared" si="47"/>
        <v/>
      </c>
      <c r="Q371">
        <f t="shared" si="48"/>
        <v>9999.2073</v>
      </c>
      <c r="R371">
        <f t="shared" si="49"/>
        <v>5.9239999991405057E-3</v>
      </c>
      <c r="S371">
        <f t="shared" si="50"/>
        <v>6.483299999990777E-2</v>
      </c>
      <c r="T371">
        <f t="shared" si="51"/>
        <v>2.5828999999930602E-2</v>
      </c>
      <c r="Y371" t="s">
        <v>494</v>
      </c>
      <c r="Z371">
        <v>9999.2135999999991</v>
      </c>
      <c r="AA371">
        <v>-1349.8172999999999</v>
      </c>
      <c r="AB371">
        <v>-866.99199999999996</v>
      </c>
    </row>
    <row r="372" spans="1:28" x14ac:dyDescent="0.2">
      <c r="A372" t="s">
        <v>495</v>
      </c>
      <c r="B372">
        <v>9499.2098999999998</v>
      </c>
      <c r="C372">
        <v>-1349.8219240000001</v>
      </c>
      <c r="D372">
        <v>-899.99574299999995</v>
      </c>
      <c r="E372">
        <f t="shared" si="45"/>
        <v>370</v>
      </c>
      <c r="F372" t="str">
        <f t="shared" si="46"/>
        <v/>
      </c>
      <c r="J372" t="s">
        <v>495</v>
      </c>
      <c r="K372">
        <v>9499.1936000000005</v>
      </c>
      <c r="L372">
        <v>-1349.8543</v>
      </c>
      <c r="M372">
        <v>-900.00739999999996</v>
      </c>
      <c r="N372">
        <f t="shared" ref="N372:N390" si="52">RIGHT(J372,LEN(J372)-FIND("_",J372,FIND("_",J372)+1))*1</f>
        <v>370</v>
      </c>
      <c r="O372" t="str">
        <f t="shared" si="47"/>
        <v/>
      </c>
      <c r="Q372">
        <f t="shared" si="48"/>
        <v>9499.1936000000005</v>
      </c>
      <c r="R372">
        <f t="shared" si="49"/>
        <v>1.629999999931897E-2</v>
      </c>
      <c r="S372">
        <f t="shared" si="50"/>
        <v>3.2375999999885607E-2</v>
      </c>
      <c r="T372">
        <f t="shared" si="51"/>
        <v>1.1657000000013795E-2</v>
      </c>
      <c r="Y372" t="s">
        <v>495</v>
      </c>
      <c r="Z372">
        <v>9499.2104999999992</v>
      </c>
      <c r="AA372">
        <v>-1349.8215</v>
      </c>
      <c r="AB372">
        <v>-899.99559999999997</v>
      </c>
    </row>
    <row r="373" spans="1:28" x14ac:dyDescent="0.2">
      <c r="A373" t="s">
        <v>496</v>
      </c>
      <c r="B373">
        <v>8999.2014710000003</v>
      </c>
      <c r="C373">
        <v>-1349.8310859999999</v>
      </c>
      <c r="D373">
        <v>-932.98812699999996</v>
      </c>
      <c r="E373">
        <f t="shared" si="45"/>
        <v>371</v>
      </c>
      <c r="F373" t="str">
        <f t="shared" si="46"/>
        <v/>
      </c>
      <c r="J373" t="s">
        <v>496</v>
      </c>
      <c r="K373">
        <v>8999.1772000000001</v>
      </c>
      <c r="L373">
        <v>-1349.8417999999999</v>
      </c>
      <c r="M373">
        <v>-932.99</v>
      </c>
      <c r="N373">
        <f t="shared" si="52"/>
        <v>371</v>
      </c>
      <c r="O373" t="str">
        <f t="shared" si="47"/>
        <v/>
      </c>
      <c r="Q373">
        <f t="shared" si="48"/>
        <v>8999.1772000000001</v>
      </c>
      <c r="R373">
        <f t="shared" si="49"/>
        <v>2.4271000000226195E-2</v>
      </c>
      <c r="S373">
        <f t="shared" si="50"/>
        <v>1.0714000000007218E-2</v>
      </c>
      <c r="T373">
        <f t="shared" si="51"/>
        <v>1.8730000000459768E-3</v>
      </c>
      <c r="Y373" t="s">
        <v>496</v>
      </c>
      <c r="Z373">
        <v>8999.2021000000004</v>
      </c>
      <c r="AA373">
        <v>-1349.8309999999999</v>
      </c>
      <c r="AB373">
        <v>-932.98810000000003</v>
      </c>
    </row>
    <row r="374" spans="1:28" x14ac:dyDescent="0.2">
      <c r="A374" t="s">
        <v>497</v>
      </c>
      <c r="B374">
        <v>8499.1925040000006</v>
      </c>
      <c r="C374">
        <v>-1349.8376960000001</v>
      </c>
      <c r="D374">
        <v>-966.97260200000005</v>
      </c>
      <c r="E374">
        <f t="shared" si="45"/>
        <v>372</v>
      </c>
      <c r="F374" t="str">
        <f t="shared" si="46"/>
        <v/>
      </c>
      <c r="J374" t="s">
        <v>497</v>
      </c>
      <c r="K374">
        <v>8499.1538999999993</v>
      </c>
      <c r="L374">
        <v>-1349.8726999999999</v>
      </c>
      <c r="M374">
        <v>-966.98810000000003</v>
      </c>
      <c r="N374">
        <f t="shared" si="52"/>
        <v>372</v>
      </c>
      <c r="O374" t="str">
        <f t="shared" si="47"/>
        <v/>
      </c>
      <c r="Q374">
        <f t="shared" si="48"/>
        <v>8499.1538999999993</v>
      </c>
      <c r="R374">
        <f t="shared" si="49"/>
        <v>3.8604000001214445E-2</v>
      </c>
      <c r="S374">
        <f t="shared" si="50"/>
        <v>3.5003999999844382E-2</v>
      </c>
      <c r="T374">
        <f t="shared" si="51"/>
        <v>1.5497999999979584E-2</v>
      </c>
      <c r="Y374" t="s">
        <v>497</v>
      </c>
      <c r="Z374">
        <v>8499.1934000000001</v>
      </c>
      <c r="AA374">
        <v>-1349.8371999999999</v>
      </c>
      <c r="AB374">
        <v>-966.97260000000006</v>
      </c>
    </row>
    <row r="375" spans="1:28" x14ac:dyDescent="0.2">
      <c r="A375" t="s">
        <v>498</v>
      </c>
      <c r="B375">
        <v>7999.2759340000002</v>
      </c>
      <c r="C375">
        <v>-1349.832124</v>
      </c>
      <c r="D375">
        <v>-999.98070499999994</v>
      </c>
      <c r="E375">
        <f t="shared" si="45"/>
        <v>373</v>
      </c>
      <c r="F375" t="str">
        <f t="shared" si="46"/>
        <v/>
      </c>
      <c r="J375" t="s">
        <v>498</v>
      </c>
      <c r="K375">
        <v>7999.2417999999998</v>
      </c>
      <c r="L375">
        <v>-1349.9052999999999</v>
      </c>
      <c r="M375">
        <v>-999.98940000000005</v>
      </c>
      <c r="N375">
        <f t="shared" si="52"/>
        <v>373</v>
      </c>
      <c r="O375" t="str">
        <f t="shared" si="47"/>
        <v/>
      </c>
      <c r="Q375">
        <f t="shared" si="48"/>
        <v>7999.2417999999998</v>
      </c>
      <c r="R375">
        <f t="shared" si="49"/>
        <v>3.4134000000449305E-2</v>
      </c>
      <c r="S375">
        <f t="shared" si="50"/>
        <v>7.3175999999875785E-2</v>
      </c>
      <c r="T375">
        <f t="shared" si="51"/>
        <v>8.6950000001024819E-3</v>
      </c>
      <c r="Y375" t="s">
        <v>498</v>
      </c>
      <c r="Z375">
        <v>7999.277</v>
      </c>
      <c r="AA375">
        <v>-1349.8311000000001</v>
      </c>
      <c r="AB375">
        <v>-999.98099999999999</v>
      </c>
    </row>
    <row r="376" spans="1:28" x14ac:dyDescent="0.2">
      <c r="A376" t="s">
        <v>499</v>
      </c>
      <c r="B376">
        <v>7499.2692150000003</v>
      </c>
      <c r="C376">
        <v>-1349.830373</v>
      </c>
      <c r="D376">
        <v>-1032.981493</v>
      </c>
      <c r="E376">
        <f t="shared" si="45"/>
        <v>374</v>
      </c>
      <c r="F376" t="str">
        <f t="shared" si="46"/>
        <v/>
      </c>
      <c r="J376" t="s">
        <v>499</v>
      </c>
      <c r="K376">
        <v>7499.2174000000005</v>
      </c>
      <c r="L376">
        <v>-1349.8649</v>
      </c>
      <c r="M376">
        <v>-1032.9721</v>
      </c>
      <c r="N376">
        <f t="shared" si="52"/>
        <v>374</v>
      </c>
      <c r="O376" t="str">
        <f t="shared" si="47"/>
        <v/>
      </c>
      <c r="Q376">
        <f t="shared" si="48"/>
        <v>7499.2174000000005</v>
      </c>
      <c r="R376">
        <f t="shared" si="49"/>
        <v>5.1814999999805877E-2</v>
      </c>
      <c r="S376">
        <f t="shared" si="50"/>
        <v>3.452700000002551E-2</v>
      </c>
      <c r="T376">
        <f t="shared" si="51"/>
        <v>-9.3930000000455038E-3</v>
      </c>
      <c r="Y376" t="s">
        <v>499</v>
      </c>
      <c r="Z376">
        <v>7499.2709000000004</v>
      </c>
      <c r="AA376">
        <v>-1349.8296</v>
      </c>
      <c r="AB376">
        <v>-1032.9819</v>
      </c>
    </row>
    <row r="377" spans="1:28" x14ac:dyDescent="0.2">
      <c r="A377" t="s">
        <v>500</v>
      </c>
      <c r="B377">
        <v>6999.2538409999997</v>
      </c>
      <c r="C377">
        <v>-1349.8588709999999</v>
      </c>
      <c r="D377">
        <v>-1066.9817840000001</v>
      </c>
      <c r="E377">
        <f t="shared" si="45"/>
        <v>375</v>
      </c>
      <c r="F377" t="str">
        <f t="shared" si="46"/>
        <v/>
      </c>
      <c r="J377" t="s">
        <v>500</v>
      </c>
      <c r="K377">
        <v>6999.1926999999996</v>
      </c>
      <c r="L377">
        <v>-1349.8905999999999</v>
      </c>
      <c r="M377">
        <v>-1066.9922999999999</v>
      </c>
      <c r="N377">
        <f t="shared" si="52"/>
        <v>375</v>
      </c>
      <c r="O377" t="str">
        <f t="shared" si="47"/>
        <v/>
      </c>
      <c r="Q377">
        <f t="shared" si="48"/>
        <v>6999.1926999999996</v>
      </c>
      <c r="R377">
        <f t="shared" si="49"/>
        <v>6.1141000000134227E-2</v>
      </c>
      <c r="S377">
        <f t="shared" si="50"/>
        <v>3.1729000000041196E-2</v>
      </c>
      <c r="T377">
        <f t="shared" si="51"/>
        <v>1.0515999999824999E-2</v>
      </c>
      <c r="Y377" t="s">
        <v>500</v>
      </c>
      <c r="Z377">
        <v>6999.2561999999998</v>
      </c>
      <c r="AA377">
        <v>-1349.8579999999999</v>
      </c>
      <c r="AB377">
        <v>-1066.982</v>
      </c>
    </row>
    <row r="378" spans="1:28" x14ac:dyDescent="0.2">
      <c r="A378" t="s">
        <v>501</v>
      </c>
      <c r="B378">
        <v>6499.2033069999998</v>
      </c>
      <c r="C378">
        <v>-1349.9081180000001</v>
      </c>
      <c r="D378">
        <v>-1099.970145</v>
      </c>
      <c r="E378">
        <f t="shared" si="45"/>
        <v>376</v>
      </c>
      <c r="F378" t="str">
        <f t="shared" si="46"/>
        <v/>
      </c>
      <c r="J378" t="s">
        <v>501</v>
      </c>
      <c r="K378">
        <v>6499.1485000000002</v>
      </c>
      <c r="L378">
        <v>-1349.9231</v>
      </c>
      <c r="M378">
        <v>-1099.9894999999999</v>
      </c>
      <c r="N378">
        <f t="shared" si="52"/>
        <v>376</v>
      </c>
      <c r="O378" t="str">
        <f t="shared" si="47"/>
        <v/>
      </c>
      <c r="Q378">
        <f t="shared" si="48"/>
        <v>6499.1485000000002</v>
      </c>
      <c r="R378">
        <f t="shared" si="49"/>
        <v>5.4806999999527761E-2</v>
      </c>
      <c r="S378">
        <f t="shared" si="50"/>
        <v>1.4981999999918116E-2</v>
      </c>
      <c r="T378">
        <f t="shared" si="51"/>
        <v>1.9354999999904976E-2</v>
      </c>
      <c r="Y378" t="s">
        <v>501</v>
      </c>
      <c r="Z378">
        <v>6499.2057000000004</v>
      </c>
      <c r="AA378">
        <v>-1349.9076</v>
      </c>
      <c r="AB378">
        <v>-1099.9701</v>
      </c>
    </row>
    <row r="379" spans="1:28" x14ac:dyDescent="0.2">
      <c r="A379" t="s">
        <v>502</v>
      </c>
      <c r="B379">
        <v>5999.2133059999996</v>
      </c>
      <c r="C379">
        <v>-1349.9140150000001</v>
      </c>
      <c r="D379">
        <v>-1132.9702319999999</v>
      </c>
      <c r="E379">
        <f t="shared" si="45"/>
        <v>377</v>
      </c>
      <c r="F379" t="str">
        <f t="shared" si="46"/>
        <v/>
      </c>
      <c r="J379" t="s">
        <v>502</v>
      </c>
      <c r="K379">
        <v>5999.1576999999997</v>
      </c>
      <c r="L379">
        <v>-1349.9666</v>
      </c>
      <c r="M379">
        <v>-1132.9975999999999</v>
      </c>
      <c r="N379">
        <f t="shared" si="52"/>
        <v>377</v>
      </c>
      <c r="O379" t="str">
        <f t="shared" si="47"/>
        <v/>
      </c>
      <c r="Q379">
        <f t="shared" si="48"/>
        <v>5999.1576999999997</v>
      </c>
      <c r="R379">
        <f t="shared" si="49"/>
        <v>5.5605999999897904E-2</v>
      </c>
      <c r="S379">
        <f t="shared" si="50"/>
        <v>5.2584999999908177E-2</v>
      </c>
      <c r="T379">
        <f t="shared" si="51"/>
        <v>2.736800000002404E-2</v>
      </c>
      <c r="Y379" t="s">
        <v>502</v>
      </c>
      <c r="Z379">
        <v>5999.2163</v>
      </c>
      <c r="AA379">
        <v>-1349.9129</v>
      </c>
      <c r="AB379">
        <v>-1132.9699000000001</v>
      </c>
    </row>
    <row r="380" spans="1:28" x14ac:dyDescent="0.2">
      <c r="A380" t="s">
        <v>503</v>
      </c>
      <c r="B380">
        <v>5499.1847209999996</v>
      </c>
      <c r="C380">
        <v>-1349.9355</v>
      </c>
      <c r="D380">
        <v>-1166.9589390000001</v>
      </c>
      <c r="E380">
        <f t="shared" si="45"/>
        <v>378</v>
      </c>
      <c r="F380" t="str">
        <f t="shared" si="46"/>
        <v/>
      </c>
      <c r="J380" t="s">
        <v>503</v>
      </c>
      <c r="K380">
        <v>5499.1306000000004</v>
      </c>
      <c r="L380">
        <v>-1349.915</v>
      </c>
      <c r="M380">
        <v>-1166.9704999999999</v>
      </c>
      <c r="N380">
        <f t="shared" si="52"/>
        <v>378</v>
      </c>
      <c r="O380" t="str">
        <f t="shared" si="47"/>
        <v/>
      </c>
      <c r="Q380">
        <f t="shared" si="48"/>
        <v>5499.1306000000004</v>
      </c>
      <c r="R380">
        <f t="shared" si="49"/>
        <v>5.4120999999213382E-2</v>
      </c>
      <c r="S380">
        <f t="shared" si="50"/>
        <v>-2.0500000000083674E-2</v>
      </c>
      <c r="T380">
        <f t="shared" si="51"/>
        <v>1.1560999999801425E-2</v>
      </c>
      <c r="Y380" t="s">
        <v>503</v>
      </c>
      <c r="Z380">
        <v>5499.1877000000004</v>
      </c>
      <c r="AA380">
        <v>-1349.9358</v>
      </c>
      <c r="AB380">
        <v>-1166.9586999999999</v>
      </c>
    </row>
    <row r="381" spans="1:28" x14ac:dyDescent="0.2">
      <c r="A381" t="s">
        <v>504</v>
      </c>
      <c r="B381">
        <v>4999.1690619999999</v>
      </c>
      <c r="C381">
        <v>-1349.9459979999999</v>
      </c>
      <c r="D381">
        <v>-1199.961673</v>
      </c>
      <c r="E381">
        <f t="shared" si="45"/>
        <v>379</v>
      </c>
      <c r="F381" t="str">
        <f t="shared" si="46"/>
        <v/>
      </c>
      <c r="J381" t="s">
        <v>504</v>
      </c>
      <c r="K381">
        <v>4999.1139999999996</v>
      </c>
      <c r="L381">
        <v>-1349.9962</v>
      </c>
      <c r="M381">
        <v>-1199.9719</v>
      </c>
      <c r="N381">
        <f t="shared" si="52"/>
        <v>379</v>
      </c>
      <c r="O381" t="str">
        <f t="shared" si="47"/>
        <v/>
      </c>
      <c r="Q381">
        <f t="shared" si="48"/>
        <v>4999.1139999999996</v>
      </c>
      <c r="R381">
        <f t="shared" si="49"/>
        <v>5.5062000000361877E-2</v>
      </c>
      <c r="S381">
        <f t="shared" si="50"/>
        <v>5.0202000000126645E-2</v>
      </c>
      <c r="T381">
        <f t="shared" si="51"/>
        <v>1.0226999999986219E-2</v>
      </c>
      <c r="Y381" t="s">
        <v>504</v>
      </c>
      <c r="Z381">
        <v>4999.1727000000001</v>
      </c>
      <c r="AA381">
        <v>-1349.9447</v>
      </c>
      <c r="AB381">
        <v>-1199.9612999999999</v>
      </c>
    </row>
    <row r="382" spans="1:28" x14ac:dyDescent="0.2">
      <c r="A382" t="s">
        <v>505</v>
      </c>
      <c r="B382">
        <v>4499.1193620000004</v>
      </c>
      <c r="C382">
        <v>-1349.954878</v>
      </c>
      <c r="D382">
        <v>-1232.9615759999999</v>
      </c>
      <c r="E382">
        <f t="shared" si="45"/>
        <v>380</v>
      </c>
      <c r="F382" t="str">
        <f t="shared" si="46"/>
        <v/>
      </c>
      <c r="J382" t="s">
        <v>505</v>
      </c>
      <c r="K382">
        <v>4499.0663999999997</v>
      </c>
      <c r="L382">
        <v>-1350.0141000000001</v>
      </c>
      <c r="M382">
        <v>-1232.9947</v>
      </c>
      <c r="N382">
        <f t="shared" si="52"/>
        <v>380</v>
      </c>
      <c r="O382" t="str">
        <f t="shared" si="47"/>
        <v/>
      </c>
      <c r="Q382">
        <f t="shared" si="48"/>
        <v>4499.0663999999997</v>
      </c>
      <c r="R382">
        <f t="shared" si="49"/>
        <v>5.2962000000661646E-2</v>
      </c>
      <c r="S382">
        <f t="shared" si="50"/>
        <v>5.9222000000090702E-2</v>
      </c>
      <c r="T382">
        <f t="shared" si="51"/>
        <v>3.3124000000043452E-2</v>
      </c>
      <c r="Y382" t="s">
        <v>505</v>
      </c>
      <c r="Z382">
        <v>4499.1232</v>
      </c>
      <c r="AA382">
        <v>-1349.9531999999999</v>
      </c>
      <c r="AB382">
        <v>-1232.9604999999999</v>
      </c>
    </row>
    <row r="383" spans="1:28" x14ac:dyDescent="0.2">
      <c r="A383" t="s">
        <v>506</v>
      </c>
      <c r="B383">
        <v>3999.1561550000001</v>
      </c>
      <c r="C383">
        <v>-1349.9449689999999</v>
      </c>
      <c r="D383">
        <v>-1266.959038</v>
      </c>
      <c r="E383">
        <f t="shared" si="45"/>
        <v>381</v>
      </c>
      <c r="F383" t="str">
        <f t="shared" si="46"/>
        <v/>
      </c>
      <c r="J383" t="s">
        <v>506</v>
      </c>
      <c r="K383">
        <v>3999.1052</v>
      </c>
      <c r="L383">
        <v>-1349.9908</v>
      </c>
      <c r="M383">
        <v>-1266.9978000000001</v>
      </c>
      <c r="N383">
        <f t="shared" si="52"/>
        <v>381</v>
      </c>
      <c r="O383" t="str">
        <f t="shared" si="47"/>
        <v/>
      </c>
      <c r="Q383">
        <f t="shared" si="48"/>
        <v>3999.1052</v>
      </c>
      <c r="R383">
        <f t="shared" si="49"/>
        <v>5.0955000000158179E-2</v>
      </c>
      <c r="S383">
        <f t="shared" si="50"/>
        <v>4.5831000000134736E-2</v>
      </c>
      <c r="T383">
        <f t="shared" si="51"/>
        <v>3.8762000000133412E-2</v>
      </c>
      <c r="Y383" t="s">
        <v>506</v>
      </c>
      <c r="Z383">
        <v>3999.1601000000001</v>
      </c>
      <c r="AA383">
        <v>-1349.9435000000001</v>
      </c>
      <c r="AB383">
        <v>-1266.9575</v>
      </c>
    </row>
    <row r="384" spans="1:28" x14ac:dyDescent="0.2">
      <c r="A384" t="s">
        <v>507</v>
      </c>
      <c r="B384">
        <v>3499.1620979999998</v>
      </c>
      <c r="C384">
        <v>-1349.943225</v>
      </c>
      <c r="D384">
        <v>-1299.9595059999999</v>
      </c>
      <c r="E384">
        <f t="shared" si="45"/>
        <v>382</v>
      </c>
      <c r="F384" t="str">
        <f t="shared" si="46"/>
        <v/>
      </c>
      <c r="J384" t="s">
        <v>507</v>
      </c>
      <c r="K384">
        <v>3499.1073999999999</v>
      </c>
      <c r="L384">
        <v>-1350.001</v>
      </c>
      <c r="M384">
        <v>-1299.9795999999999</v>
      </c>
      <c r="N384">
        <f t="shared" si="52"/>
        <v>382</v>
      </c>
      <c r="O384" t="str">
        <f t="shared" si="47"/>
        <v/>
      </c>
      <c r="Q384">
        <f t="shared" si="48"/>
        <v>3499.1073999999999</v>
      </c>
      <c r="R384">
        <f t="shared" si="49"/>
        <v>5.4697999999916647E-2</v>
      </c>
      <c r="S384">
        <f t="shared" si="50"/>
        <v>5.777499999999236E-2</v>
      </c>
      <c r="T384">
        <f t="shared" si="51"/>
        <v>2.0093999999971857E-2</v>
      </c>
      <c r="Y384" t="s">
        <v>507</v>
      </c>
      <c r="Z384">
        <v>3499.1667000000002</v>
      </c>
      <c r="AA384">
        <v>-1349.9412</v>
      </c>
      <c r="AB384">
        <v>-1299.9584</v>
      </c>
    </row>
    <row r="385" spans="1:28" x14ac:dyDescent="0.2">
      <c r="A385" t="s">
        <v>508</v>
      </c>
      <c r="B385">
        <v>2999.1528640000001</v>
      </c>
      <c r="C385">
        <v>-1349.939989</v>
      </c>
      <c r="D385">
        <v>-1332.9392130000001</v>
      </c>
      <c r="E385">
        <f t="shared" si="45"/>
        <v>383</v>
      </c>
      <c r="F385" t="str">
        <f t="shared" si="46"/>
        <v/>
      </c>
      <c r="J385" t="s">
        <v>508</v>
      </c>
      <c r="K385">
        <v>2999.0844000000002</v>
      </c>
      <c r="L385">
        <v>-1349.9356</v>
      </c>
      <c r="M385">
        <v>-1332.9553000000001</v>
      </c>
      <c r="N385">
        <f t="shared" si="52"/>
        <v>383</v>
      </c>
      <c r="O385" t="str">
        <f t="shared" si="47"/>
        <v/>
      </c>
      <c r="Q385">
        <f t="shared" si="48"/>
        <v>2999.0844000000002</v>
      </c>
      <c r="R385">
        <f t="shared" si="49"/>
        <v>6.846399999994901E-2</v>
      </c>
      <c r="S385">
        <f t="shared" si="50"/>
        <v>-4.3889999999464635E-3</v>
      </c>
      <c r="T385">
        <f t="shared" si="51"/>
        <v>1.6086999999970431E-2</v>
      </c>
      <c r="Y385" t="s">
        <v>508</v>
      </c>
      <c r="Z385">
        <v>2999.1590000000001</v>
      </c>
      <c r="AA385">
        <v>-1349.9404999999999</v>
      </c>
      <c r="AB385">
        <v>-1332.9382000000001</v>
      </c>
    </row>
    <row r="386" spans="1:28" x14ac:dyDescent="0.2">
      <c r="A386" t="s">
        <v>509</v>
      </c>
      <c r="B386">
        <v>2499.1603730000002</v>
      </c>
      <c r="C386">
        <v>-1349.913734</v>
      </c>
      <c r="D386">
        <v>-1366.943162</v>
      </c>
      <c r="E386">
        <f t="shared" si="45"/>
        <v>384</v>
      </c>
      <c r="F386" t="str">
        <f t="shared" si="46"/>
        <v/>
      </c>
      <c r="J386" t="s">
        <v>509</v>
      </c>
      <c r="K386">
        <v>2499.0947000000001</v>
      </c>
      <c r="L386">
        <v>-1349.9733000000001</v>
      </c>
      <c r="M386">
        <v>-1366.9931999999999</v>
      </c>
      <c r="N386">
        <f t="shared" si="52"/>
        <v>384</v>
      </c>
      <c r="O386" t="str">
        <f t="shared" si="47"/>
        <v/>
      </c>
      <c r="Q386">
        <f t="shared" si="48"/>
        <v>2499.0947000000001</v>
      </c>
      <c r="R386">
        <f t="shared" si="49"/>
        <v>6.5673000000060711E-2</v>
      </c>
      <c r="S386">
        <f t="shared" si="50"/>
        <v>5.956600000013168E-2</v>
      </c>
      <c r="T386">
        <f t="shared" si="51"/>
        <v>5.0037999999858584E-2</v>
      </c>
      <c r="Y386" t="s">
        <v>509</v>
      </c>
      <c r="Z386">
        <v>2499.1667000000002</v>
      </c>
      <c r="AA386">
        <v>-1349.9111</v>
      </c>
      <c r="AB386">
        <v>-1366.9402</v>
      </c>
    </row>
    <row r="387" spans="1:28" x14ac:dyDescent="0.2">
      <c r="A387" t="s">
        <v>510</v>
      </c>
      <c r="B387">
        <v>1999.1906730000001</v>
      </c>
      <c r="C387">
        <v>-1349.890011</v>
      </c>
      <c r="D387">
        <v>-1399.9371610000001</v>
      </c>
      <c r="E387">
        <f t="shared" si="45"/>
        <v>385</v>
      </c>
      <c r="F387" t="str">
        <f t="shared" si="46"/>
        <v/>
      </c>
      <c r="J387" t="s">
        <v>510</v>
      </c>
      <c r="K387">
        <v>1999.1382000000001</v>
      </c>
      <c r="L387">
        <v>-1349.9469999999999</v>
      </c>
      <c r="M387">
        <v>-1399.9374</v>
      </c>
      <c r="N387">
        <f t="shared" si="52"/>
        <v>385</v>
      </c>
      <c r="O387" t="str">
        <f t="shared" si="47"/>
        <v/>
      </c>
      <c r="Q387">
        <f t="shared" si="48"/>
        <v>1999.1382000000001</v>
      </c>
      <c r="R387">
        <f t="shared" si="49"/>
        <v>5.2472999999963577E-2</v>
      </c>
      <c r="S387">
        <f t="shared" si="50"/>
        <v>5.6988999999930456E-2</v>
      </c>
      <c r="T387">
        <f t="shared" si="51"/>
        <v>2.389999999650172E-4</v>
      </c>
      <c r="Y387" t="s">
        <v>510</v>
      </c>
      <c r="Z387">
        <v>1999.1960999999999</v>
      </c>
      <c r="AA387">
        <v>-1349.8870999999999</v>
      </c>
      <c r="AB387">
        <v>-1399.9367999999999</v>
      </c>
    </row>
    <row r="388" spans="1:28" x14ac:dyDescent="0.2">
      <c r="A388" t="s">
        <v>511</v>
      </c>
      <c r="B388">
        <v>1499.1674559999999</v>
      </c>
      <c r="C388">
        <v>-1349.8685390000001</v>
      </c>
      <c r="D388">
        <v>-1432.9344900000001</v>
      </c>
      <c r="E388">
        <f t="shared" ref="E388:E451" si="53">RIGHT(A388,LEN(A388)-FIND("_",A388,FIND("_",A388)+1))*1</f>
        <v>386</v>
      </c>
      <c r="F388" t="str">
        <f t="shared" ref="F388:F451" si="54">IF(E388&lt;&gt;1+E387,"err","")</f>
        <v/>
      </c>
      <c r="J388" t="s">
        <v>511</v>
      </c>
      <c r="K388">
        <v>1499.1111000000001</v>
      </c>
      <c r="L388">
        <v>-1349.9297999999999</v>
      </c>
      <c r="M388">
        <v>-1432.9613999999999</v>
      </c>
      <c r="N388">
        <f t="shared" si="52"/>
        <v>386</v>
      </c>
      <c r="O388" t="str">
        <f t="shared" ref="O388:O390" si="55">IF(N388&lt;&gt;1+N387,"err","")</f>
        <v/>
      </c>
      <c r="Q388">
        <f t="shared" ref="Q388:Q390" si="56">K388</f>
        <v>1499.1111000000001</v>
      </c>
      <c r="R388">
        <f t="shared" ref="R388:R390" si="57">B388-K388</f>
        <v>5.6355999999823325E-2</v>
      </c>
      <c r="S388">
        <f t="shared" ref="S388:S390" si="58">C388-L388</f>
        <v>6.1260999999831256E-2</v>
      </c>
      <c r="T388">
        <f t="shared" ref="T388:T390" si="59">D388-M388</f>
        <v>2.6909999999816137E-2</v>
      </c>
      <c r="Y388" t="s">
        <v>511</v>
      </c>
      <c r="Z388">
        <v>1499.1736000000001</v>
      </c>
      <c r="AA388">
        <v>-1349.8651</v>
      </c>
      <c r="AB388">
        <v>-1432.9323999999999</v>
      </c>
    </row>
    <row r="389" spans="1:28" x14ac:dyDescent="0.2">
      <c r="A389" t="s">
        <v>512</v>
      </c>
      <c r="B389">
        <v>999.13601100000005</v>
      </c>
      <c r="C389">
        <v>-1349.8700269999999</v>
      </c>
      <c r="D389">
        <v>-1466.922681</v>
      </c>
      <c r="E389">
        <f t="shared" si="53"/>
        <v>387</v>
      </c>
      <c r="F389" t="str">
        <f t="shared" si="54"/>
        <v/>
      </c>
      <c r="J389" t="s">
        <v>512</v>
      </c>
      <c r="K389">
        <v>999.08</v>
      </c>
      <c r="L389">
        <v>-1349.9195</v>
      </c>
      <c r="M389">
        <v>-1466.9368999999999</v>
      </c>
      <c r="N389">
        <f t="shared" si="52"/>
        <v>387</v>
      </c>
      <c r="O389" t="str">
        <f t="shared" si="55"/>
        <v/>
      </c>
      <c r="Q389">
        <f t="shared" si="56"/>
        <v>999.08</v>
      </c>
      <c r="R389">
        <f t="shared" si="57"/>
        <v>5.6011000000012245E-2</v>
      </c>
      <c r="S389">
        <f t="shared" si="58"/>
        <v>4.9473000000034517E-2</v>
      </c>
      <c r="T389">
        <f t="shared" si="59"/>
        <v>1.421899999991183E-2</v>
      </c>
      <c r="Y389" t="s">
        <v>512</v>
      </c>
      <c r="Z389">
        <v>999.14250000000004</v>
      </c>
      <c r="AA389">
        <v>-1349.867</v>
      </c>
      <c r="AB389">
        <v>-1466.9213</v>
      </c>
    </row>
    <row r="390" spans="1:28" x14ac:dyDescent="0.2">
      <c r="A390" t="s">
        <v>513</v>
      </c>
      <c r="B390">
        <v>499.08143999999999</v>
      </c>
      <c r="C390">
        <v>-1349.878663</v>
      </c>
      <c r="D390">
        <v>-1499.931554</v>
      </c>
      <c r="E390">
        <f t="shared" si="53"/>
        <v>388</v>
      </c>
      <c r="F390" t="str">
        <f t="shared" si="54"/>
        <v/>
      </c>
      <c r="J390" t="s">
        <v>513</v>
      </c>
      <c r="K390">
        <v>499.03030000000001</v>
      </c>
      <c r="L390">
        <v>-1349.9342999999999</v>
      </c>
      <c r="M390">
        <v>-1499.9426000000001</v>
      </c>
      <c r="N390">
        <f t="shared" si="52"/>
        <v>388</v>
      </c>
      <c r="O390" t="str">
        <f t="shared" si="55"/>
        <v/>
      </c>
      <c r="Q390">
        <f t="shared" si="56"/>
        <v>499.03030000000001</v>
      </c>
      <c r="R390">
        <f t="shared" si="57"/>
        <v>5.1139999999975316E-2</v>
      </c>
      <c r="S390">
        <f t="shared" si="58"/>
        <v>5.5636999999933323E-2</v>
      </c>
      <c r="T390">
        <f t="shared" si="59"/>
        <v>1.1046000000078493E-2</v>
      </c>
      <c r="Y390" t="s">
        <v>513</v>
      </c>
      <c r="Z390">
        <v>499.08769999999998</v>
      </c>
      <c r="AA390">
        <v>-1349.8749</v>
      </c>
      <c r="AB390">
        <v>-1499.9303</v>
      </c>
    </row>
    <row r="391" spans="1:28" x14ac:dyDescent="0.2">
      <c r="A391" t="s">
        <v>766</v>
      </c>
      <c r="B391">
        <v>32999.645562999998</v>
      </c>
      <c r="C391">
        <v>-1350.6436659999999</v>
      </c>
      <c r="D391">
        <v>-1900.2317350000001</v>
      </c>
      <c r="E391">
        <f t="shared" si="53"/>
        <v>1</v>
      </c>
      <c r="F391" t="str">
        <f t="shared" si="54"/>
        <v>err</v>
      </c>
    </row>
    <row r="392" spans="1:28" x14ac:dyDescent="0.2">
      <c r="A392" t="s">
        <v>767</v>
      </c>
      <c r="B392">
        <v>32999.639751000002</v>
      </c>
      <c r="C392">
        <v>-1200.6339170000001</v>
      </c>
      <c r="D392">
        <v>-1900.236823</v>
      </c>
      <c r="E392">
        <f t="shared" si="53"/>
        <v>2</v>
      </c>
      <c r="F392" t="str">
        <f t="shared" si="54"/>
        <v/>
      </c>
    </row>
    <row r="393" spans="1:28" x14ac:dyDescent="0.2">
      <c r="A393" t="s">
        <v>768</v>
      </c>
      <c r="B393">
        <v>32999.642769999999</v>
      </c>
      <c r="C393">
        <v>-1050.6332769999999</v>
      </c>
      <c r="D393">
        <v>-1900.240534</v>
      </c>
      <c r="E393">
        <f t="shared" si="53"/>
        <v>3</v>
      </c>
      <c r="F393" t="str">
        <f t="shared" si="54"/>
        <v/>
      </c>
    </row>
    <row r="394" spans="1:28" x14ac:dyDescent="0.2">
      <c r="A394" t="s">
        <v>769</v>
      </c>
      <c r="B394">
        <v>32999.656280000003</v>
      </c>
      <c r="C394">
        <v>-900.62599899999998</v>
      </c>
      <c r="D394">
        <v>-1900.2503919999999</v>
      </c>
      <c r="E394">
        <f t="shared" si="53"/>
        <v>4</v>
      </c>
      <c r="F394" t="str">
        <f t="shared" si="54"/>
        <v/>
      </c>
    </row>
    <row r="395" spans="1:28" x14ac:dyDescent="0.2">
      <c r="A395" t="s">
        <v>770</v>
      </c>
      <c r="B395">
        <v>32999.658972999998</v>
      </c>
      <c r="C395">
        <v>-750.61622499999999</v>
      </c>
      <c r="D395">
        <v>-1900.2572339999999</v>
      </c>
      <c r="E395">
        <f t="shared" si="53"/>
        <v>5</v>
      </c>
      <c r="F395" t="str">
        <f t="shared" si="54"/>
        <v/>
      </c>
    </row>
    <row r="396" spans="1:28" x14ac:dyDescent="0.2">
      <c r="A396" t="s">
        <v>771</v>
      </c>
      <c r="B396">
        <v>32999.656888999998</v>
      </c>
      <c r="C396">
        <v>-600.61000100000001</v>
      </c>
      <c r="D396">
        <v>-1900.2604610000001</v>
      </c>
      <c r="E396">
        <f t="shared" si="53"/>
        <v>6</v>
      </c>
      <c r="F396" t="str">
        <f t="shared" si="54"/>
        <v/>
      </c>
    </row>
    <row r="397" spans="1:28" x14ac:dyDescent="0.2">
      <c r="A397" t="s">
        <v>772</v>
      </c>
      <c r="B397">
        <v>32999.646851999998</v>
      </c>
      <c r="C397">
        <v>-450.62242400000002</v>
      </c>
      <c r="D397">
        <v>-1900.2563299999999</v>
      </c>
      <c r="E397">
        <f t="shared" si="53"/>
        <v>7</v>
      </c>
      <c r="F397" t="str">
        <f t="shared" si="54"/>
        <v/>
      </c>
    </row>
    <row r="398" spans="1:28" x14ac:dyDescent="0.2">
      <c r="A398" t="s">
        <v>773</v>
      </c>
      <c r="B398">
        <v>32999.658453999997</v>
      </c>
      <c r="C398">
        <v>-300.629955</v>
      </c>
      <c r="D398">
        <v>-1900.2624410000001</v>
      </c>
      <c r="E398">
        <f t="shared" si="53"/>
        <v>8</v>
      </c>
      <c r="F398" t="str">
        <f t="shared" si="54"/>
        <v/>
      </c>
    </row>
    <row r="399" spans="1:28" x14ac:dyDescent="0.2">
      <c r="A399" t="s">
        <v>774</v>
      </c>
      <c r="B399">
        <v>32999.659626000001</v>
      </c>
      <c r="C399">
        <v>-150.64808500000001</v>
      </c>
      <c r="D399">
        <v>-1900.259454</v>
      </c>
      <c r="E399">
        <f t="shared" si="53"/>
        <v>9</v>
      </c>
      <c r="F399" t="str">
        <f t="shared" si="54"/>
        <v/>
      </c>
    </row>
    <row r="400" spans="1:28" x14ac:dyDescent="0.2">
      <c r="A400" t="s">
        <v>775</v>
      </c>
      <c r="B400">
        <v>32999.668475999999</v>
      </c>
      <c r="C400">
        <v>-0.63809899999999997</v>
      </c>
      <c r="D400">
        <v>-1900.2615479999999</v>
      </c>
      <c r="E400">
        <f t="shared" si="53"/>
        <v>10</v>
      </c>
      <c r="F400" t="str">
        <f t="shared" si="54"/>
        <v/>
      </c>
    </row>
    <row r="401" spans="1:6" x14ac:dyDescent="0.2">
      <c r="A401" t="s">
        <v>776</v>
      </c>
      <c r="B401">
        <v>32999.665652000003</v>
      </c>
      <c r="C401">
        <v>149.359352</v>
      </c>
      <c r="D401">
        <v>-1900.2570450000001</v>
      </c>
      <c r="E401">
        <f t="shared" si="53"/>
        <v>11</v>
      </c>
      <c r="F401" t="str">
        <f t="shared" si="54"/>
        <v/>
      </c>
    </row>
    <row r="402" spans="1:6" x14ac:dyDescent="0.2">
      <c r="A402" t="s">
        <v>777</v>
      </c>
      <c r="B402">
        <v>32999.672786000003</v>
      </c>
      <c r="C402">
        <v>299.35266899999999</v>
      </c>
      <c r="D402">
        <v>-1900.268777</v>
      </c>
      <c r="E402">
        <f t="shared" si="53"/>
        <v>12</v>
      </c>
      <c r="F402" t="str">
        <f t="shared" si="54"/>
        <v/>
      </c>
    </row>
    <row r="403" spans="1:6" x14ac:dyDescent="0.2">
      <c r="A403" t="s">
        <v>778</v>
      </c>
      <c r="B403">
        <v>32999.673287999998</v>
      </c>
      <c r="C403">
        <v>449.32061399999998</v>
      </c>
      <c r="D403">
        <v>-1900.27106</v>
      </c>
      <c r="E403">
        <f t="shared" si="53"/>
        <v>13</v>
      </c>
      <c r="F403" t="str">
        <f t="shared" si="54"/>
        <v/>
      </c>
    </row>
    <row r="404" spans="1:6" x14ac:dyDescent="0.2">
      <c r="A404" t="s">
        <v>779</v>
      </c>
      <c r="B404">
        <v>32999.664513999996</v>
      </c>
      <c r="C404">
        <v>599.29145600000004</v>
      </c>
      <c r="D404">
        <v>-1900.288853</v>
      </c>
      <c r="E404">
        <f t="shared" si="53"/>
        <v>14</v>
      </c>
      <c r="F404" t="str">
        <f t="shared" si="54"/>
        <v/>
      </c>
    </row>
    <row r="405" spans="1:6" x14ac:dyDescent="0.2">
      <c r="A405" t="s">
        <v>780</v>
      </c>
      <c r="B405">
        <v>32999.669117999998</v>
      </c>
      <c r="C405">
        <v>749.28864599999997</v>
      </c>
      <c r="D405">
        <v>-1900.2896189999999</v>
      </c>
      <c r="E405">
        <f t="shared" si="53"/>
        <v>15</v>
      </c>
      <c r="F405" t="str">
        <f t="shared" si="54"/>
        <v/>
      </c>
    </row>
    <row r="406" spans="1:6" x14ac:dyDescent="0.2">
      <c r="A406" t="s">
        <v>781</v>
      </c>
      <c r="B406">
        <v>32999.665099999998</v>
      </c>
      <c r="C406">
        <v>899.27243099999998</v>
      </c>
      <c r="D406">
        <v>-1900.2954030000001</v>
      </c>
      <c r="E406">
        <f t="shared" si="53"/>
        <v>16</v>
      </c>
      <c r="F406" t="str">
        <f t="shared" si="54"/>
        <v/>
      </c>
    </row>
    <row r="407" spans="1:6" x14ac:dyDescent="0.2">
      <c r="A407" t="s">
        <v>782</v>
      </c>
      <c r="B407">
        <v>32999.663207999998</v>
      </c>
      <c r="C407">
        <v>1049.2911369999999</v>
      </c>
      <c r="D407">
        <v>-1900.299882</v>
      </c>
      <c r="E407">
        <f t="shared" si="53"/>
        <v>17</v>
      </c>
      <c r="F407" t="str">
        <f t="shared" si="54"/>
        <v/>
      </c>
    </row>
    <row r="408" spans="1:6" x14ac:dyDescent="0.2">
      <c r="A408" t="s">
        <v>783</v>
      </c>
      <c r="B408">
        <v>32999.673403000001</v>
      </c>
      <c r="C408">
        <v>1199.28117</v>
      </c>
      <c r="D408">
        <v>-1900.301465</v>
      </c>
      <c r="E408">
        <f t="shared" si="53"/>
        <v>18</v>
      </c>
      <c r="F408" t="str">
        <f t="shared" si="54"/>
        <v/>
      </c>
    </row>
    <row r="409" spans="1:6" x14ac:dyDescent="0.2">
      <c r="A409" t="s">
        <v>784</v>
      </c>
      <c r="B409">
        <v>32999.691945999999</v>
      </c>
      <c r="C409">
        <v>1349.2907250000001</v>
      </c>
      <c r="D409">
        <v>-1900.303936</v>
      </c>
      <c r="E409">
        <f t="shared" si="53"/>
        <v>19</v>
      </c>
      <c r="F409" t="str">
        <f t="shared" si="54"/>
        <v/>
      </c>
    </row>
    <row r="410" spans="1:6" x14ac:dyDescent="0.2">
      <c r="A410" t="s">
        <v>785</v>
      </c>
      <c r="B410">
        <v>32999.670036000003</v>
      </c>
      <c r="C410">
        <v>1199.2932390000001</v>
      </c>
      <c r="D410">
        <v>-1900.3050909999999</v>
      </c>
      <c r="E410">
        <f t="shared" si="53"/>
        <v>20</v>
      </c>
      <c r="F410" t="str">
        <f t="shared" si="54"/>
        <v/>
      </c>
    </row>
    <row r="411" spans="1:6" x14ac:dyDescent="0.2">
      <c r="A411" t="s">
        <v>786</v>
      </c>
      <c r="B411">
        <v>32999.668599999997</v>
      </c>
      <c r="C411">
        <v>1049.299679</v>
      </c>
      <c r="D411">
        <v>-1900.292236</v>
      </c>
      <c r="E411">
        <f t="shared" si="53"/>
        <v>21</v>
      </c>
      <c r="F411" t="str">
        <f t="shared" si="54"/>
        <v/>
      </c>
    </row>
    <row r="412" spans="1:6" x14ac:dyDescent="0.2">
      <c r="A412" t="s">
        <v>787</v>
      </c>
      <c r="B412">
        <v>32999.673576000001</v>
      </c>
      <c r="C412">
        <v>899.28457700000001</v>
      </c>
      <c r="D412">
        <v>-1900.2954480000001</v>
      </c>
      <c r="E412">
        <f t="shared" si="53"/>
        <v>22</v>
      </c>
      <c r="F412" t="str">
        <f t="shared" si="54"/>
        <v/>
      </c>
    </row>
    <row r="413" spans="1:6" x14ac:dyDescent="0.2">
      <c r="A413" t="s">
        <v>788</v>
      </c>
      <c r="B413">
        <v>32999.671762999998</v>
      </c>
      <c r="C413">
        <v>749.29359299999999</v>
      </c>
      <c r="D413">
        <v>-1900.3007580000001</v>
      </c>
      <c r="E413">
        <f t="shared" si="53"/>
        <v>23</v>
      </c>
      <c r="F413" t="str">
        <f t="shared" si="54"/>
        <v/>
      </c>
    </row>
    <row r="414" spans="1:6" x14ac:dyDescent="0.2">
      <c r="A414" t="s">
        <v>789</v>
      </c>
      <c r="B414">
        <v>32999.671834000001</v>
      </c>
      <c r="C414">
        <v>599.32283600000005</v>
      </c>
      <c r="D414">
        <v>-1900.284598</v>
      </c>
      <c r="E414">
        <f t="shared" si="53"/>
        <v>24</v>
      </c>
      <c r="F414" t="str">
        <f t="shared" si="54"/>
        <v/>
      </c>
    </row>
    <row r="415" spans="1:6" x14ac:dyDescent="0.2">
      <c r="A415" t="s">
        <v>790</v>
      </c>
      <c r="B415">
        <v>32999.676124999998</v>
      </c>
      <c r="C415">
        <v>449.33471100000003</v>
      </c>
      <c r="D415">
        <v>-1900.2792850000001</v>
      </c>
      <c r="E415">
        <f t="shared" si="53"/>
        <v>25</v>
      </c>
      <c r="F415" t="str">
        <f t="shared" si="54"/>
        <v/>
      </c>
    </row>
    <row r="416" spans="1:6" x14ac:dyDescent="0.2">
      <c r="A416" t="s">
        <v>791</v>
      </c>
      <c r="B416">
        <v>32999.681777999998</v>
      </c>
      <c r="C416">
        <v>299.36361499999998</v>
      </c>
      <c r="D416">
        <v>-1900.272271</v>
      </c>
      <c r="E416">
        <f t="shared" si="53"/>
        <v>26</v>
      </c>
      <c r="F416" t="str">
        <f t="shared" si="54"/>
        <v/>
      </c>
    </row>
    <row r="417" spans="1:6" x14ac:dyDescent="0.2">
      <c r="A417" t="s">
        <v>792</v>
      </c>
      <c r="B417">
        <v>32999.675407000002</v>
      </c>
      <c r="C417">
        <v>149.3689</v>
      </c>
      <c r="D417">
        <v>-1900.262641</v>
      </c>
      <c r="E417">
        <f t="shared" si="53"/>
        <v>27</v>
      </c>
      <c r="F417" t="str">
        <f t="shared" si="54"/>
        <v/>
      </c>
    </row>
    <row r="418" spans="1:6" x14ac:dyDescent="0.2">
      <c r="A418" t="s">
        <v>793</v>
      </c>
      <c r="B418">
        <v>32999.665931000003</v>
      </c>
      <c r="C418">
        <v>-0.627637</v>
      </c>
      <c r="D418">
        <v>-1900.261759</v>
      </c>
      <c r="E418">
        <f t="shared" si="53"/>
        <v>28</v>
      </c>
      <c r="F418" t="str">
        <f t="shared" si="54"/>
        <v/>
      </c>
    </row>
    <row r="419" spans="1:6" x14ac:dyDescent="0.2">
      <c r="A419" t="s">
        <v>794</v>
      </c>
      <c r="B419">
        <v>32999.663616999998</v>
      </c>
      <c r="C419">
        <v>-150.64363700000001</v>
      </c>
      <c r="D419">
        <v>-1900.262033</v>
      </c>
      <c r="E419">
        <f t="shared" si="53"/>
        <v>29</v>
      </c>
      <c r="F419" t="str">
        <f t="shared" si="54"/>
        <v/>
      </c>
    </row>
    <row r="420" spans="1:6" x14ac:dyDescent="0.2">
      <c r="A420" t="s">
        <v>795</v>
      </c>
      <c r="B420">
        <v>32999.667991000002</v>
      </c>
      <c r="C420">
        <v>-300.61295200000001</v>
      </c>
      <c r="D420">
        <v>-1900.2746709999999</v>
      </c>
      <c r="E420">
        <f t="shared" si="53"/>
        <v>30</v>
      </c>
      <c r="F420" t="str">
        <f t="shared" si="54"/>
        <v/>
      </c>
    </row>
    <row r="421" spans="1:6" x14ac:dyDescent="0.2">
      <c r="A421" t="s">
        <v>796</v>
      </c>
      <c r="B421">
        <v>32999.661305000001</v>
      </c>
      <c r="C421">
        <v>-450.60492299999999</v>
      </c>
      <c r="D421">
        <v>-1900.269235</v>
      </c>
      <c r="E421">
        <f t="shared" si="53"/>
        <v>31</v>
      </c>
      <c r="F421" t="str">
        <f t="shared" si="54"/>
        <v/>
      </c>
    </row>
    <row r="422" spans="1:6" x14ac:dyDescent="0.2">
      <c r="A422" t="s">
        <v>797</v>
      </c>
      <c r="B422">
        <v>32999.664256999997</v>
      </c>
      <c r="C422">
        <v>-600.609283</v>
      </c>
      <c r="D422">
        <v>-1900.2638460000001</v>
      </c>
      <c r="E422">
        <f t="shared" si="53"/>
        <v>32</v>
      </c>
      <c r="F422" t="str">
        <f t="shared" si="54"/>
        <v/>
      </c>
    </row>
    <row r="423" spans="1:6" x14ac:dyDescent="0.2">
      <c r="A423" t="s">
        <v>798</v>
      </c>
      <c r="B423">
        <v>32999.669622000001</v>
      </c>
      <c r="C423">
        <v>-750.61297000000002</v>
      </c>
      <c r="D423">
        <v>-1900.2603240000001</v>
      </c>
      <c r="E423">
        <f t="shared" si="53"/>
        <v>33</v>
      </c>
      <c r="F423" t="str">
        <f t="shared" si="54"/>
        <v/>
      </c>
    </row>
    <row r="424" spans="1:6" x14ac:dyDescent="0.2">
      <c r="A424" t="s">
        <v>799</v>
      </c>
      <c r="B424">
        <v>32999.662666999997</v>
      </c>
      <c r="C424">
        <v>-900.62863800000002</v>
      </c>
      <c r="D424">
        <v>-1900.2554110000001</v>
      </c>
      <c r="E424">
        <f t="shared" si="53"/>
        <v>34</v>
      </c>
      <c r="F424" t="str">
        <f t="shared" si="54"/>
        <v/>
      </c>
    </row>
    <row r="425" spans="1:6" x14ac:dyDescent="0.2">
      <c r="A425" t="s">
        <v>800</v>
      </c>
      <c r="B425">
        <v>32999.660210000002</v>
      </c>
      <c r="C425">
        <v>-1050.6231110000001</v>
      </c>
      <c r="D425">
        <v>-1900.252704</v>
      </c>
      <c r="E425">
        <f t="shared" si="53"/>
        <v>35</v>
      </c>
      <c r="F425" t="str">
        <f t="shared" si="54"/>
        <v/>
      </c>
    </row>
    <row r="426" spans="1:6" x14ac:dyDescent="0.2">
      <c r="A426" t="s">
        <v>801</v>
      </c>
      <c r="B426">
        <v>32999.651918000003</v>
      </c>
      <c r="C426">
        <v>-1200.6350580000001</v>
      </c>
      <c r="D426">
        <v>-1900.2468409999999</v>
      </c>
      <c r="E426">
        <f t="shared" si="53"/>
        <v>36</v>
      </c>
      <c r="F426" t="str">
        <f t="shared" si="54"/>
        <v/>
      </c>
    </row>
    <row r="427" spans="1:6" x14ac:dyDescent="0.2">
      <c r="A427" t="s">
        <v>802</v>
      </c>
      <c r="B427">
        <v>32999.663623</v>
      </c>
      <c r="C427">
        <v>-1350.6371240000001</v>
      </c>
      <c r="D427">
        <v>-1900.2401769999999</v>
      </c>
      <c r="E427">
        <f t="shared" si="53"/>
        <v>37</v>
      </c>
      <c r="F427" t="str">
        <f t="shared" si="54"/>
        <v/>
      </c>
    </row>
    <row r="428" spans="1:6" x14ac:dyDescent="0.2">
      <c r="A428" t="s">
        <v>803</v>
      </c>
      <c r="B428">
        <v>32999.641216000004</v>
      </c>
      <c r="C428">
        <v>-1350.628968</v>
      </c>
      <c r="D428">
        <v>-1800.2473460000001</v>
      </c>
      <c r="E428">
        <f t="shared" si="53"/>
        <v>38</v>
      </c>
      <c r="F428" t="str">
        <f t="shared" si="54"/>
        <v/>
      </c>
    </row>
    <row r="429" spans="1:6" x14ac:dyDescent="0.2">
      <c r="A429" t="s">
        <v>804</v>
      </c>
      <c r="B429">
        <v>32999.646259000001</v>
      </c>
      <c r="C429">
        <v>-1350.6239909999999</v>
      </c>
      <c r="D429">
        <v>-1700.2552390000001</v>
      </c>
      <c r="E429">
        <f t="shared" si="53"/>
        <v>39</v>
      </c>
      <c r="F429" t="str">
        <f t="shared" si="54"/>
        <v/>
      </c>
    </row>
    <row r="430" spans="1:6" x14ac:dyDescent="0.2">
      <c r="A430" t="s">
        <v>805</v>
      </c>
      <c r="B430">
        <v>32999.634109999999</v>
      </c>
      <c r="C430">
        <v>-1350.615601</v>
      </c>
      <c r="D430">
        <v>-1600.251452</v>
      </c>
      <c r="E430">
        <f t="shared" si="53"/>
        <v>40</v>
      </c>
      <c r="F430" t="str">
        <f t="shared" si="54"/>
        <v/>
      </c>
    </row>
    <row r="431" spans="1:6" x14ac:dyDescent="0.2">
      <c r="A431" t="s">
        <v>806</v>
      </c>
      <c r="B431">
        <v>32999.638619999998</v>
      </c>
      <c r="C431">
        <v>-1350.612316</v>
      </c>
      <c r="D431">
        <v>-1500.245952</v>
      </c>
      <c r="E431">
        <f t="shared" si="53"/>
        <v>41</v>
      </c>
      <c r="F431" t="str">
        <f t="shared" si="54"/>
        <v/>
      </c>
    </row>
    <row r="432" spans="1:6" x14ac:dyDescent="0.2">
      <c r="A432" t="s">
        <v>807</v>
      </c>
      <c r="B432">
        <v>32999.641141</v>
      </c>
      <c r="C432">
        <v>-1350.6022539999999</v>
      </c>
      <c r="D432">
        <v>-1400.2466549999999</v>
      </c>
      <c r="E432">
        <f t="shared" si="53"/>
        <v>42</v>
      </c>
      <c r="F432" t="str">
        <f t="shared" si="54"/>
        <v/>
      </c>
    </row>
    <row r="433" spans="1:6" x14ac:dyDescent="0.2">
      <c r="A433" t="s">
        <v>808</v>
      </c>
      <c r="B433">
        <v>32999.633861000002</v>
      </c>
      <c r="C433">
        <v>-1350.593042</v>
      </c>
      <c r="D433">
        <v>-1300.25128</v>
      </c>
      <c r="E433">
        <f t="shared" si="53"/>
        <v>43</v>
      </c>
      <c r="F433" t="str">
        <f t="shared" si="54"/>
        <v/>
      </c>
    </row>
    <row r="434" spans="1:6" x14ac:dyDescent="0.2">
      <c r="A434" t="s">
        <v>809</v>
      </c>
      <c r="B434">
        <v>32999.631058999999</v>
      </c>
      <c r="C434">
        <v>-1350.584104</v>
      </c>
      <c r="D434">
        <v>-1200.247623</v>
      </c>
      <c r="E434">
        <f t="shared" si="53"/>
        <v>44</v>
      </c>
      <c r="F434" t="str">
        <f t="shared" si="54"/>
        <v/>
      </c>
    </row>
    <row r="435" spans="1:6" x14ac:dyDescent="0.2">
      <c r="A435" t="s">
        <v>810</v>
      </c>
      <c r="B435">
        <v>32999.621752999999</v>
      </c>
      <c r="C435">
        <v>-1350.577423</v>
      </c>
      <c r="D435">
        <v>-1100.250192</v>
      </c>
      <c r="E435">
        <f t="shared" si="53"/>
        <v>45</v>
      </c>
      <c r="F435" t="str">
        <f t="shared" si="54"/>
        <v/>
      </c>
    </row>
    <row r="436" spans="1:6" x14ac:dyDescent="0.2">
      <c r="A436" t="s">
        <v>811</v>
      </c>
      <c r="B436">
        <v>32999.618963000001</v>
      </c>
      <c r="C436">
        <v>-1350.568626</v>
      </c>
      <c r="D436">
        <v>-1000.251768</v>
      </c>
      <c r="E436">
        <f t="shared" si="53"/>
        <v>46</v>
      </c>
      <c r="F436" t="str">
        <f t="shared" si="54"/>
        <v/>
      </c>
    </row>
    <row r="437" spans="1:6" x14ac:dyDescent="0.2">
      <c r="A437" t="s">
        <v>812</v>
      </c>
      <c r="B437">
        <v>32999.605888999999</v>
      </c>
      <c r="C437">
        <v>-1350.5537240000001</v>
      </c>
      <c r="D437">
        <v>-900.26034700000002</v>
      </c>
      <c r="E437">
        <f t="shared" si="53"/>
        <v>47</v>
      </c>
      <c r="F437" t="str">
        <f t="shared" si="54"/>
        <v/>
      </c>
    </row>
    <row r="438" spans="1:6" x14ac:dyDescent="0.2">
      <c r="A438" t="s">
        <v>813</v>
      </c>
      <c r="B438">
        <v>32999.607338000002</v>
      </c>
      <c r="C438">
        <v>-1350.549186</v>
      </c>
      <c r="D438">
        <v>-800.25474299999996</v>
      </c>
      <c r="E438">
        <f t="shared" si="53"/>
        <v>48</v>
      </c>
      <c r="F438" t="str">
        <f t="shared" si="54"/>
        <v/>
      </c>
    </row>
    <row r="439" spans="1:6" x14ac:dyDescent="0.2">
      <c r="A439" t="s">
        <v>814</v>
      </c>
      <c r="B439">
        <v>32999.596199</v>
      </c>
      <c r="C439">
        <v>-1350.540213</v>
      </c>
      <c r="D439">
        <v>-700.26007900000002</v>
      </c>
      <c r="E439">
        <f t="shared" si="53"/>
        <v>49</v>
      </c>
      <c r="F439" t="str">
        <f t="shared" si="54"/>
        <v/>
      </c>
    </row>
    <row r="440" spans="1:6" x14ac:dyDescent="0.2">
      <c r="A440" t="s">
        <v>815</v>
      </c>
      <c r="B440">
        <v>32999.596582999999</v>
      </c>
      <c r="C440">
        <v>-1350.5286410000001</v>
      </c>
      <c r="D440">
        <v>-600.26060800000005</v>
      </c>
      <c r="E440">
        <f t="shared" si="53"/>
        <v>50</v>
      </c>
      <c r="F440" t="str">
        <f t="shared" si="54"/>
        <v/>
      </c>
    </row>
    <row r="441" spans="1:6" x14ac:dyDescent="0.2">
      <c r="A441" t="s">
        <v>816</v>
      </c>
      <c r="B441">
        <v>32999.584706000001</v>
      </c>
      <c r="C441">
        <v>-1350.5154460000001</v>
      </c>
      <c r="D441">
        <v>-500.25856599999997</v>
      </c>
      <c r="E441">
        <f t="shared" si="53"/>
        <v>51</v>
      </c>
      <c r="F441" t="str">
        <f t="shared" si="54"/>
        <v/>
      </c>
    </row>
    <row r="442" spans="1:6" x14ac:dyDescent="0.2">
      <c r="A442" t="s">
        <v>817</v>
      </c>
      <c r="B442">
        <v>32999.577198999999</v>
      </c>
      <c r="C442">
        <v>-1350.508053</v>
      </c>
      <c r="D442">
        <v>-400.25563599999998</v>
      </c>
      <c r="E442">
        <f t="shared" si="53"/>
        <v>52</v>
      </c>
      <c r="F442" t="str">
        <f t="shared" si="54"/>
        <v/>
      </c>
    </row>
    <row r="443" spans="1:6" x14ac:dyDescent="0.2">
      <c r="A443" t="s">
        <v>818</v>
      </c>
      <c r="B443">
        <v>32999.565927000003</v>
      </c>
      <c r="C443">
        <v>-1350.5077160000001</v>
      </c>
      <c r="D443">
        <v>-300.26003900000001</v>
      </c>
      <c r="E443">
        <f t="shared" si="53"/>
        <v>53</v>
      </c>
      <c r="F443" t="str">
        <f t="shared" si="54"/>
        <v/>
      </c>
    </row>
    <row r="444" spans="1:6" x14ac:dyDescent="0.2">
      <c r="A444" t="s">
        <v>819</v>
      </c>
      <c r="B444">
        <v>32999.563278000001</v>
      </c>
      <c r="C444">
        <v>-1350.5035700000001</v>
      </c>
      <c r="D444">
        <v>-200.25790000000001</v>
      </c>
      <c r="E444">
        <f t="shared" si="53"/>
        <v>54</v>
      </c>
      <c r="F444" t="str">
        <f t="shared" si="54"/>
        <v/>
      </c>
    </row>
    <row r="445" spans="1:6" x14ac:dyDescent="0.2">
      <c r="A445" t="s">
        <v>820</v>
      </c>
      <c r="B445">
        <v>32999.546718999998</v>
      </c>
      <c r="C445">
        <v>-1350.503487</v>
      </c>
      <c r="D445">
        <v>-100.244934</v>
      </c>
      <c r="E445">
        <f t="shared" si="53"/>
        <v>55</v>
      </c>
      <c r="F445" t="str">
        <f t="shared" si="54"/>
        <v/>
      </c>
    </row>
    <row r="446" spans="1:6" x14ac:dyDescent="0.2">
      <c r="A446" t="s">
        <v>821</v>
      </c>
      <c r="B446">
        <v>32999.545995</v>
      </c>
      <c r="C446">
        <v>-1350.5019299999999</v>
      </c>
      <c r="D446">
        <v>-0.24685099999999999</v>
      </c>
      <c r="E446">
        <f t="shared" si="53"/>
        <v>56</v>
      </c>
      <c r="F446" t="str">
        <f t="shared" si="54"/>
        <v/>
      </c>
    </row>
    <row r="447" spans="1:6" x14ac:dyDescent="0.2">
      <c r="A447" t="s">
        <v>822</v>
      </c>
      <c r="B447">
        <v>32999.546991000003</v>
      </c>
      <c r="C447">
        <v>-1350.5057509999999</v>
      </c>
      <c r="D447">
        <v>-100.23947200000001</v>
      </c>
      <c r="E447">
        <f t="shared" si="53"/>
        <v>57</v>
      </c>
      <c r="F447" t="str">
        <f t="shared" si="54"/>
        <v/>
      </c>
    </row>
    <row r="448" spans="1:6" x14ac:dyDescent="0.2">
      <c r="A448" t="s">
        <v>823</v>
      </c>
      <c r="B448">
        <v>32999.554368999998</v>
      </c>
      <c r="C448">
        <v>-1350.507842</v>
      </c>
      <c r="D448">
        <v>-200.249089</v>
      </c>
      <c r="E448">
        <f t="shared" si="53"/>
        <v>58</v>
      </c>
      <c r="F448" t="str">
        <f t="shared" si="54"/>
        <v/>
      </c>
    </row>
    <row r="449" spans="1:6" x14ac:dyDescent="0.2">
      <c r="A449" t="s">
        <v>824</v>
      </c>
      <c r="B449">
        <v>32999.562231000004</v>
      </c>
      <c r="C449">
        <v>-1350.5105820000001</v>
      </c>
      <c r="D449">
        <v>-300.254301</v>
      </c>
      <c r="E449">
        <f t="shared" si="53"/>
        <v>59</v>
      </c>
      <c r="F449" t="str">
        <f t="shared" si="54"/>
        <v/>
      </c>
    </row>
    <row r="450" spans="1:6" x14ac:dyDescent="0.2">
      <c r="A450" t="s">
        <v>825</v>
      </c>
      <c r="B450">
        <v>32999.574234</v>
      </c>
      <c r="C450">
        <v>-1350.5039750000001</v>
      </c>
      <c r="D450">
        <v>-400.25418100000002</v>
      </c>
      <c r="E450">
        <f t="shared" si="53"/>
        <v>60</v>
      </c>
      <c r="F450" t="str">
        <f t="shared" si="54"/>
        <v/>
      </c>
    </row>
    <row r="451" spans="1:6" x14ac:dyDescent="0.2">
      <c r="A451" t="s">
        <v>826</v>
      </c>
      <c r="B451">
        <v>32999.576994000003</v>
      </c>
      <c r="C451">
        <v>-1350.5125700000001</v>
      </c>
      <c r="D451">
        <v>-500.25342799999999</v>
      </c>
      <c r="E451">
        <f t="shared" si="53"/>
        <v>61</v>
      </c>
      <c r="F451" t="str">
        <f t="shared" si="54"/>
        <v/>
      </c>
    </row>
    <row r="452" spans="1:6" x14ac:dyDescent="0.2">
      <c r="A452" t="s">
        <v>827</v>
      </c>
      <c r="B452">
        <v>32999.583316999997</v>
      </c>
      <c r="C452">
        <v>-1350.5238529999999</v>
      </c>
      <c r="D452">
        <v>-600.246396</v>
      </c>
      <c r="E452">
        <f t="shared" ref="E452:E515" si="60">RIGHT(A452,LEN(A452)-FIND("_",A452,FIND("_",A452)+1))*1</f>
        <v>62</v>
      </c>
      <c r="F452" t="str">
        <f t="shared" ref="F452:F515" si="61">IF(E452&lt;&gt;1+E451,"err","")</f>
        <v/>
      </c>
    </row>
    <row r="453" spans="1:6" x14ac:dyDescent="0.2">
      <c r="A453" t="s">
        <v>828</v>
      </c>
      <c r="B453">
        <v>32999.596009000001</v>
      </c>
      <c r="C453">
        <v>-1350.5311340000001</v>
      </c>
      <c r="D453">
        <v>-700.25687100000005</v>
      </c>
      <c r="E453">
        <f t="shared" si="60"/>
        <v>63</v>
      </c>
      <c r="F453" t="str">
        <f t="shared" si="61"/>
        <v/>
      </c>
    </row>
    <row r="454" spans="1:6" x14ac:dyDescent="0.2">
      <c r="A454" t="s">
        <v>829</v>
      </c>
      <c r="B454">
        <v>32999.594410999998</v>
      </c>
      <c r="C454">
        <v>-1350.5472150000001</v>
      </c>
      <c r="D454">
        <v>-800.24852699999997</v>
      </c>
      <c r="E454">
        <f t="shared" si="60"/>
        <v>64</v>
      </c>
      <c r="F454" t="str">
        <f t="shared" si="61"/>
        <v/>
      </c>
    </row>
    <row r="455" spans="1:6" x14ac:dyDescent="0.2">
      <c r="A455" t="s">
        <v>830</v>
      </c>
      <c r="B455">
        <v>32999.596123000003</v>
      </c>
      <c r="C455">
        <v>-1350.550594</v>
      </c>
      <c r="D455">
        <v>-900.238654</v>
      </c>
      <c r="E455">
        <f t="shared" si="60"/>
        <v>65</v>
      </c>
      <c r="F455" t="str">
        <f t="shared" si="61"/>
        <v/>
      </c>
    </row>
    <row r="456" spans="1:6" x14ac:dyDescent="0.2">
      <c r="A456" t="s">
        <v>831</v>
      </c>
      <c r="B456">
        <v>32999.616748</v>
      </c>
      <c r="C456">
        <v>-1350.5616669999999</v>
      </c>
      <c r="D456">
        <v>-1000.249338</v>
      </c>
      <c r="E456">
        <f t="shared" si="60"/>
        <v>66</v>
      </c>
      <c r="F456" t="str">
        <f t="shared" si="61"/>
        <v/>
      </c>
    </row>
    <row r="457" spans="1:6" x14ac:dyDescent="0.2">
      <c r="A457" t="s">
        <v>832</v>
      </c>
      <c r="B457">
        <v>32999.619874999997</v>
      </c>
      <c r="C457">
        <v>-1350.5656369999999</v>
      </c>
      <c r="D457">
        <v>-1100.2540240000001</v>
      </c>
      <c r="E457">
        <f t="shared" si="60"/>
        <v>67</v>
      </c>
      <c r="F457" t="str">
        <f t="shared" si="61"/>
        <v/>
      </c>
    </row>
    <row r="458" spans="1:6" x14ac:dyDescent="0.2">
      <c r="A458" t="s">
        <v>833</v>
      </c>
      <c r="B458">
        <v>32999.622122000001</v>
      </c>
      <c r="C458">
        <v>-1350.5845589999999</v>
      </c>
      <c r="D458">
        <v>-1200.2495739999999</v>
      </c>
      <c r="E458">
        <f t="shared" si="60"/>
        <v>68</v>
      </c>
      <c r="F458" t="str">
        <f t="shared" si="61"/>
        <v/>
      </c>
    </row>
    <row r="459" spans="1:6" x14ac:dyDescent="0.2">
      <c r="A459" t="s">
        <v>834</v>
      </c>
      <c r="B459">
        <v>32999.627076999997</v>
      </c>
      <c r="C459">
        <v>-1350.5956570000001</v>
      </c>
      <c r="D459">
        <v>-1300.240626</v>
      </c>
      <c r="E459">
        <f t="shared" si="60"/>
        <v>69</v>
      </c>
      <c r="F459" t="str">
        <f t="shared" si="61"/>
        <v/>
      </c>
    </row>
    <row r="460" spans="1:6" x14ac:dyDescent="0.2">
      <c r="A460" t="s">
        <v>835</v>
      </c>
      <c r="B460">
        <v>32999.627336999998</v>
      </c>
      <c r="C460">
        <v>-1350.6006179999999</v>
      </c>
      <c r="D460">
        <v>-1400.2472889999999</v>
      </c>
      <c r="E460">
        <f t="shared" si="60"/>
        <v>70</v>
      </c>
      <c r="F460" t="str">
        <f t="shared" si="61"/>
        <v/>
      </c>
    </row>
    <row r="461" spans="1:6" x14ac:dyDescent="0.2">
      <c r="A461" t="s">
        <v>836</v>
      </c>
      <c r="B461">
        <v>32999.628490000003</v>
      </c>
      <c r="C461">
        <v>-1350.6008429999999</v>
      </c>
      <c r="D461">
        <v>-1500.2454740000001</v>
      </c>
      <c r="E461">
        <f t="shared" si="60"/>
        <v>71</v>
      </c>
      <c r="F461" t="str">
        <f t="shared" si="61"/>
        <v/>
      </c>
    </row>
    <row r="462" spans="1:6" x14ac:dyDescent="0.2">
      <c r="A462" t="s">
        <v>837</v>
      </c>
      <c r="B462">
        <v>32999.630902999997</v>
      </c>
      <c r="C462">
        <v>-1350.6246819999999</v>
      </c>
      <c r="D462">
        <v>-1600.2379289999999</v>
      </c>
      <c r="E462">
        <f t="shared" si="60"/>
        <v>72</v>
      </c>
      <c r="F462" t="str">
        <f t="shared" si="61"/>
        <v/>
      </c>
    </row>
    <row r="463" spans="1:6" x14ac:dyDescent="0.2">
      <c r="A463" t="s">
        <v>838</v>
      </c>
      <c r="B463">
        <v>32999.638213999999</v>
      </c>
      <c r="C463">
        <v>-1350.62788</v>
      </c>
      <c r="D463">
        <v>-1700.245197</v>
      </c>
      <c r="E463">
        <f t="shared" si="60"/>
        <v>73</v>
      </c>
      <c r="F463" t="str">
        <f t="shared" si="61"/>
        <v/>
      </c>
    </row>
    <row r="464" spans="1:6" x14ac:dyDescent="0.2">
      <c r="A464" t="s">
        <v>839</v>
      </c>
      <c r="B464">
        <v>32999.641677</v>
      </c>
      <c r="C464">
        <v>-1350.6280959999999</v>
      </c>
      <c r="D464">
        <v>-1800.2471720000001</v>
      </c>
      <c r="E464">
        <f t="shared" si="60"/>
        <v>74</v>
      </c>
      <c r="F464" t="str">
        <f t="shared" si="61"/>
        <v/>
      </c>
    </row>
    <row r="465" spans="1:6" x14ac:dyDescent="0.2">
      <c r="A465" t="s">
        <v>840</v>
      </c>
      <c r="B465">
        <v>32999.661693000002</v>
      </c>
      <c r="C465">
        <v>-1350.6436189999999</v>
      </c>
      <c r="D465">
        <v>-1900.238605</v>
      </c>
      <c r="E465">
        <f t="shared" si="60"/>
        <v>75</v>
      </c>
      <c r="F465" t="str">
        <f t="shared" si="61"/>
        <v/>
      </c>
    </row>
    <row r="466" spans="1:6" x14ac:dyDescent="0.2">
      <c r="A466" t="s">
        <v>841</v>
      </c>
      <c r="B466">
        <v>32999.637886999997</v>
      </c>
      <c r="C466">
        <v>-1350.624607</v>
      </c>
      <c r="D466">
        <v>-1800.2526780000001</v>
      </c>
      <c r="E466">
        <f t="shared" si="60"/>
        <v>76</v>
      </c>
      <c r="F466" t="str">
        <f t="shared" si="61"/>
        <v/>
      </c>
    </row>
    <row r="467" spans="1:6" x14ac:dyDescent="0.2">
      <c r="A467" t="s">
        <v>842</v>
      </c>
      <c r="B467">
        <v>32999.626771000003</v>
      </c>
      <c r="C467">
        <v>-1200.6243300000001</v>
      </c>
      <c r="D467">
        <v>-1700.2549309999999</v>
      </c>
      <c r="E467">
        <f t="shared" si="60"/>
        <v>77</v>
      </c>
      <c r="F467" t="str">
        <f t="shared" si="61"/>
        <v/>
      </c>
    </row>
    <row r="468" spans="1:6" x14ac:dyDescent="0.2">
      <c r="A468" t="s">
        <v>843</v>
      </c>
      <c r="B468">
        <v>32999.636312000002</v>
      </c>
      <c r="C468">
        <v>-1050.5990830000001</v>
      </c>
      <c r="D468">
        <v>-1600.2564279999999</v>
      </c>
      <c r="E468">
        <f t="shared" si="60"/>
        <v>78</v>
      </c>
      <c r="F468" t="str">
        <f t="shared" si="61"/>
        <v/>
      </c>
    </row>
    <row r="469" spans="1:6" x14ac:dyDescent="0.2">
      <c r="A469" t="s">
        <v>844</v>
      </c>
      <c r="B469">
        <v>32999.639297000002</v>
      </c>
      <c r="C469">
        <v>-900.59371799999997</v>
      </c>
      <c r="D469">
        <v>-1500.2548300000001</v>
      </c>
      <c r="E469">
        <f t="shared" si="60"/>
        <v>79</v>
      </c>
      <c r="F469" t="str">
        <f t="shared" si="61"/>
        <v/>
      </c>
    </row>
    <row r="470" spans="1:6" x14ac:dyDescent="0.2">
      <c r="A470" t="s">
        <v>845</v>
      </c>
      <c r="B470">
        <v>32999.642768999998</v>
      </c>
      <c r="C470">
        <v>-750.57547499999998</v>
      </c>
      <c r="D470">
        <v>-1400.2674810000001</v>
      </c>
      <c r="E470">
        <f t="shared" si="60"/>
        <v>80</v>
      </c>
      <c r="F470" t="str">
        <f t="shared" si="61"/>
        <v/>
      </c>
    </row>
    <row r="471" spans="1:6" x14ac:dyDescent="0.2">
      <c r="A471" t="s">
        <v>846</v>
      </c>
      <c r="B471">
        <v>32999.643773999996</v>
      </c>
      <c r="C471">
        <v>-600.56649100000004</v>
      </c>
      <c r="D471">
        <v>-1300.276474</v>
      </c>
      <c r="E471">
        <f t="shared" si="60"/>
        <v>81</v>
      </c>
      <c r="F471" t="str">
        <f t="shared" si="61"/>
        <v/>
      </c>
    </row>
    <row r="472" spans="1:6" x14ac:dyDescent="0.2">
      <c r="A472" t="s">
        <v>847</v>
      </c>
      <c r="B472">
        <v>32999.641427000002</v>
      </c>
      <c r="C472">
        <v>-450.56021900000002</v>
      </c>
      <c r="D472">
        <v>-1200.2730650000001</v>
      </c>
      <c r="E472">
        <f t="shared" si="60"/>
        <v>82</v>
      </c>
      <c r="F472" t="str">
        <f t="shared" si="61"/>
        <v/>
      </c>
    </row>
    <row r="473" spans="1:6" x14ac:dyDescent="0.2">
      <c r="A473" t="s">
        <v>848</v>
      </c>
      <c r="B473">
        <v>32999.636779</v>
      </c>
      <c r="C473">
        <v>-300.55944699999998</v>
      </c>
      <c r="D473">
        <v>-1100.2734399999999</v>
      </c>
      <c r="E473">
        <f t="shared" si="60"/>
        <v>83</v>
      </c>
      <c r="F473" t="str">
        <f t="shared" si="61"/>
        <v/>
      </c>
    </row>
    <row r="474" spans="1:6" x14ac:dyDescent="0.2">
      <c r="A474" t="s">
        <v>849</v>
      </c>
      <c r="B474">
        <v>32999.632617000003</v>
      </c>
      <c r="C474">
        <v>-150.570549</v>
      </c>
      <c r="D474">
        <v>-1000.268006</v>
      </c>
      <c r="E474">
        <f t="shared" si="60"/>
        <v>84</v>
      </c>
      <c r="F474" t="str">
        <f t="shared" si="61"/>
        <v/>
      </c>
    </row>
    <row r="475" spans="1:6" x14ac:dyDescent="0.2">
      <c r="A475" t="s">
        <v>850</v>
      </c>
      <c r="B475">
        <v>32999.627308000003</v>
      </c>
      <c r="C475">
        <v>-0.55833100000000002</v>
      </c>
      <c r="D475">
        <v>-900.26916500000004</v>
      </c>
      <c r="E475">
        <f t="shared" si="60"/>
        <v>85</v>
      </c>
      <c r="F475" t="str">
        <f t="shared" si="61"/>
        <v/>
      </c>
    </row>
    <row r="476" spans="1:6" x14ac:dyDescent="0.2">
      <c r="A476" t="s">
        <v>851</v>
      </c>
      <c r="B476">
        <v>32999.626548</v>
      </c>
      <c r="C476">
        <v>149.46814800000001</v>
      </c>
      <c r="D476">
        <v>-800.27484500000003</v>
      </c>
      <c r="E476">
        <f t="shared" si="60"/>
        <v>86</v>
      </c>
      <c r="F476" t="str">
        <f t="shared" si="61"/>
        <v/>
      </c>
    </row>
    <row r="477" spans="1:6" x14ac:dyDescent="0.2">
      <c r="A477" t="s">
        <v>852</v>
      </c>
      <c r="B477">
        <v>32999.632966999998</v>
      </c>
      <c r="C477">
        <v>299.46095400000002</v>
      </c>
      <c r="D477">
        <v>-700.28827100000001</v>
      </c>
      <c r="E477">
        <f t="shared" si="60"/>
        <v>87</v>
      </c>
      <c r="F477" t="str">
        <f t="shared" si="61"/>
        <v/>
      </c>
    </row>
    <row r="478" spans="1:6" x14ac:dyDescent="0.2">
      <c r="A478" t="s">
        <v>853</v>
      </c>
      <c r="B478">
        <v>32999.630131999998</v>
      </c>
      <c r="C478">
        <v>449.440427</v>
      </c>
      <c r="D478">
        <v>-600.29553599999997</v>
      </c>
      <c r="E478">
        <f t="shared" si="60"/>
        <v>88</v>
      </c>
      <c r="F478" t="str">
        <f t="shared" si="61"/>
        <v/>
      </c>
    </row>
    <row r="479" spans="1:6" x14ac:dyDescent="0.2">
      <c r="A479" t="s">
        <v>854</v>
      </c>
      <c r="B479">
        <v>32999.618046000003</v>
      </c>
      <c r="C479">
        <v>599.43678899999998</v>
      </c>
      <c r="D479">
        <v>-500.29814599999997</v>
      </c>
      <c r="E479">
        <f t="shared" si="60"/>
        <v>89</v>
      </c>
      <c r="F479" t="str">
        <f t="shared" si="61"/>
        <v/>
      </c>
    </row>
    <row r="480" spans="1:6" x14ac:dyDescent="0.2">
      <c r="A480" t="s">
        <v>855</v>
      </c>
      <c r="B480">
        <v>32999.608461000003</v>
      </c>
      <c r="C480">
        <v>749.39753299999995</v>
      </c>
      <c r="D480">
        <v>-400.30614200000002</v>
      </c>
      <c r="E480">
        <f t="shared" si="60"/>
        <v>90</v>
      </c>
      <c r="F480" t="str">
        <f t="shared" si="61"/>
        <v/>
      </c>
    </row>
    <row r="481" spans="1:6" x14ac:dyDescent="0.2">
      <c r="A481" t="s">
        <v>856</v>
      </c>
      <c r="B481">
        <v>32999.605656</v>
      </c>
      <c r="C481">
        <v>899.39241800000002</v>
      </c>
      <c r="D481">
        <v>-300.32078799999999</v>
      </c>
      <c r="E481">
        <f t="shared" si="60"/>
        <v>91</v>
      </c>
      <c r="F481" t="str">
        <f t="shared" si="61"/>
        <v/>
      </c>
    </row>
    <row r="482" spans="1:6" x14ac:dyDescent="0.2">
      <c r="A482" t="s">
        <v>857</v>
      </c>
      <c r="B482">
        <v>32999.603846999998</v>
      </c>
      <c r="C482">
        <v>1049.4114520000001</v>
      </c>
      <c r="D482">
        <v>-200.32866200000001</v>
      </c>
      <c r="E482">
        <f t="shared" si="60"/>
        <v>92</v>
      </c>
      <c r="F482" t="str">
        <f t="shared" si="61"/>
        <v/>
      </c>
    </row>
    <row r="483" spans="1:6" x14ac:dyDescent="0.2">
      <c r="A483" t="s">
        <v>858</v>
      </c>
      <c r="B483">
        <v>32999.603537000003</v>
      </c>
      <c r="C483">
        <v>1199.414225</v>
      </c>
      <c r="D483">
        <v>-100.32561200000001</v>
      </c>
      <c r="E483">
        <f t="shared" si="60"/>
        <v>93</v>
      </c>
      <c r="F483" t="str">
        <f t="shared" si="61"/>
        <v/>
      </c>
    </row>
    <row r="484" spans="1:6" x14ac:dyDescent="0.2">
      <c r="A484" t="s">
        <v>859</v>
      </c>
      <c r="B484">
        <v>32999.625933000003</v>
      </c>
      <c r="C484">
        <v>1349.417713</v>
      </c>
      <c r="D484">
        <v>-0.31807200000000002</v>
      </c>
      <c r="E484">
        <f t="shared" si="60"/>
        <v>94</v>
      </c>
      <c r="F484" t="str">
        <f t="shared" si="61"/>
        <v/>
      </c>
    </row>
    <row r="485" spans="1:6" x14ac:dyDescent="0.2">
      <c r="A485" t="s">
        <v>860</v>
      </c>
      <c r="B485">
        <v>32999.602477</v>
      </c>
      <c r="C485">
        <v>1199.4135610000001</v>
      </c>
      <c r="D485">
        <v>-0.322326</v>
      </c>
      <c r="E485">
        <f t="shared" si="60"/>
        <v>95</v>
      </c>
      <c r="F485" t="str">
        <f t="shared" si="61"/>
        <v/>
      </c>
    </row>
    <row r="486" spans="1:6" x14ac:dyDescent="0.2">
      <c r="A486" t="s">
        <v>861</v>
      </c>
      <c r="B486">
        <v>32999.590664000003</v>
      </c>
      <c r="C486">
        <v>1049.422065</v>
      </c>
      <c r="D486">
        <v>-0.32490799999999997</v>
      </c>
      <c r="E486">
        <f t="shared" si="60"/>
        <v>96</v>
      </c>
      <c r="F486" t="str">
        <f t="shared" si="61"/>
        <v/>
      </c>
    </row>
    <row r="487" spans="1:6" x14ac:dyDescent="0.2">
      <c r="A487" t="s">
        <v>862</v>
      </c>
      <c r="B487">
        <v>32999.589651000002</v>
      </c>
      <c r="C487">
        <v>899.40008</v>
      </c>
      <c r="D487">
        <v>-0.31825300000000001</v>
      </c>
      <c r="E487">
        <f t="shared" si="60"/>
        <v>97</v>
      </c>
      <c r="F487" t="str">
        <f t="shared" si="61"/>
        <v/>
      </c>
    </row>
    <row r="488" spans="1:6" x14ac:dyDescent="0.2">
      <c r="A488" t="s">
        <v>863</v>
      </c>
      <c r="B488">
        <v>32999.581675000001</v>
      </c>
      <c r="C488">
        <v>749.41467299999999</v>
      </c>
      <c r="D488">
        <v>-0.29827100000000001</v>
      </c>
      <c r="E488">
        <f t="shared" si="60"/>
        <v>98</v>
      </c>
      <c r="F488" t="str">
        <f t="shared" si="61"/>
        <v/>
      </c>
    </row>
    <row r="489" spans="1:6" x14ac:dyDescent="0.2">
      <c r="A489" t="s">
        <v>864</v>
      </c>
      <c r="B489">
        <v>32999.587600999999</v>
      </c>
      <c r="C489">
        <v>599.44015300000001</v>
      </c>
      <c r="D489">
        <v>-0.30350300000000002</v>
      </c>
      <c r="E489">
        <f t="shared" si="60"/>
        <v>99</v>
      </c>
      <c r="F489" t="str">
        <f t="shared" si="61"/>
        <v/>
      </c>
    </row>
    <row r="490" spans="1:6" x14ac:dyDescent="0.2">
      <c r="A490" t="s">
        <v>865</v>
      </c>
      <c r="B490">
        <v>32999.582079</v>
      </c>
      <c r="C490">
        <v>449.464765</v>
      </c>
      <c r="D490">
        <v>-0.291514</v>
      </c>
      <c r="E490">
        <f t="shared" si="60"/>
        <v>100</v>
      </c>
      <c r="F490" t="str">
        <f t="shared" si="61"/>
        <v/>
      </c>
    </row>
    <row r="491" spans="1:6" x14ac:dyDescent="0.2">
      <c r="A491" t="s">
        <v>866</v>
      </c>
      <c r="B491">
        <v>32999.597693000003</v>
      </c>
      <c r="C491">
        <v>299.50018299999999</v>
      </c>
      <c r="D491">
        <v>-0.29175099999999998</v>
      </c>
      <c r="E491">
        <f t="shared" si="60"/>
        <v>101</v>
      </c>
      <c r="F491" t="str">
        <f t="shared" si="61"/>
        <v/>
      </c>
    </row>
    <row r="492" spans="1:6" x14ac:dyDescent="0.2">
      <c r="A492" t="s">
        <v>867</v>
      </c>
      <c r="B492">
        <v>32999.565173000003</v>
      </c>
      <c r="C492">
        <v>149.50702799999999</v>
      </c>
      <c r="D492">
        <v>-0.265038</v>
      </c>
      <c r="E492">
        <f t="shared" si="60"/>
        <v>102</v>
      </c>
      <c r="F492" t="str">
        <f t="shared" si="61"/>
        <v/>
      </c>
    </row>
    <row r="493" spans="1:6" x14ac:dyDescent="0.2">
      <c r="A493" t="s">
        <v>868</v>
      </c>
      <c r="B493">
        <v>32999.567658</v>
      </c>
      <c r="C493">
        <v>-0.50426599999999999</v>
      </c>
      <c r="D493">
        <v>-0.27601500000000001</v>
      </c>
      <c r="E493">
        <f t="shared" si="60"/>
        <v>103</v>
      </c>
      <c r="F493" t="str">
        <f t="shared" si="61"/>
        <v/>
      </c>
    </row>
    <row r="494" spans="1:6" x14ac:dyDescent="0.2">
      <c r="A494" t="s">
        <v>869</v>
      </c>
      <c r="B494">
        <v>32999.564698000002</v>
      </c>
      <c r="C494">
        <v>-150.50022200000001</v>
      </c>
      <c r="D494">
        <v>-0.27480300000000002</v>
      </c>
      <c r="E494">
        <f t="shared" si="60"/>
        <v>104</v>
      </c>
      <c r="F494" t="str">
        <f t="shared" si="61"/>
        <v/>
      </c>
    </row>
    <row r="495" spans="1:6" x14ac:dyDescent="0.2">
      <c r="A495" t="s">
        <v>870</v>
      </c>
      <c r="B495">
        <v>32999.564147999998</v>
      </c>
      <c r="C495">
        <v>-300.48542800000001</v>
      </c>
      <c r="D495">
        <v>-0.28576800000000002</v>
      </c>
      <c r="E495">
        <f t="shared" si="60"/>
        <v>105</v>
      </c>
      <c r="F495" t="str">
        <f t="shared" si="61"/>
        <v/>
      </c>
    </row>
    <row r="496" spans="1:6" x14ac:dyDescent="0.2">
      <c r="A496" t="s">
        <v>871</v>
      </c>
      <c r="B496">
        <v>32999.559569999998</v>
      </c>
      <c r="C496">
        <v>-450.47624500000001</v>
      </c>
      <c r="D496">
        <v>-0.280588</v>
      </c>
      <c r="E496">
        <f t="shared" si="60"/>
        <v>106</v>
      </c>
      <c r="F496" t="str">
        <f t="shared" si="61"/>
        <v/>
      </c>
    </row>
    <row r="497" spans="1:6" x14ac:dyDescent="0.2">
      <c r="A497" t="s">
        <v>872</v>
      </c>
      <c r="B497">
        <v>32999.543471999998</v>
      </c>
      <c r="C497">
        <v>-600.47436200000004</v>
      </c>
      <c r="D497">
        <v>-0.281995</v>
      </c>
      <c r="E497">
        <f t="shared" si="60"/>
        <v>107</v>
      </c>
      <c r="F497" t="str">
        <f t="shared" si="61"/>
        <v/>
      </c>
    </row>
    <row r="498" spans="1:6" x14ac:dyDescent="0.2">
      <c r="A498" t="s">
        <v>873</v>
      </c>
      <c r="B498">
        <v>32999.555773</v>
      </c>
      <c r="C498">
        <v>-750.47542899999996</v>
      </c>
      <c r="D498">
        <v>-0.28066999999999998</v>
      </c>
      <c r="E498">
        <f t="shared" si="60"/>
        <v>108</v>
      </c>
      <c r="F498" t="str">
        <f t="shared" si="61"/>
        <v/>
      </c>
    </row>
    <row r="499" spans="1:6" x14ac:dyDescent="0.2">
      <c r="A499" t="s">
        <v>874</v>
      </c>
      <c r="B499">
        <v>32999.545012000002</v>
      </c>
      <c r="C499">
        <v>-900.48325899999998</v>
      </c>
      <c r="D499">
        <v>-0.27997499999999997</v>
      </c>
      <c r="E499">
        <f t="shared" si="60"/>
        <v>109</v>
      </c>
      <c r="F499" t="str">
        <f t="shared" si="61"/>
        <v/>
      </c>
    </row>
    <row r="500" spans="1:6" x14ac:dyDescent="0.2">
      <c r="A500" t="s">
        <v>875</v>
      </c>
      <c r="B500">
        <v>32999.545514999998</v>
      </c>
      <c r="C500">
        <v>-1050.4708479999999</v>
      </c>
      <c r="D500">
        <v>-0.26731199999999999</v>
      </c>
      <c r="E500">
        <f t="shared" si="60"/>
        <v>110</v>
      </c>
      <c r="F500" t="str">
        <f t="shared" si="61"/>
        <v/>
      </c>
    </row>
    <row r="501" spans="1:6" x14ac:dyDescent="0.2">
      <c r="A501" t="s">
        <v>876</v>
      </c>
      <c r="B501">
        <v>32999.535451000003</v>
      </c>
      <c r="C501">
        <v>-1200.488503</v>
      </c>
      <c r="D501">
        <v>-0.26120599999999999</v>
      </c>
      <c r="E501">
        <f t="shared" si="60"/>
        <v>111</v>
      </c>
      <c r="F501" t="str">
        <f t="shared" si="61"/>
        <v/>
      </c>
    </row>
    <row r="502" spans="1:6" x14ac:dyDescent="0.2">
      <c r="A502" t="s">
        <v>877</v>
      </c>
      <c r="B502">
        <v>32999.541487000002</v>
      </c>
      <c r="C502">
        <v>-1350.4977550000001</v>
      </c>
      <c r="D502">
        <v>-0.259272</v>
      </c>
      <c r="E502">
        <f t="shared" si="60"/>
        <v>112</v>
      </c>
      <c r="F502" t="str">
        <f t="shared" si="61"/>
        <v/>
      </c>
    </row>
    <row r="503" spans="1:6" x14ac:dyDescent="0.2">
      <c r="A503" t="s">
        <v>878</v>
      </c>
      <c r="B503">
        <v>32999.543257999998</v>
      </c>
      <c r="C503">
        <v>-1200.5068679999999</v>
      </c>
      <c r="D503">
        <v>-100.261802</v>
      </c>
      <c r="E503">
        <f t="shared" si="60"/>
        <v>113</v>
      </c>
      <c r="F503" t="str">
        <f t="shared" si="61"/>
        <v/>
      </c>
    </row>
    <row r="504" spans="1:6" x14ac:dyDescent="0.2">
      <c r="A504" t="s">
        <v>879</v>
      </c>
      <c r="B504">
        <v>32999.543127999998</v>
      </c>
      <c r="C504">
        <v>-1050.489824</v>
      </c>
      <c r="D504">
        <v>-200.263824</v>
      </c>
      <c r="E504">
        <f t="shared" si="60"/>
        <v>114</v>
      </c>
      <c r="F504" t="str">
        <f t="shared" si="61"/>
        <v/>
      </c>
    </row>
    <row r="505" spans="1:6" x14ac:dyDescent="0.2">
      <c r="A505" t="s">
        <v>880</v>
      </c>
      <c r="B505">
        <v>32999.554423000001</v>
      </c>
      <c r="C505">
        <v>-900.49581899999998</v>
      </c>
      <c r="D505">
        <v>-300.27790599999997</v>
      </c>
      <c r="E505">
        <f t="shared" si="60"/>
        <v>115</v>
      </c>
      <c r="F505" t="str">
        <f t="shared" si="61"/>
        <v/>
      </c>
    </row>
    <row r="506" spans="1:6" x14ac:dyDescent="0.2">
      <c r="A506" t="s">
        <v>881</v>
      </c>
      <c r="B506">
        <v>32999.573937000001</v>
      </c>
      <c r="C506">
        <v>-750.48474699999997</v>
      </c>
      <c r="D506">
        <v>-400.27617299999997</v>
      </c>
      <c r="E506">
        <f t="shared" si="60"/>
        <v>116</v>
      </c>
      <c r="F506" t="str">
        <f t="shared" si="61"/>
        <v/>
      </c>
    </row>
    <row r="507" spans="1:6" x14ac:dyDescent="0.2">
      <c r="A507" t="s">
        <v>882</v>
      </c>
      <c r="B507">
        <v>32999.569452999996</v>
      </c>
      <c r="C507">
        <v>-600.48990500000002</v>
      </c>
      <c r="D507">
        <v>-500.28848499999998</v>
      </c>
      <c r="E507">
        <f t="shared" si="60"/>
        <v>117</v>
      </c>
      <c r="F507" t="str">
        <f t="shared" si="61"/>
        <v/>
      </c>
    </row>
    <row r="508" spans="1:6" x14ac:dyDescent="0.2">
      <c r="A508" t="s">
        <v>883</v>
      </c>
      <c r="B508">
        <v>32999.586495000003</v>
      </c>
      <c r="C508">
        <v>-450.49524100000002</v>
      </c>
      <c r="D508">
        <v>-600.28247999999996</v>
      </c>
      <c r="E508">
        <f t="shared" si="60"/>
        <v>118</v>
      </c>
      <c r="F508" t="str">
        <f t="shared" si="61"/>
        <v/>
      </c>
    </row>
    <row r="509" spans="1:6" x14ac:dyDescent="0.2">
      <c r="A509" t="s">
        <v>884</v>
      </c>
      <c r="B509">
        <v>32999.606533999999</v>
      </c>
      <c r="C509">
        <v>-300.52312499999999</v>
      </c>
      <c r="D509">
        <v>-700.28418899999997</v>
      </c>
      <c r="E509">
        <f t="shared" si="60"/>
        <v>119</v>
      </c>
      <c r="F509" t="str">
        <f t="shared" si="61"/>
        <v/>
      </c>
    </row>
    <row r="510" spans="1:6" x14ac:dyDescent="0.2">
      <c r="A510" t="s">
        <v>885</v>
      </c>
      <c r="B510">
        <v>32999.610652000003</v>
      </c>
      <c r="C510">
        <v>-150.550781</v>
      </c>
      <c r="D510">
        <v>-800.27989200000002</v>
      </c>
      <c r="E510">
        <f t="shared" si="60"/>
        <v>120</v>
      </c>
      <c r="F510" t="str">
        <f t="shared" si="61"/>
        <v/>
      </c>
    </row>
    <row r="511" spans="1:6" x14ac:dyDescent="0.2">
      <c r="A511" t="s">
        <v>886</v>
      </c>
      <c r="B511">
        <v>32999.616112999996</v>
      </c>
      <c r="C511">
        <v>-0.54200599999999999</v>
      </c>
      <c r="D511">
        <v>-900.27610600000003</v>
      </c>
      <c r="E511">
        <f t="shared" si="60"/>
        <v>121</v>
      </c>
      <c r="F511" t="str">
        <f t="shared" si="61"/>
        <v/>
      </c>
    </row>
    <row r="512" spans="1:6" x14ac:dyDescent="0.2">
      <c r="A512" t="s">
        <v>887</v>
      </c>
      <c r="B512">
        <v>32999.618858000002</v>
      </c>
      <c r="C512">
        <v>149.457539</v>
      </c>
      <c r="D512">
        <v>-1000.271273</v>
      </c>
      <c r="E512">
        <f t="shared" si="60"/>
        <v>122</v>
      </c>
      <c r="F512" t="str">
        <f t="shared" si="61"/>
        <v/>
      </c>
    </row>
    <row r="513" spans="1:6" x14ac:dyDescent="0.2">
      <c r="A513" t="s">
        <v>888</v>
      </c>
      <c r="B513">
        <v>32999.644663999999</v>
      </c>
      <c r="C513">
        <v>299.42302100000001</v>
      </c>
      <c r="D513">
        <v>-1100.2763179999999</v>
      </c>
      <c r="E513">
        <f t="shared" si="60"/>
        <v>123</v>
      </c>
      <c r="F513" t="str">
        <f t="shared" si="61"/>
        <v/>
      </c>
    </row>
    <row r="514" spans="1:6" x14ac:dyDescent="0.2">
      <c r="A514" t="s">
        <v>889</v>
      </c>
      <c r="B514">
        <v>32999.643274000002</v>
      </c>
      <c r="C514">
        <v>449.394926</v>
      </c>
      <c r="D514">
        <v>-1200.279745</v>
      </c>
      <c r="E514">
        <f t="shared" si="60"/>
        <v>124</v>
      </c>
      <c r="F514" t="str">
        <f t="shared" si="61"/>
        <v/>
      </c>
    </row>
    <row r="515" spans="1:6" x14ac:dyDescent="0.2">
      <c r="A515" t="s">
        <v>890</v>
      </c>
      <c r="B515">
        <v>32999.654004000004</v>
      </c>
      <c r="C515">
        <v>599.37559899999997</v>
      </c>
      <c r="D515">
        <v>-1300.297924</v>
      </c>
      <c r="E515">
        <f t="shared" si="60"/>
        <v>125</v>
      </c>
      <c r="F515" t="str">
        <f t="shared" si="61"/>
        <v/>
      </c>
    </row>
    <row r="516" spans="1:6" x14ac:dyDescent="0.2">
      <c r="A516" t="s">
        <v>891</v>
      </c>
      <c r="B516">
        <v>32999.647936000001</v>
      </c>
      <c r="C516">
        <v>749.33356500000002</v>
      </c>
      <c r="D516">
        <v>-1400.3027460000001</v>
      </c>
      <c r="E516">
        <f t="shared" ref="E516:E583" si="62">RIGHT(A516,LEN(A516)-FIND("_",A516,FIND("_",A516)+1))*1</f>
        <v>126</v>
      </c>
      <c r="F516" t="str">
        <f t="shared" ref="F516:F583" si="63">IF(E516&lt;&gt;1+E515,"err","")</f>
        <v/>
      </c>
    </row>
    <row r="517" spans="1:6" x14ac:dyDescent="0.2">
      <c r="A517" t="s">
        <v>892</v>
      </c>
      <c r="B517">
        <v>32999.658325999997</v>
      </c>
      <c r="C517">
        <v>899.30624799999998</v>
      </c>
      <c r="D517">
        <v>-1500.302895</v>
      </c>
      <c r="E517">
        <f t="shared" si="62"/>
        <v>127</v>
      </c>
      <c r="F517" t="str">
        <f t="shared" si="63"/>
        <v/>
      </c>
    </row>
    <row r="518" spans="1:6" x14ac:dyDescent="0.2">
      <c r="A518" t="s">
        <v>893</v>
      </c>
      <c r="B518">
        <v>32999.646843000002</v>
      </c>
      <c r="C518">
        <v>1049.314396</v>
      </c>
      <c r="D518">
        <v>-1600.3069559999999</v>
      </c>
      <c r="E518">
        <f t="shared" si="62"/>
        <v>128</v>
      </c>
      <c r="F518" t="str">
        <f t="shared" si="63"/>
        <v/>
      </c>
    </row>
    <row r="519" spans="1:6" x14ac:dyDescent="0.2">
      <c r="A519" t="s">
        <v>894</v>
      </c>
      <c r="B519">
        <v>32999.656723</v>
      </c>
      <c r="C519">
        <v>1199.305805</v>
      </c>
      <c r="D519">
        <v>-1700.315687</v>
      </c>
      <c r="E519">
        <f t="shared" si="62"/>
        <v>129</v>
      </c>
      <c r="F519" t="str">
        <f t="shared" si="63"/>
        <v/>
      </c>
    </row>
    <row r="520" spans="1:6" x14ac:dyDescent="0.2">
      <c r="A520" t="s">
        <v>895</v>
      </c>
      <c r="B520">
        <v>32999.679914</v>
      </c>
      <c r="C520">
        <v>1349.3058880000001</v>
      </c>
      <c r="D520">
        <v>-1800.3122559999999</v>
      </c>
      <c r="E520">
        <f t="shared" si="62"/>
        <v>130</v>
      </c>
      <c r="F520" t="str">
        <f t="shared" si="63"/>
        <v/>
      </c>
    </row>
    <row r="521" spans="1:6" x14ac:dyDescent="0.2">
      <c r="A521" t="s">
        <v>896</v>
      </c>
      <c r="B521">
        <v>32999.681103000003</v>
      </c>
      <c r="C521">
        <v>1349.296482</v>
      </c>
      <c r="D521">
        <v>-1900.3069579999999</v>
      </c>
      <c r="E521">
        <f t="shared" si="62"/>
        <v>131</v>
      </c>
      <c r="F521" t="str">
        <f t="shared" si="63"/>
        <v/>
      </c>
    </row>
    <row r="522" spans="1:6" x14ac:dyDescent="0.2">
      <c r="A522" t="s">
        <v>897</v>
      </c>
      <c r="B522">
        <v>32999.693093000002</v>
      </c>
      <c r="C522">
        <v>1349.2990560000001</v>
      </c>
      <c r="D522">
        <v>-1800.314253</v>
      </c>
      <c r="E522">
        <f t="shared" si="62"/>
        <v>132</v>
      </c>
      <c r="F522" t="str">
        <f t="shared" si="63"/>
        <v/>
      </c>
    </row>
    <row r="523" spans="1:6" x14ac:dyDescent="0.2">
      <c r="A523" t="s">
        <v>898</v>
      </c>
      <c r="B523">
        <v>32999.673919000001</v>
      </c>
      <c r="C523">
        <v>1349.306118</v>
      </c>
      <c r="D523">
        <v>-1700.3068920000001</v>
      </c>
      <c r="E523">
        <f t="shared" si="62"/>
        <v>133</v>
      </c>
      <c r="F523" t="str">
        <f t="shared" si="63"/>
        <v/>
      </c>
    </row>
    <row r="524" spans="1:6" x14ac:dyDescent="0.2">
      <c r="A524" t="s">
        <v>899</v>
      </c>
      <c r="B524">
        <v>32999.692631999998</v>
      </c>
      <c r="C524">
        <v>1349.310575</v>
      </c>
      <c r="D524">
        <v>-1600.302316</v>
      </c>
      <c r="E524">
        <f t="shared" si="62"/>
        <v>134</v>
      </c>
      <c r="F524" t="str">
        <f t="shared" si="63"/>
        <v/>
      </c>
    </row>
    <row r="525" spans="1:6" x14ac:dyDescent="0.2">
      <c r="A525" t="s">
        <v>900</v>
      </c>
      <c r="B525">
        <v>32999.683826</v>
      </c>
      <c r="C525">
        <v>1349.3184759999999</v>
      </c>
      <c r="D525">
        <v>-1500.312013</v>
      </c>
      <c r="E525">
        <f t="shared" si="62"/>
        <v>135</v>
      </c>
      <c r="F525" t="str">
        <f t="shared" si="63"/>
        <v/>
      </c>
    </row>
    <row r="526" spans="1:6" x14ac:dyDescent="0.2">
      <c r="A526" t="s">
        <v>901</v>
      </c>
      <c r="B526">
        <v>32999.703835</v>
      </c>
      <c r="C526">
        <v>1349.334159</v>
      </c>
      <c r="D526">
        <v>-1400.3067579999999</v>
      </c>
      <c r="E526">
        <f t="shared" si="62"/>
        <v>136</v>
      </c>
      <c r="F526" t="str">
        <f t="shared" si="63"/>
        <v/>
      </c>
    </row>
    <row r="527" spans="1:6" x14ac:dyDescent="0.2">
      <c r="A527" t="s">
        <v>902</v>
      </c>
      <c r="B527">
        <v>32999.693936000003</v>
      </c>
      <c r="C527">
        <v>1349.3421149999999</v>
      </c>
      <c r="D527">
        <v>-1300.3139100000001</v>
      </c>
      <c r="E527">
        <f t="shared" si="62"/>
        <v>137</v>
      </c>
      <c r="F527" t="str">
        <f t="shared" si="63"/>
        <v/>
      </c>
    </row>
    <row r="528" spans="1:6" x14ac:dyDescent="0.2">
      <c r="A528" t="s">
        <v>903</v>
      </c>
      <c r="B528">
        <v>32999.691714000001</v>
      </c>
      <c r="C528">
        <v>1349.353073</v>
      </c>
      <c r="D528">
        <v>-1200.3130140000001</v>
      </c>
      <c r="E528">
        <f t="shared" si="62"/>
        <v>138</v>
      </c>
      <c r="F528" t="str">
        <f t="shared" si="63"/>
        <v/>
      </c>
    </row>
    <row r="529" spans="1:6" x14ac:dyDescent="0.2">
      <c r="A529" t="s">
        <v>904</v>
      </c>
      <c r="B529">
        <v>32999.675108000003</v>
      </c>
      <c r="C529">
        <v>1349.3589300000001</v>
      </c>
      <c r="D529">
        <v>-1100.315157</v>
      </c>
      <c r="E529">
        <f t="shared" si="62"/>
        <v>139</v>
      </c>
      <c r="F529" t="str">
        <f t="shared" si="63"/>
        <v/>
      </c>
    </row>
    <row r="530" spans="1:6" x14ac:dyDescent="0.2">
      <c r="A530" t="s">
        <v>905</v>
      </c>
      <c r="B530">
        <v>32999.674478000001</v>
      </c>
      <c r="C530">
        <v>1349.355605</v>
      </c>
      <c r="D530">
        <v>-1000.314876</v>
      </c>
      <c r="E530">
        <f t="shared" si="62"/>
        <v>140</v>
      </c>
      <c r="F530" t="str">
        <f t="shared" si="63"/>
        <v/>
      </c>
    </row>
    <row r="531" spans="1:6" x14ac:dyDescent="0.2">
      <c r="A531" t="s">
        <v>906</v>
      </c>
      <c r="B531">
        <v>32999.663133000002</v>
      </c>
      <c r="C531">
        <v>1349.36265</v>
      </c>
      <c r="D531">
        <v>-900.31968500000005</v>
      </c>
      <c r="E531">
        <f t="shared" si="62"/>
        <v>141</v>
      </c>
      <c r="F531" t="str">
        <f t="shared" si="63"/>
        <v/>
      </c>
    </row>
    <row r="532" spans="1:6" x14ac:dyDescent="0.2">
      <c r="A532" t="s">
        <v>907</v>
      </c>
      <c r="B532">
        <v>32999.660745000001</v>
      </c>
      <c r="C532">
        <v>1349.3775889999999</v>
      </c>
      <c r="D532">
        <v>-800.32208400000002</v>
      </c>
      <c r="E532">
        <f t="shared" si="62"/>
        <v>142</v>
      </c>
      <c r="F532" t="str">
        <f t="shared" si="63"/>
        <v/>
      </c>
    </row>
    <row r="533" spans="1:6" x14ac:dyDescent="0.2">
      <c r="A533" t="s">
        <v>908</v>
      </c>
      <c r="B533">
        <v>32999.658062000002</v>
      </c>
      <c r="C533">
        <v>1349.3828169999999</v>
      </c>
      <c r="D533">
        <v>-700.32462099999998</v>
      </c>
      <c r="E533">
        <f t="shared" si="62"/>
        <v>143</v>
      </c>
      <c r="F533" t="str">
        <f t="shared" si="63"/>
        <v/>
      </c>
    </row>
    <row r="534" spans="1:6" x14ac:dyDescent="0.2">
      <c r="A534" t="s">
        <v>909</v>
      </c>
      <c r="B534">
        <v>32999.652026000003</v>
      </c>
      <c r="C534">
        <v>1349.393967</v>
      </c>
      <c r="D534">
        <v>-600.327629</v>
      </c>
      <c r="E534">
        <f t="shared" si="62"/>
        <v>144</v>
      </c>
      <c r="F534" t="str">
        <f t="shared" si="63"/>
        <v/>
      </c>
    </row>
    <row r="535" spans="1:6" x14ac:dyDescent="0.2">
      <c r="A535" t="s">
        <v>910</v>
      </c>
      <c r="B535">
        <v>32999.647038000003</v>
      </c>
      <c r="C535">
        <v>1349.4158239999999</v>
      </c>
      <c r="D535">
        <v>-500.32884000000001</v>
      </c>
      <c r="E535">
        <f t="shared" si="62"/>
        <v>145</v>
      </c>
      <c r="F535" t="str">
        <f t="shared" si="63"/>
        <v/>
      </c>
    </row>
    <row r="536" spans="1:6" x14ac:dyDescent="0.2">
      <c r="A536" t="s">
        <v>911</v>
      </c>
      <c r="B536">
        <v>32999.642641999999</v>
      </c>
      <c r="C536">
        <v>1349.410582</v>
      </c>
      <c r="D536">
        <v>-400.32458200000002</v>
      </c>
      <c r="E536">
        <f t="shared" si="62"/>
        <v>146</v>
      </c>
      <c r="F536" t="str">
        <f t="shared" si="63"/>
        <v/>
      </c>
    </row>
    <row r="537" spans="1:6" x14ac:dyDescent="0.2">
      <c r="A537" t="s">
        <v>912</v>
      </c>
      <c r="B537">
        <v>32999.634710999999</v>
      </c>
      <c r="C537">
        <v>1349.40798</v>
      </c>
      <c r="D537">
        <v>-300.32736499999999</v>
      </c>
      <c r="E537">
        <f t="shared" si="62"/>
        <v>147</v>
      </c>
      <c r="F537" t="str">
        <f t="shared" si="63"/>
        <v/>
      </c>
    </row>
    <row r="538" spans="1:6" x14ac:dyDescent="0.2">
      <c r="A538" t="s">
        <v>913</v>
      </c>
      <c r="B538">
        <v>32999.640442000004</v>
      </c>
      <c r="C538">
        <v>1349.4048029999999</v>
      </c>
      <c r="D538">
        <v>-200.328394</v>
      </c>
      <c r="E538">
        <f t="shared" si="62"/>
        <v>148</v>
      </c>
      <c r="F538" t="str">
        <f t="shared" si="63"/>
        <v/>
      </c>
    </row>
    <row r="539" spans="1:6" x14ac:dyDescent="0.2">
      <c r="A539" t="s">
        <v>914</v>
      </c>
      <c r="B539">
        <v>32999.631181999997</v>
      </c>
      <c r="C539">
        <v>1349.409627</v>
      </c>
      <c r="D539">
        <v>-100.328791</v>
      </c>
      <c r="E539">
        <f t="shared" si="62"/>
        <v>149</v>
      </c>
      <c r="F539" t="str">
        <f t="shared" si="63"/>
        <v/>
      </c>
    </row>
    <row r="540" spans="1:6" x14ac:dyDescent="0.2">
      <c r="A540" t="s">
        <v>915</v>
      </c>
      <c r="B540">
        <v>32999.628986000003</v>
      </c>
      <c r="C540">
        <v>1349.4117450000001</v>
      </c>
      <c r="D540">
        <v>-0.31867200000000001</v>
      </c>
      <c r="E540">
        <f t="shared" si="62"/>
        <v>150</v>
      </c>
      <c r="F540" t="str">
        <f t="shared" si="63"/>
        <v/>
      </c>
    </row>
    <row r="541" spans="1:6" x14ac:dyDescent="0.2">
      <c r="A541" t="s">
        <v>916</v>
      </c>
      <c r="B541">
        <v>36979.629529999998</v>
      </c>
      <c r="C541">
        <v>809.28730399999995</v>
      </c>
      <c r="D541">
        <v>-1270.328829</v>
      </c>
      <c r="E541">
        <f>RIGHT(A541,LEN(A541)-FIND("_",A541,FIND("_",A541)+1))*1</f>
        <v>1</v>
      </c>
      <c r="F541" t="str">
        <f>IF(E541&lt;&gt;1+E799,"err","")</f>
        <v>err</v>
      </c>
    </row>
    <row r="542" spans="1:6" x14ac:dyDescent="0.2">
      <c r="A542" t="s">
        <v>917</v>
      </c>
      <c r="B542">
        <v>36139.634539999999</v>
      </c>
      <c r="C542">
        <v>809.27353100000005</v>
      </c>
      <c r="D542">
        <v>-1270.3282650000001</v>
      </c>
      <c r="E542">
        <f>RIGHT(A542,LEN(A542)-FIND("_",A542,FIND("_",A542)+1))*1</f>
        <v>2</v>
      </c>
      <c r="F542" t="str">
        <f>IF(E542&lt;&gt;1+E541,"err","")</f>
        <v/>
      </c>
    </row>
    <row r="543" spans="1:6" x14ac:dyDescent="0.2">
      <c r="A543" t="s">
        <v>918</v>
      </c>
      <c r="B543">
        <v>36139.638592000003</v>
      </c>
      <c r="C543">
        <v>59.376404999999998</v>
      </c>
      <c r="D543">
        <v>-1270.3015330000001</v>
      </c>
      <c r="E543">
        <f>RIGHT(A543,LEN(A543)-FIND("_",A543,FIND("_",A543)+1))*1</f>
        <v>3</v>
      </c>
      <c r="F543" t="str">
        <f>IF(E543&lt;&gt;1+E542,"err","")</f>
        <v/>
      </c>
    </row>
    <row r="544" spans="1:6" x14ac:dyDescent="0.2">
      <c r="A544" t="s">
        <v>919</v>
      </c>
      <c r="B544">
        <v>36979.634071</v>
      </c>
      <c r="C544">
        <v>59.360537000000001</v>
      </c>
      <c r="D544">
        <v>-1270.3014169999999</v>
      </c>
      <c r="E544">
        <f>RIGHT(A544,LEN(A544)-FIND("_",A544,FIND("_",A544)+1))*1</f>
        <v>4</v>
      </c>
      <c r="F544" t="str">
        <f>IF(E544&lt;&gt;1+E543,"err","")</f>
        <v/>
      </c>
    </row>
    <row r="545" spans="1:6" x14ac:dyDescent="0.2">
      <c r="A545" t="s">
        <v>700</v>
      </c>
      <c r="B545">
        <v>499.04777799999999</v>
      </c>
      <c r="C545">
        <v>-1349.8446280000001</v>
      </c>
      <c r="D545">
        <v>-1599.958269</v>
      </c>
      <c r="E545">
        <f t="shared" si="62"/>
        <v>1</v>
      </c>
      <c r="F545" t="str">
        <f>IF(E545&lt;&gt;1+E540,"err","")</f>
        <v>err</v>
      </c>
    </row>
    <row r="546" spans="1:6" x14ac:dyDescent="0.2">
      <c r="A546" t="s">
        <v>701</v>
      </c>
      <c r="B546">
        <v>2499.1613010000001</v>
      </c>
      <c r="C546">
        <v>-1181.1659480000001</v>
      </c>
      <c r="D546">
        <v>-1499.9848939999999</v>
      </c>
      <c r="E546">
        <f t="shared" si="62"/>
        <v>2</v>
      </c>
      <c r="F546" t="str">
        <f t="shared" si="63"/>
        <v/>
      </c>
    </row>
    <row r="547" spans="1:6" x14ac:dyDescent="0.2">
      <c r="A547" t="s">
        <v>702</v>
      </c>
      <c r="B547">
        <v>4499.1608939999996</v>
      </c>
      <c r="C547">
        <v>-1012.439814</v>
      </c>
      <c r="D547">
        <v>-1400.001984</v>
      </c>
      <c r="E547">
        <f t="shared" si="62"/>
        <v>3</v>
      </c>
      <c r="F547" t="str">
        <f t="shared" si="63"/>
        <v/>
      </c>
    </row>
    <row r="548" spans="1:6" x14ac:dyDescent="0.2">
      <c r="A548" t="s">
        <v>703</v>
      </c>
      <c r="B548">
        <v>6499.3009099999999</v>
      </c>
      <c r="C548">
        <v>-843.67258200000003</v>
      </c>
      <c r="D548">
        <v>-1300.0183649999999</v>
      </c>
      <c r="E548">
        <f t="shared" si="62"/>
        <v>4</v>
      </c>
      <c r="F548" t="str">
        <f t="shared" si="63"/>
        <v/>
      </c>
    </row>
    <row r="549" spans="1:6" x14ac:dyDescent="0.2">
      <c r="A549" t="s">
        <v>704</v>
      </c>
      <c r="B549">
        <v>8499.3228130000007</v>
      </c>
      <c r="C549">
        <v>-674.82897400000002</v>
      </c>
      <c r="D549">
        <v>-1200.0130380000001</v>
      </c>
      <c r="E549">
        <f t="shared" si="62"/>
        <v>5</v>
      </c>
      <c r="F549" t="str">
        <f t="shared" si="63"/>
        <v/>
      </c>
    </row>
    <row r="550" spans="1:6" x14ac:dyDescent="0.2">
      <c r="A550" t="s">
        <v>705</v>
      </c>
      <c r="B550">
        <v>10499.285347999999</v>
      </c>
      <c r="C550">
        <v>-506.08507400000002</v>
      </c>
      <c r="D550">
        <v>-1100.01629</v>
      </c>
      <c r="E550">
        <f t="shared" si="62"/>
        <v>6</v>
      </c>
      <c r="F550" t="str">
        <f t="shared" si="63"/>
        <v/>
      </c>
    </row>
    <row r="551" spans="1:6" x14ac:dyDescent="0.2">
      <c r="A551" t="s">
        <v>706</v>
      </c>
      <c r="B551">
        <v>12499.337347000001</v>
      </c>
      <c r="C551">
        <v>-337.40105599999998</v>
      </c>
      <c r="D551">
        <v>-1000.0373059999999</v>
      </c>
      <c r="E551">
        <f t="shared" si="62"/>
        <v>7</v>
      </c>
      <c r="F551" t="str">
        <f t="shared" si="63"/>
        <v/>
      </c>
    </row>
    <row r="552" spans="1:6" x14ac:dyDescent="0.2">
      <c r="A552" t="s">
        <v>707</v>
      </c>
      <c r="B552">
        <v>14499.385979000001</v>
      </c>
      <c r="C552">
        <v>-168.759536</v>
      </c>
      <c r="D552">
        <v>-900.011392</v>
      </c>
      <c r="E552">
        <f t="shared" si="62"/>
        <v>8</v>
      </c>
      <c r="F552" t="str">
        <f t="shared" si="63"/>
        <v/>
      </c>
    </row>
    <row r="553" spans="1:6" x14ac:dyDescent="0.2">
      <c r="A553" t="s">
        <v>708</v>
      </c>
      <c r="B553">
        <v>16499.407216</v>
      </c>
      <c r="C553">
        <v>-0.113541</v>
      </c>
      <c r="D553">
        <v>-800.04510400000004</v>
      </c>
      <c r="E553">
        <f t="shared" si="62"/>
        <v>9</v>
      </c>
      <c r="F553" t="str">
        <f t="shared" si="63"/>
        <v/>
      </c>
    </row>
    <row r="554" spans="1:6" x14ac:dyDescent="0.2">
      <c r="A554" t="s">
        <v>709</v>
      </c>
      <c r="B554">
        <v>18499.463513999999</v>
      </c>
      <c r="C554">
        <v>168.65420499999999</v>
      </c>
      <c r="D554">
        <v>-700.04316400000005</v>
      </c>
      <c r="E554">
        <f t="shared" si="62"/>
        <v>10</v>
      </c>
      <c r="F554" t="str">
        <f t="shared" si="63"/>
        <v/>
      </c>
    </row>
    <row r="555" spans="1:6" x14ac:dyDescent="0.2">
      <c r="A555" t="s">
        <v>710</v>
      </c>
      <c r="B555">
        <v>20499.500846999999</v>
      </c>
      <c r="C555">
        <v>337.37159200000002</v>
      </c>
      <c r="D555">
        <v>-600.05581099999995</v>
      </c>
      <c r="E555">
        <f t="shared" si="62"/>
        <v>11</v>
      </c>
      <c r="F555" t="str">
        <f t="shared" si="63"/>
        <v/>
      </c>
    </row>
    <row r="556" spans="1:6" x14ac:dyDescent="0.2">
      <c r="A556" t="s">
        <v>711</v>
      </c>
      <c r="B556">
        <v>22499.475997000001</v>
      </c>
      <c r="C556">
        <v>506.052369</v>
      </c>
      <c r="D556">
        <v>-500.09968400000002</v>
      </c>
      <c r="E556">
        <f t="shared" si="62"/>
        <v>12</v>
      </c>
      <c r="F556" t="str">
        <f t="shared" si="63"/>
        <v/>
      </c>
    </row>
    <row r="557" spans="1:6" x14ac:dyDescent="0.2">
      <c r="A557" t="s">
        <v>712</v>
      </c>
      <c r="B557">
        <v>24499.585491000002</v>
      </c>
      <c r="C557">
        <v>674.692409</v>
      </c>
      <c r="D557">
        <v>-400.14685400000002</v>
      </c>
      <c r="E557">
        <f t="shared" si="62"/>
        <v>13</v>
      </c>
      <c r="F557" t="str">
        <f t="shared" si="63"/>
        <v/>
      </c>
    </row>
    <row r="558" spans="1:6" x14ac:dyDescent="0.2">
      <c r="A558" t="s">
        <v>713</v>
      </c>
      <c r="B558">
        <v>26499.638761999999</v>
      </c>
      <c r="C558">
        <v>843.31243500000005</v>
      </c>
      <c r="D558">
        <v>-300.184439</v>
      </c>
      <c r="E558">
        <f t="shared" si="62"/>
        <v>14</v>
      </c>
      <c r="F558" t="str">
        <f t="shared" si="63"/>
        <v/>
      </c>
    </row>
    <row r="559" spans="1:6" x14ac:dyDescent="0.2">
      <c r="A559" t="s">
        <v>714</v>
      </c>
      <c r="B559">
        <v>28499.655128999999</v>
      </c>
      <c r="C559">
        <v>1012.056799</v>
      </c>
      <c r="D559">
        <v>-200.195155</v>
      </c>
      <c r="E559">
        <f t="shared" si="62"/>
        <v>15</v>
      </c>
      <c r="F559" t="str">
        <f t="shared" si="63"/>
        <v/>
      </c>
    </row>
    <row r="560" spans="1:6" x14ac:dyDescent="0.2">
      <c r="A560" t="s">
        <v>1150</v>
      </c>
      <c r="B560">
        <v>30499.576851000002</v>
      </c>
      <c r="C560">
        <v>1180.8239590000001</v>
      </c>
      <c r="D560">
        <v>-100.271569</v>
      </c>
      <c r="E560">
        <f t="shared" si="62"/>
        <v>16</v>
      </c>
      <c r="F560" t="str">
        <f t="shared" si="63"/>
        <v/>
      </c>
    </row>
    <row r="561" spans="1:6" x14ac:dyDescent="0.2">
      <c r="A561" t="s">
        <v>715</v>
      </c>
      <c r="B561">
        <v>32499.630476999999</v>
      </c>
      <c r="C561">
        <v>1349.4250509999999</v>
      </c>
      <c r="D561">
        <v>-0.31033100000000002</v>
      </c>
      <c r="E561">
        <f t="shared" si="62"/>
        <v>17</v>
      </c>
      <c r="F561" t="str">
        <f t="shared" si="63"/>
        <v/>
      </c>
    </row>
    <row r="562" spans="1:6" x14ac:dyDescent="0.2">
      <c r="A562" t="s">
        <v>716</v>
      </c>
      <c r="B562">
        <v>32499.513244999998</v>
      </c>
      <c r="C562">
        <v>-1350.498871</v>
      </c>
      <c r="D562">
        <v>-0.22805600000000001</v>
      </c>
      <c r="E562">
        <f t="shared" si="62"/>
        <v>18</v>
      </c>
      <c r="F562" t="str">
        <f t="shared" si="63"/>
        <v/>
      </c>
    </row>
    <row r="563" spans="1:6" x14ac:dyDescent="0.2">
      <c r="A563" t="s">
        <v>717</v>
      </c>
      <c r="B563">
        <v>30499.462464</v>
      </c>
      <c r="C563">
        <v>-1181.6419040000001</v>
      </c>
      <c r="D563">
        <v>-100.20540699999999</v>
      </c>
      <c r="E563">
        <f t="shared" si="62"/>
        <v>19</v>
      </c>
      <c r="F563" t="str">
        <f t="shared" si="63"/>
        <v/>
      </c>
    </row>
    <row r="564" spans="1:6" x14ac:dyDescent="0.2">
      <c r="A564" t="s">
        <v>718</v>
      </c>
      <c r="B564">
        <v>28499.532898000001</v>
      </c>
      <c r="C564">
        <v>-1012.839801</v>
      </c>
      <c r="D564">
        <v>-200.15166600000001</v>
      </c>
      <c r="E564">
        <f t="shared" si="62"/>
        <v>20</v>
      </c>
      <c r="F564" t="str">
        <f t="shared" si="63"/>
        <v/>
      </c>
    </row>
    <row r="565" spans="1:6" x14ac:dyDescent="0.2">
      <c r="A565" t="s">
        <v>719</v>
      </c>
      <c r="B565">
        <v>26499.501074</v>
      </c>
      <c r="C565">
        <v>-844.07768299999998</v>
      </c>
      <c r="D565">
        <v>-300.169648</v>
      </c>
      <c r="E565">
        <f t="shared" si="62"/>
        <v>21</v>
      </c>
      <c r="F565" t="str">
        <f t="shared" si="63"/>
        <v/>
      </c>
    </row>
    <row r="566" spans="1:6" x14ac:dyDescent="0.2">
      <c r="A566" t="s">
        <v>720</v>
      </c>
      <c r="B566">
        <v>24499.459858999999</v>
      </c>
      <c r="C566">
        <v>-675.21507799999995</v>
      </c>
      <c r="D566">
        <v>-400.14013699999998</v>
      </c>
      <c r="E566">
        <f t="shared" si="62"/>
        <v>22</v>
      </c>
      <c r="F566" t="str">
        <f t="shared" si="63"/>
        <v/>
      </c>
    </row>
    <row r="567" spans="1:6" x14ac:dyDescent="0.2">
      <c r="A567" t="s">
        <v>721</v>
      </c>
      <c r="B567">
        <v>22499.386052000002</v>
      </c>
      <c r="C567">
        <v>-506.37178699999998</v>
      </c>
      <c r="D567">
        <v>-500.10859799999997</v>
      </c>
      <c r="E567">
        <f t="shared" si="62"/>
        <v>23</v>
      </c>
      <c r="F567" t="str">
        <f t="shared" si="63"/>
        <v/>
      </c>
    </row>
    <row r="568" spans="1:6" x14ac:dyDescent="0.2">
      <c r="A568" t="s">
        <v>722</v>
      </c>
      <c r="B568">
        <v>20499.443115999999</v>
      </c>
      <c r="C568">
        <v>-337.60957100000002</v>
      </c>
      <c r="D568">
        <v>-600.083574</v>
      </c>
      <c r="E568">
        <f t="shared" si="62"/>
        <v>24</v>
      </c>
      <c r="F568" t="str">
        <f t="shared" si="63"/>
        <v/>
      </c>
    </row>
    <row r="569" spans="1:6" x14ac:dyDescent="0.2">
      <c r="A569" t="s">
        <v>723</v>
      </c>
      <c r="B569">
        <v>18499.433428</v>
      </c>
      <c r="C569">
        <v>-168.86238299999999</v>
      </c>
      <c r="D569">
        <v>-700.06148099999996</v>
      </c>
      <c r="E569">
        <f t="shared" si="62"/>
        <v>25</v>
      </c>
      <c r="F569" t="str">
        <f t="shared" si="63"/>
        <v/>
      </c>
    </row>
    <row r="570" spans="1:6" x14ac:dyDescent="0.2">
      <c r="A570" t="s">
        <v>724</v>
      </c>
      <c r="B570">
        <v>16499.410264999999</v>
      </c>
      <c r="C570">
        <v>-9.7853999999999997E-2</v>
      </c>
      <c r="D570">
        <v>-800.05907500000001</v>
      </c>
      <c r="E570">
        <f t="shared" si="62"/>
        <v>26</v>
      </c>
      <c r="F570" t="str">
        <f t="shared" si="63"/>
        <v/>
      </c>
    </row>
    <row r="571" spans="1:6" x14ac:dyDescent="0.2">
      <c r="A571" t="s">
        <v>725</v>
      </c>
      <c r="B571">
        <v>14499.440861999999</v>
      </c>
      <c r="C571">
        <v>168.786416</v>
      </c>
      <c r="D571">
        <v>-900.03429700000004</v>
      </c>
      <c r="E571">
        <f t="shared" si="62"/>
        <v>27</v>
      </c>
      <c r="F571" t="str">
        <f t="shared" si="63"/>
        <v/>
      </c>
    </row>
    <row r="572" spans="1:6" x14ac:dyDescent="0.2">
      <c r="A572" t="s">
        <v>726</v>
      </c>
      <c r="B572">
        <v>12499.448774</v>
      </c>
      <c r="C572">
        <v>337.59528399999999</v>
      </c>
      <c r="D572">
        <v>-1000.051667</v>
      </c>
      <c r="E572">
        <f t="shared" si="62"/>
        <v>28</v>
      </c>
      <c r="F572" t="str">
        <f t="shared" si="63"/>
        <v/>
      </c>
    </row>
    <row r="573" spans="1:6" x14ac:dyDescent="0.2">
      <c r="A573" t="s">
        <v>727</v>
      </c>
      <c r="B573">
        <v>10499.451650999999</v>
      </c>
      <c r="C573">
        <v>506.35413899999998</v>
      </c>
      <c r="D573">
        <v>-1100.0491830000001</v>
      </c>
      <c r="E573">
        <f t="shared" si="62"/>
        <v>29</v>
      </c>
      <c r="F573" t="str">
        <f t="shared" si="63"/>
        <v/>
      </c>
    </row>
    <row r="574" spans="1:6" x14ac:dyDescent="0.2">
      <c r="A574" t="s">
        <v>728</v>
      </c>
      <c r="B574">
        <v>8499.4565540000003</v>
      </c>
      <c r="C574">
        <v>675.06520999999998</v>
      </c>
      <c r="D574">
        <v>-1200.0641310000001</v>
      </c>
      <c r="E574">
        <f t="shared" si="62"/>
        <v>30</v>
      </c>
      <c r="F574" t="str">
        <f t="shared" si="63"/>
        <v/>
      </c>
    </row>
    <row r="575" spans="1:6" x14ac:dyDescent="0.2">
      <c r="A575" t="s">
        <v>729</v>
      </c>
      <c r="B575">
        <v>6499.5297330000003</v>
      </c>
      <c r="C575">
        <v>843.74210200000005</v>
      </c>
      <c r="D575">
        <v>-1300.095775</v>
      </c>
      <c r="E575">
        <f t="shared" si="62"/>
        <v>31</v>
      </c>
      <c r="F575" t="str">
        <f t="shared" si="63"/>
        <v/>
      </c>
    </row>
    <row r="576" spans="1:6" x14ac:dyDescent="0.2">
      <c r="A576" t="s">
        <v>730</v>
      </c>
      <c r="B576">
        <v>4499.4660100000001</v>
      </c>
      <c r="C576">
        <v>1012.47873</v>
      </c>
      <c r="D576">
        <v>-1400.091177</v>
      </c>
      <c r="E576">
        <f t="shared" si="62"/>
        <v>32</v>
      </c>
      <c r="F576" t="str">
        <f t="shared" si="63"/>
        <v/>
      </c>
    </row>
    <row r="577" spans="1:6" x14ac:dyDescent="0.2">
      <c r="A577" t="s">
        <v>731</v>
      </c>
      <c r="B577">
        <v>2499.5321520000002</v>
      </c>
      <c r="C577">
        <v>1181.25458</v>
      </c>
      <c r="D577">
        <v>-1500.0867009999999</v>
      </c>
      <c r="E577">
        <f t="shared" si="62"/>
        <v>33</v>
      </c>
      <c r="F577" t="str">
        <f t="shared" si="63"/>
        <v/>
      </c>
    </row>
    <row r="578" spans="1:6" x14ac:dyDescent="0.2">
      <c r="A578" t="s">
        <v>732</v>
      </c>
      <c r="B578">
        <v>499.49846200000002</v>
      </c>
      <c r="C578">
        <v>1350.0587310000001</v>
      </c>
      <c r="D578">
        <v>-1600.033979</v>
      </c>
      <c r="E578">
        <f t="shared" si="62"/>
        <v>34</v>
      </c>
      <c r="F578" t="str">
        <f t="shared" si="63"/>
        <v/>
      </c>
    </row>
    <row r="579" spans="1:6" x14ac:dyDescent="0.2">
      <c r="A579" t="s">
        <v>733</v>
      </c>
      <c r="B579">
        <v>499.467151</v>
      </c>
      <c r="C579">
        <v>1350.1715790000001</v>
      </c>
      <c r="D579">
        <v>-5.7711999999999999E-2</v>
      </c>
      <c r="E579">
        <f t="shared" si="62"/>
        <v>35</v>
      </c>
      <c r="F579" t="str">
        <f t="shared" si="63"/>
        <v/>
      </c>
    </row>
    <row r="580" spans="1:6" x14ac:dyDescent="0.2">
      <c r="A580" t="s">
        <v>734</v>
      </c>
      <c r="B580">
        <v>2499.4804049999998</v>
      </c>
      <c r="C580">
        <v>1181.3504780000001</v>
      </c>
      <c r="D580">
        <v>-100.108723</v>
      </c>
      <c r="E580">
        <f t="shared" si="62"/>
        <v>36</v>
      </c>
      <c r="F580" t="str">
        <f t="shared" si="63"/>
        <v/>
      </c>
    </row>
    <row r="581" spans="1:6" x14ac:dyDescent="0.2">
      <c r="A581" t="s">
        <v>735</v>
      </c>
      <c r="B581">
        <v>4499.4522569999999</v>
      </c>
      <c r="C581">
        <v>1012.542895</v>
      </c>
      <c r="D581">
        <v>-200.10238100000001</v>
      </c>
      <c r="E581">
        <f t="shared" si="62"/>
        <v>37</v>
      </c>
      <c r="F581" t="str">
        <f t="shared" si="63"/>
        <v/>
      </c>
    </row>
    <row r="582" spans="1:6" x14ac:dyDescent="0.2">
      <c r="A582" t="s">
        <v>736</v>
      </c>
      <c r="B582">
        <v>6499.4931329999999</v>
      </c>
      <c r="C582">
        <v>843.82902100000001</v>
      </c>
      <c r="D582">
        <v>-300.10611299999999</v>
      </c>
      <c r="E582">
        <f t="shared" si="62"/>
        <v>38</v>
      </c>
      <c r="F582" t="str">
        <f t="shared" si="63"/>
        <v/>
      </c>
    </row>
    <row r="583" spans="1:6" x14ac:dyDescent="0.2">
      <c r="A583" t="s">
        <v>737</v>
      </c>
      <c r="B583">
        <v>8499.4412090000005</v>
      </c>
      <c r="C583">
        <v>675.21918800000003</v>
      </c>
      <c r="D583">
        <v>-400.08693899999997</v>
      </c>
      <c r="E583">
        <f t="shared" si="62"/>
        <v>39</v>
      </c>
      <c r="F583" t="str">
        <f t="shared" si="63"/>
        <v/>
      </c>
    </row>
    <row r="584" spans="1:6" x14ac:dyDescent="0.2">
      <c r="A584" t="s">
        <v>738</v>
      </c>
      <c r="B584">
        <v>10499.437676</v>
      </c>
      <c r="C584">
        <v>506.39812799999999</v>
      </c>
      <c r="D584">
        <v>-500.05032999999997</v>
      </c>
      <c r="E584">
        <f t="shared" ref="E584:E647" si="64">RIGHT(A584,LEN(A584)-FIND("_",A584,FIND("_",A584)+1))*1</f>
        <v>40</v>
      </c>
      <c r="F584" t="str">
        <f t="shared" ref="F584:F647" si="65">IF(E584&lt;&gt;1+E583,"err","")</f>
        <v/>
      </c>
    </row>
    <row r="585" spans="1:6" x14ac:dyDescent="0.2">
      <c r="A585" t="s">
        <v>739</v>
      </c>
      <c r="B585">
        <v>12499.446782000001</v>
      </c>
      <c r="C585">
        <v>337.63792000000001</v>
      </c>
      <c r="D585">
        <v>-600.048993</v>
      </c>
      <c r="E585">
        <f t="shared" si="64"/>
        <v>41</v>
      </c>
      <c r="F585" t="str">
        <f t="shared" si="65"/>
        <v/>
      </c>
    </row>
    <row r="586" spans="1:6" x14ac:dyDescent="0.2">
      <c r="A586" t="s">
        <v>740</v>
      </c>
      <c r="B586">
        <v>14499.436733</v>
      </c>
      <c r="C586">
        <v>168.79804100000001</v>
      </c>
      <c r="D586">
        <v>-700.01338599999997</v>
      </c>
      <c r="E586">
        <f t="shared" si="64"/>
        <v>42</v>
      </c>
      <c r="F586" t="str">
        <f t="shared" si="65"/>
        <v/>
      </c>
    </row>
    <row r="587" spans="1:6" x14ac:dyDescent="0.2">
      <c r="A587" t="s">
        <v>741</v>
      </c>
      <c r="B587">
        <v>16499.415802</v>
      </c>
      <c r="C587">
        <v>-6.0160999999999999E-2</v>
      </c>
      <c r="D587">
        <v>-800.03298600000005</v>
      </c>
      <c r="E587">
        <f t="shared" si="64"/>
        <v>43</v>
      </c>
      <c r="F587" t="str">
        <f t="shared" si="65"/>
        <v/>
      </c>
    </row>
    <row r="588" spans="1:6" x14ac:dyDescent="0.2">
      <c r="A588" t="s">
        <v>742</v>
      </c>
      <c r="B588">
        <v>18499.438614999999</v>
      </c>
      <c r="C588">
        <v>-168.85530499999999</v>
      </c>
      <c r="D588">
        <v>-900.04206799999997</v>
      </c>
      <c r="E588">
        <f t="shared" si="64"/>
        <v>44</v>
      </c>
      <c r="F588" t="str">
        <f t="shared" si="65"/>
        <v/>
      </c>
    </row>
    <row r="589" spans="1:6" x14ac:dyDescent="0.2">
      <c r="A589" t="s">
        <v>743</v>
      </c>
      <c r="B589">
        <v>20499.456811</v>
      </c>
      <c r="C589">
        <v>-337.58774799999998</v>
      </c>
      <c r="D589">
        <v>-1000.0532040000001</v>
      </c>
      <c r="E589">
        <f t="shared" si="64"/>
        <v>45</v>
      </c>
      <c r="F589" t="str">
        <f t="shared" si="65"/>
        <v/>
      </c>
    </row>
    <row r="590" spans="1:6" x14ac:dyDescent="0.2">
      <c r="A590" t="s">
        <v>744</v>
      </c>
      <c r="B590">
        <v>22499.419483000001</v>
      </c>
      <c r="C590">
        <v>-506.389274</v>
      </c>
      <c r="D590">
        <v>-1100.0786820000001</v>
      </c>
      <c r="E590">
        <f t="shared" si="64"/>
        <v>46</v>
      </c>
      <c r="F590" t="str">
        <f t="shared" si="65"/>
        <v/>
      </c>
    </row>
    <row r="591" spans="1:6" x14ac:dyDescent="0.2">
      <c r="A591" t="s">
        <v>745</v>
      </c>
      <c r="B591">
        <v>24499.526806999998</v>
      </c>
      <c r="C591">
        <v>-675.26117799999997</v>
      </c>
      <c r="D591">
        <v>-1200.11889</v>
      </c>
      <c r="E591">
        <f t="shared" si="64"/>
        <v>47</v>
      </c>
      <c r="F591" t="str">
        <f t="shared" si="65"/>
        <v/>
      </c>
    </row>
    <row r="592" spans="1:6" x14ac:dyDescent="0.2">
      <c r="A592" t="s">
        <v>746</v>
      </c>
      <c r="B592">
        <v>26499.570005000001</v>
      </c>
      <c r="C592">
        <v>-844.13727400000005</v>
      </c>
      <c r="D592">
        <v>-1300.153536</v>
      </c>
      <c r="E592">
        <f t="shared" si="64"/>
        <v>48</v>
      </c>
      <c r="F592" t="str">
        <f t="shared" si="65"/>
        <v/>
      </c>
    </row>
    <row r="593" spans="1:6" x14ac:dyDescent="0.2">
      <c r="A593" t="s">
        <v>747</v>
      </c>
      <c r="B593">
        <v>28499.626157999999</v>
      </c>
      <c r="C593">
        <v>-1012.920755</v>
      </c>
      <c r="D593">
        <v>-1400.1411869999999</v>
      </c>
      <c r="E593">
        <f t="shared" si="64"/>
        <v>49</v>
      </c>
      <c r="F593" t="str">
        <f t="shared" si="65"/>
        <v/>
      </c>
    </row>
    <row r="594" spans="1:6" x14ac:dyDescent="0.2">
      <c r="A594" t="s">
        <v>748</v>
      </c>
      <c r="B594">
        <v>30499.547541</v>
      </c>
      <c r="C594">
        <v>-1181.73928</v>
      </c>
      <c r="D594">
        <v>-1500.1982009999999</v>
      </c>
      <c r="E594">
        <f t="shared" si="64"/>
        <v>50</v>
      </c>
      <c r="F594" t="str">
        <f t="shared" si="65"/>
        <v/>
      </c>
    </row>
    <row r="595" spans="1:6" x14ac:dyDescent="0.2">
      <c r="A595" t="s">
        <v>749</v>
      </c>
      <c r="B595">
        <v>32499.613202</v>
      </c>
      <c r="C595">
        <v>-1350.5952629999999</v>
      </c>
      <c r="D595">
        <v>-1600.235259</v>
      </c>
      <c r="E595">
        <f t="shared" si="64"/>
        <v>51</v>
      </c>
      <c r="F595" t="str">
        <f t="shared" si="65"/>
        <v/>
      </c>
    </row>
    <row r="596" spans="1:6" x14ac:dyDescent="0.2">
      <c r="A596" t="s">
        <v>750</v>
      </c>
      <c r="B596">
        <v>32499.667378999999</v>
      </c>
      <c r="C596">
        <v>1349.3550949999999</v>
      </c>
      <c r="D596">
        <v>-1600.2928910000001</v>
      </c>
      <c r="E596">
        <f t="shared" si="64"/>
        <v>52</v>
      </c>
      <c r="F596" t="str">
        <f t="shared" si="65"/>
        <v/>
      </c>
    </row>
    <row r="597" spans="1:6" x14ac:dyDescent="0.2">
      <c r="A597" t="s">
        <v>751</v>
      </c>
      <c r="B597">
        <v>30499.586878999999</v>
      </c>
      <c r="C597">
        <v>1180.691685</v>
      </c>
      <c r="D597">
        <v>-1500.2853709999999</v>
      </c>
      <c r="E597">
        <f t="shared" si="64"/>
        <v>53</v>
      </c>
      <c r="F597" t="str">
        <f t="shared" si="65"/>
        <v/>
      </c>
    </row>
    <row r="598" spans="1:6" x14ac:dyDescent="0.2">
      <c r="A598" t="s">
        <v>1151</v>
      </c>
      <c r="B598">
        <v>28499.691007000001</v>
      </c>
      <c r="C598">
        <v>1012.136231</v>
      </c>
      <c r="D598">
        <v>-1400.168731</v>
      </c>
      <c r="E598">
        <f t="shared" si="64"/>
        <v>54</v>
      </c>
      <c r="F598" t="str">
        <f t="shared" si="65"/>
        <v/>
      </c>
    </row>
    <row r="599" spans="1:6" x14ac:dyDescent="0.2">
      <c r="A599" t="s">
        <v>752</v>
      </c>
      <c r="B599">
        <v>26499.676613</v>
      </c>
      <c r="C599">
        <v>843.29111899999998</v>
      </c>
      <c r="D599">
        <v>-1300.1658239999999</v>
      </c>
      <c r="E599">
        <f t="shared" si="64"/>
        <v>55</v>
      </c>
      <c r="F599" t="str">
        <f t="shared" si="65"/>
        <v/>
      </c>
    </row>
    <row r="600" spans="1:6" x14ac:dyDescent="0.2">
      <c r="A600" t="s">
        <v>753</v>
      </c>
      <c r="B600">
        <v>24499.638327000001</v>
      </c>
      <c r="C600">
        <v>674.65206899999998</v>
      </c>
      <c r="D600">
        <v>-1200.109504</v>
      </c>
      <c r="E600">
        <f t="shared" si="64"/>
        <v>56</v>
      </c>
      <c r="F600" t="str">
        <f t="shared" si="65"/>
        <v/>
      </c>
    </row>
    <row r="601" spans="1:6" x14ac:dyDescent="0.2">
      <c r="A601" t="s">
        <v>754</v>
      </c>
      <c r="B601">
        <v>22499.518179999999</v>
      </c>
      <c r="C601">
        <v>506.00500199999999</v>
      </c>
      <c r="D601">
        <v>-1100.0631980000001</v>
      </c>
      <c r="E601">
        <f t="shared" si="64"/>
        <v>57</v>
      </c>
      <c r="F601" t="str">
        <f t="shared" si="65"/>
        <v/>
      </c>
    </row>
    <row r="602" spans="1:6" x14ac:dyDescent="0.2">
      <c r="A602" t="s">
        <v>755</v>
      </c>
      <c r="B602">
        <v>20499.517113999998</v>
      </c>
      <c r="C602">
        <v>337.33018299999998</v>
      </c>
      <c r="D602">
        <v>-1000.026586</v>
      </c>
      <c r="E602">
        <f t="shared" si="64"/>
        <v>58</v>
      </c>
      <c r="F602" t="str">
        <f t="shared" si="65"/>
        <v/>
      </c>
    </row>
    <row r="603" spans="1:6" x14ac:dyDescent="0.2">
      <c r="A603" t="s">
        <v>756</v>
      </c>
      <c r="B603">
        <v>18499.473678999999</v>
      </c>
      <c r="C603">
        <v>168.629041</v>
      </c>
      <c r="D603">
        <v>-900.015852</v>
      </c>
      <c r="E603">
        <f t="shared" si="64"/>
        <v>59</v>
      </c>
      <c r="F603" t="str">
        <f t="shared" si="65"/>
        <v/>
      </c>
    </row>
    <row r="604" spans="1:6" x14ac:dyDescent="0.2">
      <c r="A604" t="s">
        <v>757</v>
      </c>
      <c r="B604">
        <v>16499.410087</v>
      </c>
      <c r="C604">
        <v>-9.6629000000000007E-2</v>
      </c>
      <c r="D604">
        <v>-800.02280499999995</v>
      </c>
      <c r="E604">
        <f t="shared" si="64"/>
        <v>60</v>
      </c>
      <c r="F604" t="str">
        <f t="shared" si="65"/>
        <v/>
      </c>
    </row>
    <row r="605" spans="1:6" x14ac:dyDescent="0.2">
      <c r="A605" t="s">
        <v>758</v>
      </c>
      <c r="B605">
        <v>14499.380326</v>
      </c>
      <c r="C605">
        <v>-168.71874700000001</v>
      </c>
      <c r="D605">
        <v>-700.00427400000001</v>
      </c>
      <c r="E605">
        <f t="shared" si="64"/>
        <v>61</v>
      </c>
      <c r="F605" t="str">
        <f t="shared" si="65"/>
        <v/>
      </c>
    </row>
    <row r="606" spans="1:6" x14ac:dyDescent="0.2">
      <c r="A606" t="s">
        <v>759</v>
      </c>
      <c r="B606">
        <v>12499.335772</v>
      </c>
      <c r="C606">
        <v>-337.35708599999998</v>
      </c>
      <c r="D606">
        <v>-600.02786600000002</v>
      </c>
      <c r="E606">
        <f t="shared" si="64"/>
        <v>62</v>
      </c>
      <c r="F606" t="str">
        <f t="shared" si="65"/>
        <v/>
      </c>
    </row>
    <row r="607" spans="1:6" x14ac:dyDescent="0.2">
      <c r="A607" t="s">
        <v>760</v>
      </c>
      <c r="B607">
        <v>10499.279614999999</v>
      </c>
      <c r="C607">
        <v>-506.02156300000001</v>
      </c>
      <c r="D607">
        <v>-500.01671099999999</v>
      </c>
      <c r="E607">
        <f t="shared" si="64"/>
        <v>63</v>
      </c>
      <c r="F607" t="str">
        <f t="shared" si="65"/>
        <v/>
      </c>
    </row>
    <row r="608" spans="1:6" x14ac:dyDescent="0.2">
      <c r="A608" t="s">
        <v>761</v>
      </c>
      <c r="B608">
        <v>8499.2576640000007</v>
      </c>
      <c r="C608">
        <v>-674.76003100000003</v>
      </c>
      <c r="D608">
        <v>-400.00049300000001</v>
      </c>
      <c r="E608">
        <f t="shared" si="64"/>
        <v>64</v>
      </c>
      <c r="F608" t="str">
        <f t="shared" si="65"/>
        <v/>
      </c>
    </row>
    <row r="609" spans="1:6" x14ac:dyDescent="0.2">
      <c r="A609" t="s">
        <v>762</v>
      </c>
      <c r="B609">
        <v>6499.2294330000004</v>
      </c>
      <c r="C609">
        <v>-843.56364299999996</v>
      </c>
      <c r="D609">
        <v>-300.01372099999998</v>
      </c>
      <c r="E609">
        <f t="shared" si="64"/>
        <v>65</v>
      </c>
      <c r="F609" t="str">
        <f t="shared" si="65"/>
        <v/>
      </c>
    </row>
    <row r="610" spans="1:6" x14ac:dyDescent="0.2">
      <c r="A610" t="s">
        <v>763</v>
      </c>
      <c r="B610">
        <v>4499.1154450000004</v>
      </c>
      <c r="C610">
        <v>-1012.346815</v>
      </c>
      <c r="D610">
        <v>-199.984129</v>
      </c>
      <c r="E610">
        <f t="shared" si="64"/>
        <v>66</v>
      </c>
      <c r="F610" t="str">
        <f t="shared" si="65"/>
        <v/>
      </c>
    </row>
    <row r="611" spans="1:6" x14ac:dyDescent="0.2">
      <c r="A611" t="s">
        <v>764</v>
      </c>
      <c r="B611">
        <v>2499.0625650000002</v>
      </c>
      <c r="C611">
        <v>-1181.0528420000001</v>
      </c>
      <c r="D611">
        <v>-99.959282999999999</v>
      </c>
      <c r="E611">
        <f t="shared" si="64"/>
        <v>67</v>
      </c>
      <c r="F611" t="str">
        <f t="shared" si="65"/>
        <v/>
      </c>
    </row>
    <row r="612" spans="1:6" x14ac:dyDescent="0.2">
      <c r="A612" t="s">
        <v>765</v>
      </c>
      <c r="B612">
        <v>498.94896299999999</v>
      </c>
      <c r="C612">
        <v>-1349.8107130000001</v>
      </c>
      <c r="D612">
        <v>7.2535000000000002E-2</v>
      </c>
      <c r="E612">
        <f t="shared" si="64"/>
        <v>68</v>
      </c>
      <c r="F612" t="str">
        <f t="shared" si="65"/>
        <v/>
      </c>
    </row>
    <row r="613" spans="1:6" x14ac:dyDescent="0.2">
      <c r="A613" t="s">
        <v>514</v>
      </c>
      <c r="B613">
        <v>996.28484300000002</v>
      </c>
      <c r="C613">
        <v>-882.82416799999999</v>
      </c>
      <c r="D613">
        <v>-1377.9379590000001</v>
      </c>
      <c r="E613">
        <f t="shared" si="64"/>
        <v>1</v>
      </c>
      <c r="F613" t="str">
        <f t="shared" si="65"/>
        <v>err</v>
      </c>
    </row>
    <row r="614" spans="1:6" x14ac:dyDescent="0.2">
      <c r="A614" t="s">
        <v>515</v>
      </c>
      <c r="B614">
        <v>1308.286568</v>
      </c>
      <c r="C614">
        <v>321.70148399999999</v>
      </c>
      <c r="D614">
        <v>-971.14775899999995</v>
      </c>
      <c r="E614">
        <f t="shared" si="64"/>
        <v>2</v>
      </c>
      <c r="F614" t="str">
        <f t="shared" si="65"/>
        <v/>
      </c>
    </row>
    <row r="615" spans="1:6" x14ac:dyDescent="0.2">
      <c r="A615" t="s">
        <v>516</v>
      </c>
      <c r="B615">
        <v>1894.0290970000001</v>
      </c>
      <c r="C615">
        <v>-460.81417900000002</v>
      </c>
      <c r="D615">
        <v>-872.067408</v>
      </c>
      <c r="E615">
        <f t="shared" si="64"/>
        <v>3</v>
      </c>
      <c r="F615" t="str">
        <f t="shared" si="65"/>
        <v/>
      </c>
    </row>
    <row r="616" spans="1:6" x14ac:dyDescent="0.2">
      <c r="A616" t="s">
        <v>517</v>
      </c>
      <c r="B616">
        <v>2254.6490330000001</v>
      </c>
      <c r="C616">
        <v>922.07142099999999</v>
      </c>
      <c r="D616">
        <v>-1125.3123189999999</v>
      </c>
      <c r="E616">
        <f t="shared" si="64"/>
        <v>4</v>
      </c>
      <c r="F616" t="str">
        <f t="shared" si="65"/>
        <v/>
      </c>
    </row>
    <row r="617" spans="1:6" x14ac:dyDescent="0.2">
      <c r="A617" t="s">
        <v>518</v>
      </c>
      <c r="B617">
        <v>2583.7891159999999</v>
      </c>
      <c r="C617">
        <v>-303.76019100000002</v>
      </c>
      <c r="D617">
        <v>-887.08820100000003</v>
      </c>
      <c r="E617">
        <f t="shared" si="64"/>
        <v>5</v>
      </c>
      <c r="F617" t="str">
        <f t="shared" si="65"/>
        <v/>
      </c>
    </row>
    <row r="618" spans="1:6" x14ac:dyDescent="0.2">
      <c r="A618" t="s">
        <v>519</v>
      </c>
      <c r="B618">
        <v>3170.121353</v>
      </c>
      <c r="C618">
        <v>399.41633400000001</v>
      </c>
      <c r="D618">
        <v>-1002.490856</v>
      </c>
      <c r="E618">
        <f t="shared" si="64"/>
        <v>6</v>
      </c>
      <c r="F618" t="str">
        <f t="shared" si="65"/>
        <v/>
      </c>
    </row>
    <row r="619" spans="1:6" x14ac:dyDescent="0.2">
      <c r="A619" t="s">
        <v>520</v>
      </c>
      <c r="B619">
        <v>3536.1933640000002</v>
      </c>
      <c r="C619">
        <v>167.759321</v>
      </c>
      <c r="D619">
        <v>-1013.032994</v>
      </c>
      <c r="E619">
        <f t="shared" si="64"/>
        <v>7</v>
      </c>
      <c r="F619" t="str">
        <f t="shared" si="65"/>
        <v/>
      </c>
    </row>
    <row r="620" spans="1:6" x14ac:dyDescent="0.2">
      <c r="A620" t="s">
        <v>521</v>
      </c>
      <c r="B620">
        <v>4497.5420510000004</v>
      </c>
      <c r="C620">
        <v>154.45845</v>
      </c>
      <c r="D620">
        <v>-1036.7402999999999</v>
      </c>
      <c r="E620">
        <f t="shared" si="64"/>
        <v>8</v>
      </c>
      <c r="F620" t="str">
        <f t="shared" si="65"/>
        <v/>
      </c>
    </row>
    <row r="621" spans="1:6" x14ac:dyDescent="0.2">
      <c r="A621" t="s">
        <v>522</v>
      </c>
      <c r="B621">
        <v>4593.4503459999996</v>
      </c>
      <c r="C621">
        <v>363.00262900000001</v>
      </c>
      <c r="D621">
        <v>-813.17905399999995</v>
      </c>
      <c r="E621">
        <f t="shared" si="64"/>
        <v>9</v>
      </c>
      <c r="F621" t="str">
        <f t="shared" si="65"/>
        <v/>
      </c>
    </row>
    <row r="622" spans="1:6" x14ac:dyDescent="0.2">
      <c r="A622" t="s">
        <v>523</v>
      </c>
      <c r="B622">
        <v>5376.5627439999998</v>
      </c>
      <c r="C622">
        <v>685.88979900000004</v>
      </c>
      <c r="D622">
        <v>-685.66753000000006</v>
      </c>
      <c r="E622">
        <f t="shared" si="64"/>
        <v>10</v>
      </c>
      <c r="F622" t="str">
        <f t="shared" si="65"/>
        <v/>
      </c>
    </row>
    <row r="623" spans="1:6" x14ac:dyDescent="0.2">
      <c r="A623" t="s">
        <v>524</v>
      </c>
      <c r="B623">
        <v>5870.7702570000001</v>
      </c>
      <c r="C623">
        <v>-247.378085</v>
      </c>
      <c r="D623">
        <v>-595.61205800000005</v>
      </c>
      <c r="E623">
        <f t="shared" si="64"/>
        <v>11</v>
      </c>
      <c r="F623" t="str">
        <f t="shared" si="65"/>
        <v/>
      </c>
    </row>
    <row r="624" spans="1:6" x14ac:dyDescent="0.2">
      <c r="A624" t="s">
        <v>525</v>
      </c>
      <c r="B624">
        <v>6249.4884929999998</v>
      </c>
      <c r="C624">
        <v>538.05171099999995</v>
      </c>
      <c r="D624">
        <v>-325.637314</v>
      </c>
      <c r="E624">
        <f t="shared" si="64"/>
        <v>12</v>
      </c>
      <c r="F624" t="str">
        <f t="shared" si="65"/>
        <v/>
      </c>
    </row>
    <row r="625" spans="1:6" x14ac:dyDescent="0.2">
      <c r="A625" t="s">
        <v>526</v>
      </c>
      <c r="B625">
        <v>6710.3736779999999</v>
      </c>
      <c r="C625">
        <v>-103.960936</v>
      </c>
      <c r="D625">
        <v>-651.11838399999999</v>
      </c>
      <c r="E625">
        <f t="shared" si="64"/>
        <v>13</v>
      </c>
      <c r="F625" t="str">
        <f t="shared" si="65"/>
        <v/>
      </c>
    </row>
    <row r="626" spans="1:6" x14ac:dyDescent="0.2">
      <c r="A626" t="s">
        <v>527</v>
      </c>
      <c r="B626">
        <v>7425.4686970000002</v>
      </c>
      <c r="C626">
        <v>-1048.2921229999999</v>
      </c>
      <c r="D626">
        <v>-879.22854199999995</v>
      </c>
      <c r="E626">
        <f t="shared" si="64"/>
        <v>14</v>
      </c>
      <c r="F626" t="str">
        <f t="shared" si="65"/>
        <v/>
      </c>
    </row>
    <row r="627" spans="1:6" x14ac:dyDescent="0.2">
      <c r="A627" t="s">
        <v>528</v>
      </c>
      <c r="B627">
        <v>7940.9245739999997</v>
      </c>
      <c r="C627">
        <v>242.800318</v>
      </c>
      <c r="D627">
        <v>-250.88644500000001</v>
      </c>
      <c r="E627">
        <f t="shared" si="64"/>
        <v>15</v>
      </c>
      <c r="F627" t="str">
        <f t="shared" si="65"/>
        <v/>
      </c>
    </row>
    <row r="628" spans="1:6" x14ac:dyDescent="0.2">
      <c r="A628" t="s">
        <v>529</v>
      </c>
      <c r="B628">
        <v>8188.3299710000001</v>
      </c>
      <c r="C628">
        <v>-196.09486899999999</v>
      </c>
      <c r="D628">
        <v>-511.97077200000001</v>
      </c>
      <c r="E628">
        <f t="shared" si="64"/>
        <v>16</v>
      </c>
      <c r="F628" t="str">
        <f t="shared" si="65"/>
        <v/>
      </c>
    </row>
    <row r="629" spans="1:6" x14ac:dyDescent="0.2">
      <c r="A629" t="s">
        <v>530</v>
      </c>
      <c r="B629">
        <v>8783.0884160000005</v>
      </c>
      <c r="C629">
        <v>999.57044900000005</v>
      </c>
      <c r="D629">
        <v>-680.510445</v>
      </c>
      <c r="E629">
        <f t="shared" si="64"/>
        <v>17</v>
      </c>
      <c r="F629" t="str">
        <f t="shared" si="65"/>
        <v/>
      </c>
    </row>
    <row r="630" spans="1:6" x14ac:dyDescent="0.2">
      <c r="A630" t="s">
        <v>531</v>
      </c>
      <c r="B630">
        <v>9011.1158460000006</v>
      </c>
      <c r="C630">
        <v>-650.12880099999995</v>
      </c>
      <c r="D630">
        <v>-356.49514199999999</v>
      </c>
      <c r="E630">
        <f t="shared" si="64"/>
        <v>18</v>
      </c>
      <c r="F630" t="str">
        <f t="shared" si="65"/>
        <v/>
      </c>
    </row>
    <row r="631" spans="1:6" x14ac:dyDescent="0.2">
      <c r="A631" t="s">
        <v>532</v>
      </c>
      <c r="B631">
        <v>9563.4197189999995</v>
      </c>
      <c r="C631">
        <v>917.63781200000005</v>
      </c>
      <c r="D631">
        <v>-340.00998900000002</v>
      </c>
      <c r="E631">
        <f t="shared" si="64"/>
        <v>19</v>
      </c>
      <c r="F631" t="str">
        <f t="shared" si="65"/>
        <v/>
      </c>
    </row>
    <row r="632" spans="1:6" x14ac:dyDescent="0.2">
      <c r="A632" t="s">
        <v>533</v>
      </c>
      <c r="B632">
        <v>10436.822898</v>
      </c>
      <c r="C632">
        <v>270.92058400000002</v>
      </c>
      <c r="D632">
        <v>-364.00118600000002</v>
      </c>
      <c r="E632">
        <f t="shared" si="64"/>
        <v>20</v>
      </c>
      <c r="F632" t="str">
        <f t="shared" si="65"/>
        <v/>
      </c>
    </row>
    <row r="633" spans="1:6" x14ac:dyDescent="0.2">
      <c r="A633" t="s">
        <v>534</v>
      </c>
      <c r="B633">
        <v>10965.710438</v>
      </c>
      <c r="C633">
        <v>-142.01980599999999</v>
      </c>
      <c r="D633">
        <v>204.158772</v>
      </c>
      <c r="E633">
        <f t="shared" si="64"/>
        <v>21</v>
      </c>
      <c r="F633" t="str">
        <f t="shared" si="65"/>
        <v/>
      </c>
    </row>
    <row r="634" spans="1:6" x14ac:dyDescent="0.2">
      <c r="A634" t="s">
        <v>535</v>
      </c>
      <c r="B634">
        <v>11051.517116999999</v>
      </c>
      <c r="C634">
        <v>-289.25227799999999</v>
      </c>
      <c r="D634">
        <v>-276.74784199999999</v>
      </c>
      <c r="E634">
        <f t="shared" si="64"/>
        <v>22</v>
      </c>
      <c r="F634" t="str">
        <f t="shared" si="65"/>
        <v/>
      </c>
    </row>
    <row r="635" spans="1:6" x14ac:dyDescent="0.2">
      <c r="A635" t="s">
        <v>536</v>
      </c>
      <c r="B635">
        <v>11929.968806000001</v>
      </c>
      <c r="C635">
        <v>-324.00318499999997</v>
      </c>
      <c r="D635">
        <v>-606.664851</v>
      </c>
      <c r="E635">
        <f t="shared" si="64"/>
        <v>23</v>
      </c>
      <c r="F635" t="str">
        <f t="shared" si="65"/>
        <v/>
      </c>
    </row>
    <row r="636" spans="1:6" x14ac:dyDescent="0.2">
      <c r="A636" t="s">
        <v>537</v>
      </c>
      <c r="B636">
        <v>12051.764741999999</v>
      </c>
      <c r="C636">
        <v>163.82070400000001</v>
      </c>
      <c r="D636">
        <v>-578.58220200000005</v>
      </c>
      <c r="E636">
        <f t="shared" si="64"/>
        <v>24</v>
      </c>
      <c r="F636" t="str">
        <f t="shared" si="65"/>
        <v/>
      </c>
    </row>
    <row r="637" spans="1:6" x14ac:dyDescent="0.2">
      <c r="A637" t="s">
        <v>538</v>
      </c>
      <c r="B637">
        <v>12877.537480999999</v>
      </c>
      <c r="C637">
        <v>676.42747299999996</v>
      </c>
      <c r="D637">
        <v>-770.47394799999995</v>
      </c>
      <c r="E637">
        <f t="shared" si="64"/>
        <v>25</v>
      </c>
      <c r="F637" t="str">
        <f t="shared" si="65"/>
        <v/>
      </c>
    </row>
    <row r="638" spans="1:6" x14ac:dyDescent="0.2">
      <c r="A638" t="s">
        <v>539</v>
      </c>
      <c r="B638">
        <v>13360.105122999999</v>
      </c>
      <c r="C638">
        <v>387.76559600000002</v>
      </c>
      <c r="D638">
        <v>-268.46011499999997</v>
      </c>
      <c r="E638">
        <f t="shared" si="64"/>
        <v>26</v>
      </c>
      <c r="F638" t="str">
        <f t="shared" si="65"/>
        <v/>
      </c>
    </row>
    <row r="639" spans="1:6" x14ac:dyDescent="0.2">
      <c r="A639" t="s">
        <v>540</v>
      </c>
      <c r="B639">
        <v>13757.177438999999</v>
      </c>
      <c r="C639">
        <v>-63.417001999999997</v>
      </c>
      <c r="D639">
        <v>-386.81474700000001</v>
      </c>
      <c r="E639">
        <f t="shared" si="64"/>
        <v>27</v>
      </c>
      <c r="F639" t="str">
        <f t="shared" si="65"/>
        <v/>
      </c>
    </row>
    <row r="640" spans="1:6" x14ac:dyDescent="0.2">
      <c r="A640" t="s">
        <v>541</v>
      </c>
      <c r="B640">
        <v>14009.286311</v>
      </c>
      <c r="C640">
        <v>873.43887600000005</v>
      </c>
      <c r="D640">
        <v>-478.83787799999999</v>
      </c>
      <c r="E640">
        <f t="shared" si="64"/>
        <v>28</v>
      </c>
      <c r="F640" t="str">
        <f t="shared" si="65"/>
        <v/>
      </c>
    </row>
    <row r="641" spans="1:6" x14ac:dyDescent="0.2">
      <c r="A641" t="s">
        <v>542</v>
      </c>
      <c r="B641">
        <v>14997.729657</v>
      </c>
      <c r="C641">
        <v>301.27624600000001</v>
      </c>
      <c r="D641">
        <v>-699.51723800000002</v>
      </c>
      <c r="E641">
        <f t="shared" si="64"/>
        <v>29</v>
      </c>
      <c r="F641" t="str">
        <f t="shared" si="65"/>
        <v/>
      </c>
    </row>
    <row r="642" spans="1:6" x14ac:dyDescent="0.2">
      <c r="A642" t="s">
        <v>543</v>
      </c>
      <c r="B642">
        <v>15429.242679999999</v>
      </c>
      <c r="C642">
        <v>849.61429799999996</v>
      </c>
      <c r="D642">
        <v>-681.85053200000004</v>
      </c>
      <c r="E642">
        <f t="shared" si="64"/>
        <v>30</v>
      </c>
      <c r="F642" t="str">
        <f t="shared" si="65"/>
        <v/>
      </c>
    </row>
    <row r="643" spans="1:6" x14ac:dyDescent="0.2">
      <c r="A643" t="s">
        <v>544</v>
      </c>
      <c r="B643">
        <v>15921.788724</v>
      </c>
      <c r="C643">
        <v>-1014.7084</v>
      </c>
      <c r="D643">
        <v>-941.50225699999999</v>
      </c>
      <c r="E643">
        <f t="shared" si="64"/>
        <v>31</v>
      </c>
      <c r="F643" t="str">
        <f t="shared" si="65"/>
        <v/>
      </c>
    </row>
    <row r="644" spans="1:6" x14ac:dyDescent="0.2">
      <c r="A644" t="s">
        <v>545</v>
      </c>
      <c r="B644">
        <v>16168.173971</v>
      </c>
      <c r="C644">
        <v>60.013195000000003</v>
      </c>
      <c r="D644">
        <v>-703.50978399999997</v>
      </c>
      <c r="E644">
        <f t="shared" si="64"/>
        <v>32</v>
      </c>
      <c r="F644" t="str">
        <f t="shared" si="65"/>
        <v/>
      </c>
    </row>
    <row r="645" spans="1:6" x14ac:dyDescent="0.2">
      <c r="A645" t="s">
        <v>546</v>
      </c>
      <c r="B645">
        <v>16851.957812000001</v>
      </c>
      <c r="C645">
        <v>-372.98882300000002</v>
      </c>
      <c r="D645">
        <v>-727.21249499999999</v>
      </c>
      <c r="E645">
        <f t="shared" si="64"/>
        <v>33</v>
      </c>
      <c r="F645" t="str">
        <f t="shared" si="65"/>
        <v/>
      </c>
    </row>
    <row r="646" spans="1:6" x14ac:dyDescent="0.2">
      <c r="A646" t="s">
        <v>547</v>
      </c>
      <c r="B646">
        <v>17022.551544999998</v>
      </c>
      <c r="C646">
        <v>-593.49143900000001</v>
      </c>
      <c r="D646">
        <v>-432.21795700000001</v>
      </c>
      <c r="E646">
        <f t="shared" si="64"/>
        <v>34</v>
      </c>
      <c r="F646" t="str">
        <f t="shared" si="65"/>
        <v/>
      </c>
    </row>
    <row r="647" spans="1:6" x14ac:dyDescent="0.2">
      <c r="A647" t="s">
        <v>548</v>
      </c>
      <c r="B647">
        <v>17681.162640999999</v>
      </c>
      <c r="C647">
        <v>33.311459999999997</v>
      </c>
      <c r="D647">
        <v>-545.35790999999995</v>
      </c>
      <c r="E647">
        <f t="shared" si="64"/>
        <v>35</v>
      </c>
      <c r="F647" t="str">
        <f t="shared" si="65"/>
        <v/>
      </c>
    </row>
    <row r="648" spans="1:6" x14ac:dyDescent="0.2">
      <c r="A648" t="s">
        <v>549</v>
      </c>
      <c r="B648">
        <v>18230.391842000001</v>
      </c>
      <c r="C648">
        <v>-767.59878300000003</v>
      </c>
      <c r="D648">
        <v>-734.34346500000004</v>
      </c>
      <c r="E648">
        <f t="shared" ref="E648:E711" si="66">RIGHT(A648,LEN(A648)-FIND("_",A648,FIND("_",A648)+1))*1</f>
        <v>36</v>
      </c>
      <c r="F648" t="str">
        <f t="shared" ref="F648:F711" si="67">IF(E648&lt;&gt;1+E647,"err","")</f>
        <v/>
      </c>
    </row>
    <row r="649" spans="1:6" x14ac:dyDescent="0.2">
      <c r="A649" t="s">
        <v>550</v>
      </c>
      <c r="B649">
        <v>18527.472965000001</v>
      </c>
      <c r="C649">
        <v>-654.38570200000004</v>
      </c>
      <c r="D649">
        <v>-843.78430500000002</v>
      </c>
      <c r="E649">
        <f t="shared" si="66"/>
        <v>37</v>
      </c>
      <c r="F649" t="str">
        <f t="shared" si="67"/>
        <v/>
      </c>
    </row>
    <row r="650" spans="1:6" x14ac:dyDescent="0.2">
      <c r="A650" t="s">
        <v>551</v>
      </c>
      <c r="B650">
        <v>19407.172849999999</v>
      </c>
      <c r="C650">
        <v>474.25020599999999</v>
      </c>
      <c r="D650">
        <v>-822.61486200000002</v>
      </c>
      <c r="E650">
        <f t="shared" si="66"/>
        <v>38</v>
      </c>
      <c r="F650" t="str">
        <f t="shared" si="67"/>
        <v/>
      </c>
    </row>
    <row r="651" spans="1:6" x14ac:dyDescent="0.2">
      <c r="A651" t="s">
        <v>552</v>
      </c>
      <c r="B651">
        <v>19595.721715</v>
      </c>
      <c r="C651">
        <v>-1141.6195640000001</v>
      </c>
      <c r="D651">
        <v>-935.279357</v>
      </c>
      <c r="E651">
        <f t="shared" si="66"/>
        <v>39</v>
      </c>
      <c r="F651" t="str">
        <f t="shared" si="67"/>
        <v/>
      </c>
    </row>
    <row r="652" spans="1:6" x14ac:dyDescent="0.2">
      <c r="A652" t="s">
        <v>553</v>
      </c>
      <c r="B652">
        <v>20073.972258000002</v>
      </c>
      <c r="C652">
        <v>-879.11100399999998</v>
      </c>
      <c r="D652">
        <v>-840.88993900000003</v>
      </c>
      <c r="E652">
        <f t="shared" si="66"/>
        <v>40</v>
      </c>
      <c r="F652" t="str">
        <f t="shared" si="67"/>
        <v/>
      </c>
    </row>
    <row r="653" spans="1:6" x14ac:dyDescent="0.2">
      <c r="A653" t="s">
        <v>554</v>
      </c>
      <c r="B653">
        <v>20535.629624000001</v>
      </c>
      <c r="C653">
        <v>105.726296</v>
      </c>
      <c r="D653">
        <v>-862.68556100000001</v>
      </c>
      <c r="E653">
        <f t="shared" si="66"/>
        <v>41</v>
      </c>
      <c r="F653" t="str">
        <f t="shared" si="67"/>
        <v/>
      </c>
    </row>
    <row r="654" spans="1:6" x14ac:dyDescent="0.2">
      <c r="A654" t="s">
        <v>555</v>
      </c>
      <c r="B654">
        <v>21425.305106</v>
      </c>
      <c r="C654">
        <v>109.75416</v>
      </c>
      <c r="D654">
        <v>-955.381846</v>
      </c>
      <c r="E654">
        <f t="shared" si="66"/>
        <v>42</v>
      </c>
      <c r="F654" t="str">
        <f t="shared" si="67"/>
        <v/>
      </c>
    </row>
    <row r="655" spans="1:6" x14ac:dyDescent="0.2">
      <c r="A655" t="s">
        <v>556</v>
      </c>
      <c r="B655">
        <v>21593.743433</v>
      </c>
      <c r="C655">
        <v>-337.52974999999998</v>
      </c>
      <c r="D655">
        <v>-730.24865199999999</v>
      </c>
      <c r="E655">
        <f t="shared" si="66"/>
        <v>43</v>
      </c>
      <c r="F655" t="str">
        <f t="shared" si="67"/>
        <v/>
      </c>
    </row>
    <row r="656" spans="1:6" x14ac:dyDescent="0.2">
      <c r="A656" t="s">
        <v>557</v>
      </c>
      <c r="B656">
        <v>22191.512977999999</v>
      </c>
      <c r="C656">
        <v>-393.768733</v>
      </c>
      <c r="D656">
        <v>-1299.8725810000001</v>
      </c>
      <c r="E656">
        <f t="shared" si="66"/>
        <v>44</v>
      </c>
      <c r="F656" t="str">
        <f t="shared" si="67"/>
        <v/>
      </c>
    </row>
    <row r="657" spans="1:6" x14ac:dyDescent="0.2">
      <c r="A657" t="s">
        <v>558</v>
      </c>
      <c r="B657">
        <v>22897.816891999999</v>
      </c>
      <c r="C657">
        <v>312.13761699999998</v>
      </c>
      <c r="D657">
        <v>-1135.558659</v>
      </c>
      <c r="E657">
        <f t="shared" si="66"/>
        <v>45</v>
      </c>
      <c r="F657" t="str">
        <f t="shared" si="67"/>
        <v/>
      </c>
    </row>
    <row r="658" spans="1:6" x14ac:dyDescent="0.2">
      <c r="A658" t="s">
        <v>559</v>
      </c>
      <c r="B658">
        <v>23067.274852999999</v>
      </c>
      <c r="C658">
        <v>-78.078703000000004</v>
      </c>
      <c r="D658">
        <v>-826.09113000000002</v>
      </c>
      <c r="E658">
        <f t="shared" si="66"/>
        <v>46</v>
      </c>
      <c r="F658" t="str">
        <f t="shared" si="67"/>
        <v/>
      </c>
    </row>
    <row r="659" spans="1:6" x14ac:dyDescent="0.2">
      <c r="A659" t="s">
        <v>560</v>
      </c>
      <c r="B659">
        <v>23798.223805000001</v>
      </c>
      <c r="C659">
        <v>-878.56023100000004</v>
      </c>
      <c r="D659">
        <v>-1020.010164</v>
      </c>
      <c r="E659">
        <f t="shared" si="66"/>
        <v>47</v>
      </c>
      <c r="F659" t="str">
        <f t="shared" si="67"/>
        <v/>
      </c>
    </row>
    <row r="660" spans="1:6" x14ac:dyDescent="0.2">
      <c r="A660" t="s">
        <v>561</v>
      </c>
      <c r="B660">
        <v>24117.510750000001</v>
      </c>
      <c r="C660">
        <v>-535.15347299999996</v>
      </c>
      <c r="D660">
        <v>-936.30207399999995</v>
      </c>
      <c r="E660">
        <f t="shared" si="66"/>
        <v>48</v>
      </c>
      <c r="F660" t="str">
        <f t="shared" si="67"/>
        <v/>
      </c>
    </row>
    <row r="661" spans="1:6" x14ac:dyDescent="0.2">
      <c r="A661" t="s">
        <v>562</v>
      </c>
      <c r="B661">
        <v>24715.123200000002</v>
      </c>
      <c r="C661">
        <v>338.07932399999999</v>
      </c>
      <c r="D661">
        <v>-858.58310500000005</v>
      </c>
      <c r="E661">
        <f t="shared" si="66"/>
        <v>49</v>
      </c>
      <c r="F661" t="str">
        <f t="shared" si="67"/>
        <v/>
      </c>
    </row>
    <row r="662" spans="1:6" x14ac:dyDescent="0.2">
      <c r="A662" t="s">
        <v>563</v>
      </c>
      <c r="B662">
        <v>25339.186299000001</v>
      </c>
      <c r="C662">
        <v>-531.780756</v>
      </c>
      <c r="D662">
        <v>-1236.53098</v>
      </c>
      <c r="E662">
        <f t="shared" si="66"/>
        <v>50</v>
      </c>
      <c r="F662" t="str">
        <f t="shared" si="67"/>
        <v/>
      </c>
    </row>
    <row r="663" spans="1:6" x14ac:dyDescent="0.2">
      <c r="A663" t="s">
        <v>564</v>
      </c>
      <c r="B663">
        <v>25788.218686</v>
      </c>
      <c r="C663">
        <v>-254.39279099999999</v>
      </c>
      <c r="D663">
        <v>-788.62764400000003</v>
      </c>
      <c r="E663">
        <f t="shared" si="66"/>
        <v>51</v>
      </c>
      <c r="F663" t="str">
        <f t="shared" si="67"/>
        <v/>
      </c>
    </row>
    <row r="664" spans="1:6" x14ac:dyDescent="0.2">
      <c r="A664" t="s">
        <v>565</v>
      </c>
      <c r="B664">
        <v>26356.578299000001</v>
      </c>
      <c r="C664">
        <v>-776.95296499999995</v>
      </c>
      <c r="D664">
        <v>-713.76516600000002</v>
      </c>
      <c r="E664">
        <f t="shared" si="66"/>
        <v>52</v>
      </c>
      <c r="F664" t="str">
        <f t="shared" si="67"/>
        <v/>
      </c>
    </row>
    <row r="665" spans="1:6" x14ac:dyDescent="0.2">
      <c r="A665" t="s">
        <v>566</v>
      </c>
      <c r="B665">
        <v>26577.419209</v>
      </c>
      <c r="C665">
        <v>-133.31420199999999</v>
      </c>
      <c r="D665">
        <v>-1006.8892530000001</v>
      </c>
      <c r="E665">
        <f t="shared" si="66"/>
        <v>53</v>
      </c>
      <c r="F665" t="str">
        <f t="shared" si="67"/>
        <v/>
      </c>
    </row>
    <row r="666" spans="1:6" x14ac:dyDescent="0.2">
      <c r="A666" t="s">
        <v>567</v>
      </c>
      <c r="B666">
        <v>27192.63494</v>
      </c>
      <c r="C666">
        <v>482.97977400000002</v>
      </c>
      <c r="D666">
        <v>-1352.9219479999999</v>
      </c>
      <c r="E666">
        <f t="shared" si="66"/>
        <v>54</v>
      </c>
      <c r="F666" t="str">
        <f t="shared" si="67"/>
        <v/>
      </c>
    </row>
    <row r="667" spans="1:6" x14ac:dyDescent="0.2">
      <c r="A667" t="s">
        <v>568</v>
      </c>
      <c r="B667">
        <v>27984.033276999999</v>
      </c>
      <c r="C667">
        <v>-479.93111900000002</v>
      </c>
      <c r="D667">
        <v>-1415.0897660000001</v>
      </c>
      <c r="E667">
        <f t="shared" si="66"/>
        <v>55</v>
      </c>
      <c r="F667" t="str">
        <f t="shared" si="67"/>
        <v/>
      </c>
    </row>
    <row r="668" spans="1:6" x14ac:dyDescent="0.2">
      <c r="A668" t="s">
        <v>569</v>
      </c>
      <c r="B668">
        <v>28111.909479999998</v>
      </c>
      <c r="C668">
        <v>917.49265400000002</v>
      </c>
      <c r="D668">
        <v>-1227.032275</v>
      </c>
      <c r="E668">
        <f t="shared" si="66"/>
        <v>56</v>
      </c>
      <c r="F668" t="str">
        <f t="shared" si="67"/>
        <v/>
      </c>
    </row>
    <row r="669" spans="1:6" x14ac:dyDescent="0.2">
      <c r="A669" t="s">
        <v>570</v>
      </c>
      <c r="B669">
        <v>28939.154700999999</v>
      </c>
      <c r="C669">
        <v>152.20882700000001</v>
      </c>
      <c r="D669">
        <v>-1164.802754</v>
      </c>
      <c r="E669">
        <f t="shared" si="66"/>
        <v>57</v>
      </c>
      <c r="F669" t="str">
        <f t="shared" si="67"/>
        <v/>
      </c>
    </row>
    <row r="670" spans="1:6" x14ac:dyDescent="0.2">
      <c r="A670" t="s">
        <v>571</v>
      </c>
      <c r="B670">
        <v>29212.014673999998</v>
      </c>
      <c r="C670">
        <v>794.15235900000005</v>
      </c>
      <c r="D670">
        <v>-1215.860762</v>
      </c>
      <c r="E670">
        <f t="shared" si="66"/>
        <v>58</v>
      </c>
      <c r="F670" t="str">
        <f t="shared" si="67"/>
        <v/>
      </c>
    </row>
    <row r="671" spans="1:6" x14ac:dyDescent="0.2">
      <c r="A671" t="s">
        <v>572</v>
      </c>
      <c r="B671">
        <v>29563.177953999999</v>
      </c>
      <c r="C671">
        <v>60.900008999999997</v>
      </c>
      <c r="D671">
        <v>-1320.7723659999999</v>
      </c>
      <c r="E671">
        <f t="shared" si="66"/>
        <v>59</v>
      </c>
      <c r="F671" t="str">
        <f t="shared" si="67"/>
        <v/>
      </c>
    </row>
    <row r="672" spans="1:6" x14ac:dyDescent="0.2">
      <c r="A672" t="s">
        <v>573</v>
      </c>
      <c r="B672">
        <v>30266.162080999999</v>
      </c>
      <c r="C672">
        <v>339.56859300000002</v>
      </c>
      <c r="D672">
        <v>-1060.012377</v>
      </c>
      <c r="E672">
        <f t="shared" si="66"/>
        <v>60</v>
      </c>
      <c r="F672" t="str">
        <f t="shared" si="67"/>
        <v/>
      </c>
    </row>
    <row r="673" spans="1:6" x14ac:dyDescent="0.2">
      <c r="A673" t="s">
        <v>574</v>
      </c>
      <c r="B673">
        <v>30548.458070000001</v>
      </c>
      <c r="C673">
        <v>-540.44356400000004</v>
      </c>
      <c r="D673">
        <v>-1463.467946</v>
      </c>
      <c r="E673">
        <f t="shared" si="66"/>
        <v>61</v>
      </c>
      <c r="F673" t="str">
        <f t="shared" si="67"/>
        <v/>
      </c>
    </row>
    <row r="674" spans="1:6" x14ac:dyDescent="0.2">
      <c r="A674" t="s">
        <v>575</v>
      </c>
      <c r="B674">
        <v>31237.52578</v>
      </c>
      <c r="C674">
        <v>-644.16398000000004</v>
      </c>
      <c r="D674">
        <v>-1311.5962</v>
      </c>
      <c r="E674">
        <f t="shared" si="66"/>
        <v>62</v>
      </c>
      <c r="F674" t="str">
        <f t="shared" si="67"/>
        <v/>
      </c>
    </row>
    <row r="675" spans="1:6" x14ac:dyDescent="0.2">
      <c r="A675" t="s">
        <v>576</v>
      </c>
      <c r="B675">
        <v>31822.939908</v>
      </c>
      <c r="C675">
        <v>115.910222</v>
      </c>
      <c r="D675">
        <v>-1499.441337</v>
      </c>
      <c r="E675">
        <f t="shared" si="66"/>
        <v>63</v>
      </c>
      <c r="F675" t="str">
        <f t="shared" si="67"/>
        <v/>
      </c>
    </row>
    <row r="676" spans="1:6" x14ac:dyDescent="0.2">
      <c r="A676" t="s">
        <v>577</v>
      </c>
      <c r="B676">
        <v>32435.540669999998</v>
      </c>
      <c r="C676">
        <v>893.01404600000001</v>
      </c>
      <c r="D676">
        <v>-1654.7040300000001</v>
      </c>
      <c r="E676">
        <f t="shared" si="66"/>
        <v>64</v>
      </c>
      <c r="F676" t="str">
        <f t="shared" si="67"/>
        <v/>
      </c>
    </row>
    <row r="677" spans="1:6" x14ac:dyDescent="0.2">
      <c r="A677" t="s">
        <v>1149</v>
      </c>
      <c r="B677">
        <v>32086.030028000001</v>
      </c>
      <c r="C677">
        <v>-379.41560399999997</v>
      </c>
      <c r="D677">
        <v>-971.47646999999995</v>
      </c>
      <c r="E677">
        <f t="shared" si="66"/>
        <v>65</v>
      </c>
      <c r="F677" t="str">
        <f t="shared" si="67"/>
        <v/>
      </c>
    </row>
    <row r="678" spans="1:6" x14ac:dyDescent="0.2">
      <c r="A678" t="s">
        <v>578</v>
      </c>
      <c r="B678">
        <v>31840.049424000001</v>
      </c>
      <c r="C678">
        <v>84.059899000000001</v>
      </c>
      <c r="D678">
        <v>-1382.3043419999999</v>
      </c>
      <c r="E678">
        <f t="shared" si="66"/>
        <v>66</v>
      </c>
      <c r="F678" t="str">
        <f t="shared" si="67"/>
        <v/>
      </c>
    </row>
    <row r="679" spans="1:6" x14ac:dyDescent="0.2">
      <c r="A679" t="s">
        <v>579</v>
      </c>
      <c r="B679">
        <v>31084.064929</v>
      </c>
      <c r="C679">
        <v>100.30107</v>
      </c>
      <c r="D679">
        <v>-1514.932691</v>
      </c>
      <c r="E679">
        <f t="shared" si="66"/>
        <v>67</v>
      </c>
      <c r="F679" t="str">
        <f t="shared" si="67"/>
        <v/>
      </c>
    </row>
    <row r="680" spans="1:6" x14ac:dyDescent="0.2">
      <c r="A680" t="s">
        <v>580</v>
      </c>
      <c r="B680">
        <v>30569.913505</v>
      </c>
      <c r="C680">
        <v>-523.32949900000006</v>
      </c>
      <c r="D680">
        <v>-1690.3058229999999</v>
      </c>
      <c r="E680">
        <f t="shared" si="66"/>
        <v>68</v>
      </c>
      <c r="F680" t="str">
        <f t="shared" si="67"/>
        <v/>
      </c>
    </row>
    <row r="681" spans="1:6" x14ac:dyDescent="0.2">
      <c r="A681" t="s">
        <v>581</v>
      </c>
      <c r="B681">
        <v>30191.060443999999</v>
      </c>
      <c r="C681">
        <v>-119.05537699999999</v>
      </c>
      <c r="D681">
        <v>-977.17956400000003</v>
      </c>
      <c r="E681">
        <f t="shared" si="66"/>
        <v>69</v>
      </c>
      <c r="F681" t="str">
        <f t="shared" si="67"/>
        <v/>
      </c>
    </row>
    <row r="682" spans="1:6" x14ac:dyDescent="0.2">
      <c r="A682" t="s">
        <v>582</v>
      </c>
      <c r="B682">
        <v>29912.113536000001</v>
      </c>
      <c r="C682">
        <v>705.93935699999997</v>
      </c>
      <c r="D682">
        <v>-1436.8992940000001</v>
      </c>
      <c r="E682">
        <f t="shared" si="66"/>
        <v>70</v>
      </c>
      <c r="F682" t="str">
        <f t="shared" si="67"/>
        <v/>
      </c>
    </row>
    <row r="683" spans="1:6" x14ac:dyDescent="0.2">
      <c r="A683" t="s">
        <v>583</v>
      </c>
      <c r="B683">
        <v>29367.362209999999</v>
      </c>
      <c r="C683">
        <v>-16.412258000000001</v>
      </c>
      <c r="D683">
        <v>-1215.2101849999999</v>
      </c>
      <c r="E683">
        <f t="shared" si="66"/>
        <v>71</v>
      </c>
      <c r="F683" t="str">
        <f t="shared" si="67"/>
        <v/>
      </c>
    </row>
    <row r="684" spans="1:6" x14ac:dyDescent="0.2">
      <c r="A684" t="s">
        <v>584</v>
      </c>
      <c r="B684">
        <v>28976.44428</v>
      </c>
      <c r="C684">
        <v>-74.413939999999997</v>
      </c>
      <c r="D684">
        <v>-1086.7169550000001</v>
      </c>
      <c r="E684">
        <f t="shared" si="66"/>
        <v>72</v>
      </c>
      <c r="F684" t="str">
        <f t="shared" si="67"/>
        <v/>
      </c>
    </row>
    <row r="685" spans="1:6" x14ac:dyDescent="0.2">
      <c r="A685" t="s">
        <v>585</v>
      </c>
      <c r="B685">
        <v>28342.700260000001</v>
      </c>
      <c r="C685">
        <v>356.61281100000002</v>
      </c>
      <c r="D685">
        <v>-1280.4212190000001</v>
      </c>
      <c r="E685">
        <f t="shared" si="66"/>
        <v>73</v>
      </c>
      <c r="F685" t="str">
        <f t="shared" si="67"/>
        <v/>
      </c>
    </row>
    <row r="686" spans="1:6" x14ac:dyDescent="0.2">
      <c r="A686" t="s">
        <v>586</v>
      </c>
      <c r="B686">
        <v>27658.269648000001</v>
      </c>
      <c r="C686">
        <v>-164.41092900000001</v>
      </c>
      <c r="D686">
        <v>-1247.3529450000001</v>
      </c>
      <c r="E686">
        <f t="shared" si="66"/>
        <v>74</v>
      </c>
      <c r="F686" t="str">
        <f t="shared" si="67"/>
        <v/>
      </c>
    </row>
    <row r="687" spans="1:6" x14ac:dyDescent="0.2">
      <c r="A687" t="s">
        <v>587</v>
      </c>
      <c r="B687">
        <v>27160.379222</v>
      </c>
      <c r="C687">
        <v>333.42745500000001</v>
      </c>
      <c r="D687">
        <v>-830.38175799999999</v>
      </c>
      <c r="E687">
        <f t="shared" si="66"/>
        <v>75</v>
      </c>
      <c r="F687" t="str">
        <f t="shared" si="67"/>
        <v/>
      </c>
    </row>
    <row r="688" spans="1:6" x14ac:dyDescent="0.2">
      <c r="A688" t="s">
        <v>588</v>
      </c>
      <c r="B688">
        <v>26887.703647999999</v>
      </c>
      <c r="C688">
        <v>249.06192300000001</v>
      </c>
      <c r="D688">
        <v>-1291.8359780000001</v>
      </c>
      <c r="E688">
        <f t="shared" si="66"/>
        <v>76</v>
      </c>
      <c r="F688" t="str">
        <f t="shared" si="67"/>
        <v/>
      </c>
    </row>
    <row r="689" spans="1:6" x14ac:dyDescent="0.2">
      <c r="A689" t="s">
        <v>589</v>
      </c>
      <c r="B689">
        <v>26490.607457999999</v>
      </c>
      <c r="C689">
        <v>444.97096299999998</v>
      </c>
      <c r="D689">
        <v>-1030.128426</v>
      </c>
      <c r="E689">
        <f t="shared" si="66"/>
        <v>77</v>
      </c>
      <c r="F689" t="str">
        <f t="shared" si="67"/>
        <v/>
      </c>
    </row>
    <row r="690" spans="1:6" x14ac:dyDescent="0.2">
      <c r="A690" t="s">
        <v>590</v>
      </c>
      <c r="B690">
        <v>25544.217646000001</v>
      </c>
      <c r="C690">
        <v>678.58405700000003</v>
      </c>
      <c r="D690">
        <v>-1020.647971</v>
      </c>
      <c r="E690">
        <f t="shared" si="66"/>
        <v>78</v>
      </c>
      <c r="F690" t="str">
        <f t="shared" si="67"/>
        <v/>
      </c>
    </row>
    <row r="691" spans="1:6" x14ac:dyDescent="0.2">
      <c r="A691" t="s">
        <v>591</v>
      </c>
      <c r="B691">
        <v>25104.810335999999</v>
      </c>
      <c r="C691">
        <v>29.42474</v>
      </c>
      <c r="D691">
        <v>-719.74764100000004</v>
      </c>
      <c r="E691">
        <f t="shared" si="66"/>
        <v>79</v>
      </c>
      <c r="F691" t="str">
        <f t="shared" si="67"/>
        <v/>
      </c>
    </row>
    <row r="692" spans="1:6" x14ac:dyDescent="0.2">
      <c r="A692" t="s">
        <v>592</v>
      </c>
      <c r="B692">
        <v>24980.005614000002</v>
      </c>
      <c r="C692">
        <v>137.340395</v>
      </c>
      <c r="D692">
        <v>-855.98314900000003</v>
      </c>
      <c r="E692">
        <f t="shared" si="66"/>
        <v>80</v>
      </c>
      <c r="F692" t="str">
        <f t="shared" si="67"/>
        <v/>
      </c>
    </row>
    <row r="693" spans="1:6" x14ac:dyDescent="0.2">
      <c r="A693" t="s">
        <v>593</v>
      </c>
      <c r="B693">
        <v>24482.805703000002</v>
      </c>
      <c r="C693">
        <v>-590.73853599999995</v>
      </c>
      <c r="D693">
        <v>-964.55684299999996</v>
      </c>
      <c r="E693">
        <f t="shared" si="66"/>
        <v>81</v>
      </c>
      <c r="F693" t="str">
        <f t="shared" si="67"/>
        <v/>
      </c>
    </row>
    <row r="694" spans="1:6" x14ac:dyDescent="0.2">
      <c r="A694" t="s">
        <v>594</v>
      </c>
      <c r="B694">
        <v>23773.580236000002</v>
      </c>
      <c r="C694">
        <v>-55.683622999999997</v>
      </c>
      <c r="D694">
        <v>-1305.3392229999999</v>
      </c>
      <c r="E694">
        <f t="shared" si="66"/>
        <v>82</v>
      </c>
      <c r="F694" t="str">
        <f t="shared" si="67"/>
        <v/>
      </c>
    </row>
    <row r="695" spans="1:6" x14ac:dyDescent="0.2">
      <c r="A695" t="s">
        <v>595</v>
      </c>
      <c r="B695">
        <v>23168.309161000001</v>
      </c>
      <c r="C695">
        <v>-304.29468300000002</v>
      </c>
      <c r="D695">
        <v>-579.45825100000002</v>
      </c>
      <c r="E695">
        <f t="shared" si="66"/>
        <v>83</v>
      </c>
      <c r="F695" t="str">
        <f t="shared" si="67"/>
        <v/>
      </c>
    </row>
    <row r="696" spans="1:6" x14ac:dyDescent="0.2">
      <c r="A696" t="s">
        <v>596</v>
      </c>
      <c r="B696">
        <v>22858.676965999999</v>
      </c>
      <c r="C696">
        <v>-760.89966800000002</v>
      </c>
      <c r="D696">
        <v>-684.32909600000005</v>
      </c>
      <c r="E696">
        <f t="shared" si="66"/>
        <v>84</v>
      </c>
      <c r="F696" t="str">
        <f t="shared" si="67"/>
        <v/>
      </c>
    </row>
    <row r="697" spans="1:6" x14ac:dyDescent="0.2">
      <c r="A697" t="s">
        <v>597</v>
      </c>
      <c r="B697">
        <v>22489.636261</v>
      </c>
      <c r="C697">
        <v>38.223058000000002</v>
      </c>
      <c r="D697">
        <v>-659.52907300000004</v>
      </c>
      <c r="E697">
        <f t="shared" si="66"/>
        <v>85</v>
      </c>
      <c r="F697" t="str">
        <f t="shared" si="67"/>
        <v/>
      </c>
    </row>
    <row r="698" spans="1:6" x14ac:dyDescent="0.2">
      <c r="A698" t="s">
        <v>598</v>
      </c>
      <c r="B698">
        <v>21784.703428000001</v>
      </c>
      <c r="C698">
        <v>783.02331700000002</v>
      </c>
      <c r="D698">
        <v>-896.757611</v>
      </c>
      <c r="E698">
        <f t="shared" si="66"/>
        <v>86</v>
      </c>
      <c r="F698" t="str">
        <f t="shared" si="67"/>
        <v/>
      </c>
    </row>
    <row r="699" spans="1:6" x14ac:dyDescent="0.2">
      <c r="A699" t="s">
        <v>599</v>
      </c>
      <c r="B699">
        <v>21142.455276000001</v>
      </c>
      <c r="C699">
        <v>285.585891</v>
      </c>
      <c r="D699">
        <v>-398.25464499999998</v>
      </c>
      <c r="E699">
        <f t="shared" si="66"/>
        <v>87</v>
      </c>
      <c r="F699" t="str">
        <f t="shared" si="67"/>
        <v/>
      </c>
    </row>
    <row r="700" spans="1:6" x14ac:dyDescent="0.2">
      <c r="A700" t="s">
        <v>600</v>
      </c>
      <c r="B700">
        <v>20640.376227000001</v>
      </c>
      <c r="C700">
        <v>-853.29083300000002</v>
      </c>
      <c r="D700">
        <v>-486.868763</v>
      </c>
      <c r="E700">
        <f t="shared" si="66"/>
        <v>88</v>
      </c>
      <c r="F700" t="str">
        <f t="shared" si="67"/>
        <v/>
      </c>
    </row>
    <row r="701" spans="1:6" x14ac:dyDescent="0.2">
      <c r="A701" t="s">
        <v>601</v>
      </c>
      <c r="B701">
        <v>20060.882106000001</v>
      </c>
      <c r="C701">
        <v>-139.75712300000001</v>
      </c>
      <c r="D701">
        <v>-846.04632500000002</v>
      </c>
      <c r="E701">
        <f t="shared" si="66"/>
        <v>89</v>
      </c>
      <c r="F701" t="str">
        <f t="shared" si="67"/>
        <v/>
      </c>
    </row>
    <row r="702" spans="1:6" x14ac:dyDescent="0.2">
      <c r="A702" t="s">
        <v>602</v>
      </c>
      <c r="B702">
        <v>19511.676578999999</v>
      </c>
      <c r="C702">
        <v>-78.748904999999993</v>
      </c>
      <c r="D702">
        <v>-859.54260399999998</v>
      </c>
      <c r="E702">
        <f t="shared" si="66"/>
        <v>90</v>
      </c>
      <c r="F702" t="str">
        <f t="shared" si="67"/>
        <v/>
      </c>
    </row>
    <row r="703" spans="1:6" x14ac:dyDescent="0.2">
      <c r="A703" t="s">
        <v>603</v>
      </c>
      <c r="B703">
        <v>19197.557080999999</v>
      </c>
      <c r="C703">
        <v>1118.6420459999999</v>
      </c>
      <c r="D703">
        <v>-1082.535903</v>
      </c>
      <c r="E703">
        <f t="shared" si="66"/>
        <v>91</v>
      </c>
      <c r="F703" t="str">
        <f t="shared" si="67"/>
        <v/>
      </c>
    </row>
    <row r="704" spans="1:6" x14ac:dyDescent="0.2">
      <c r="A704" t="s">
        <v>604</v>
      </c>
      <c r="B704">
        <v>18904.540980999998</v>
      </c>
      <c r="C704">
        <v>-887.69611799999996</v>
      </c>
      <c r="D704">
        <v>-936.20903299999998</v>
      </c>
      <c r="E704">
        <f t="shared" si="66"/>
        <v>92</v>
      </c>
      <c r="F704" t="str">
        <f t="shared" si="67"/>
        <v/>
      </c>
    </row>
    <row r="705" spans="1:6" x14ac:dyDescent="0.2">
      <c r="A705" t="s">
        <v>605</v>
      </c>
      <c r="B705">
        <v>18137.233491999999</v>
      </c>
      <c r="C705">
        <v>-255.39313899999999</v>
      </c>
      <c r="D705">
        <v>-934.429892</v>
      </c>
      <c r="E705">
        <f t="shared" si="66"/>
        <v>93</v>
      </c>
      <c r="F705" t="str">
        <f t="shared" si="67"/>
        <v/>
      </c>
    </row>
    <row r="706" spans="1:6" x14ac:dyDescent="0.2">
      <c r="A706" t="s">
        <v>606</v>
      </c>
      <c r="B706">
        <v>17549.852050000001</v>
      </c>
      <c r="C706">
        <v>-272.07395400000001</v>
      </c>
      <c r="D706">
        <v>-280.917709</v>
      </c>
      <c r="E706">
        <f t="shared" si="66"/>
        <v>94</v>
      </c>
      <c r="F706" t="str">
        <f t="shared" si="67"/>
        <v/>
      </c>
    </row>
    <row r="707" spans="1:6" x14ac:dyDescent="0.2">
      <c r="A707" t="s">
        <v>607</v>
      </c>
      <c r="B707">
        <v>17276.622854000001</v>
      </c>
      <c r="C707">
        <v>-887.82134499999995</v>
      </c>
      <c r="D707">
        <v>-760.43605600000001</v>
      </c>
      <c r="E707">
        <f t="shared" si="66"/>
        <v>95</v>
      </c>
      <c r="F707" t="str">
        <f t="shared" si="67"/>
        <v/>
      </c>
    </row>
    <row r="708" spans="1:6" x14ac:dyDescent="0.2">
      <c r="A708" t="s">
        <v>608</v>
      </c>
      <c r="B708">
        <v>16955.724689999999</v>
      </c>
      <c r="C708">
        <v>299.610815</v>
      </c>
      <c r="D708">
        <v>-507.17588799999999</v>
      </c>
      <c r="E708">
        <f t="shared" si="66"/>
        <v>96</v>
      </c>
      <c r="F708" t="str">
        <f t="shared" si="67"/>
        <v/>
      </c>
    </row>
    <row r="709" spans="1:6" x14ac:dyDescent="0.2">
      <c r="A709" t="s">
        <v>609</v>
      </c>
      <c r="B709">
        <v>16390.539572000001</v>
      </c>
      <c r="C709">
        <v>-696.08480199999997</v>
      </c>
      <c r="D709">
        <v>-934.615903</v>
      </c>
      <c r="E709">
        <f t="shared" si="66"/>
        <v>97</v>
      </c>
      <c r="F709" t="str">
        <f t="shared" si="67"/>
        <v/>
      </c>
    </row>
    <row r="710" spans="1:6" x14ac:dyDescent="0.2">
      <c r="A710" t="s">
        <v>610</v>
      </c>
      <c r="B710">
        <v>15557.517594000001</v>
      </c>
      <c r="C710">
        <v>17.141411000000002</v>
      </c>
      <c r="D710">
        <v>-557.41274499999997</v>
      </c>
      <c r="E710">
        <f t="shared" si="66"/>
        <v>98</v>
      </c>
      <c r="F710" t="str">
        <f t="shared" si="67"/>
        <v/>
      </c>
    </row>
    <row r="711" spans="1:6" x14ac:dyDescent="0.2">
      <c r="A711" t="s">
        <v>611</v>
      </c>
      <c r="B711">
        <v>15488.517061</v>
      </c>
      <c r="C711">
        <v>-96.761035000000007</v>
      </c>
      <c r="D711">
        <v>-300.85100399999999</v>
      </c>
      <c r="E711">
        <f t="shared" si="66"/>
        <v>99</v>
      </c>
      <c r="F711" t="str">
        <f t="shared" si="67"/>
        <v/>
      </c>
    </row>
    <row r="712" spans="1:6" x14ac:dyDescent="0.2">
      <c r="A712" t="s">
        <v>612</v>
      </c>
      <c r="B712">
        <v>14552.836488000001</v>
      </c>
      <c r="C712">
        <v>294.65686399999998</v>
      </c>
      <c r="D712">
        <v>-465.47535800000003</v>
      </c>
      <c r="E712">
        <f t="shared" ref="E712:E775" si="68">RIGHT(A712,LEN(A712)-FIND("_",A712,FIND("_",A712)+1))*1</f>
        <v>100</v>
      </c>
      <c r="F712" t="str">
        <f t="shared" ref="F712:F775" si="69">IF(E712&lt;&gt;1+E711,"err","")</f>
        <v/>
      </c>
    </row>
    <row r="713" spans="1:6" x14ac:dyDescent="0.2">
      <c r="A713" t="s">
        <v>613</v>
      </c>
      <c r="B713">
        <v>14061.099238999999</v>
      </c>
      <c r="C713">
        <v>198.86066700000001</v>
      </c>
      <c r="D713">
        <v>-358.89747199999999</v>
      </c>
      <c r="E713">
        <f t="shared" si="68"/>
        <v>101</v>
      </c>
      <c r="F713" t="str">
        <f t="shared" si="69"/>
        <v/>
      </c>
    </row>
    <row r="714" spans="1:6" x14ac:dyDescent="0.2">
      <c r="A714" t="s">
        <v>614</v>
      </c>
      <c r="B714">
        <v>13511.770527999999</v>
      </c>
      <c r="C714">
        <v>-436.81042600000001</v>
      </c>
      <c r="D714">
        <v>-671.40321500000005</v>
      </c>
      <c r="E714">
        <f t="shared" si="68"/>
        <v>102</v>
      </c>
      <c r="F714" t="str">
        <f t="shared" si="69"/>
        <v/>
      </c>
    </row>
    <row r="715" spans="1:6" x14ac:dyDescent="0.2">
      <c r="A715" t="s">
        <v>615</v>
      </c>
      <c r="B715">
        <v>13038.62887</v>
      </c>
      <c r="C715">
        <v>189.807006</v>
      </c>
      <c r="D715">
        <v>-491.45469400000002</v>
      </c>
      <c r="E715">
        <f t="shared" si="68"/>
        <v>103</v>
      </c>
      <c r="F715" t="str">
        <f t="shared" si="69"/>
        <v/>
      </c>
    </row>
    <row r="716" spans="1:6" x14ac:dyDescent="0.2">
      <c r="A716" t="s">
        <v>616</v>
      </c>
      <c r="B716">
        <v>12587.884481999999</v>
      </c>
      <c r="C716">
        <v>403.95650699999999</v>
      </c>
      <c r="D716">
        <v>-66.871172999999999</v>
      </c>
      <c r="E716">
        <f t="shared" si="68"/>
        <v>104</v>
      </c>
      <c r="F716" t="str">
        <f t="shared" si="69"/>
        <v/>
      </c>
    </row>
    <row r="717" spans="1:6" x14ac:dyDescent="0.2">
      <c r="A717" t="s">
        <v>617</v>
      </c>
      <c r="B717">
        <v>12351.816648</v>
      </c>
      <c r="C717">
        <v>293.53043300000002</v>
      </c>
      <c r="D717">
        <v>-252.772989</v>
      </c>
      <c r="E717">
        <f t="shared" si="68"/>
        <v>105</v>
      </c>
      <c r="F717" t="str">
        <f t="shared" si="69"/>
        <v/>
      </c>
    </row>
    <row r="718" spans="1:6" x14ac:dyDescent="0.2">
      <c r="A718" t="s">
        <v>618</v>
      </c>
      <c r="B718">
        <v>11708.188061000001</v>
      </c>
      <c r="C718">
        <v>113.503967</v>
      </c>
      <c r="D718">
        <v>-430.71803899999998</v>
      </c>
      <c r="E718">
        <f t="shared" si="68"/>
        <v>106</v>
      </c>
      <c r="F718" t="str">
        <f t="shared" si="69"/>
        <v/>
      </c>
    </row>
    <row r="719" spans="1:6" x14ac:dyDescent="0.2">
      <c r="A719" t="s">
        <v>619</v>
      </c>
      <c r="B719">
        <v>11312.780648</v>
      </c>
      <c r="C719">
        <v>242.98192599999999</v>
      </c>
      <c r="D719">
        <v>-599.105277</v>
      </c>
      <c r="E719">
        <f t="shared" si="68"/>
        <v>107</v>
      </c>
      <c r="F719" t="str">
        <f t="shared" si="69"/>
        <v/>
      </c>
    </row>
    <row r="720" spans="1:6" x14ac:dyDescent="0.2">
      <c r="A720" t="s">
        <v>620</v>
      </c>
      <c r="B720">
        <v>10987.253708</v>
      </c>
      <c r="C720">
        <v>-180.48933199999999</v>
      </c>
      <c r="D720">
        <v>-206.19629800000001</v>
      </c>
      <c r="E720">
        <f t="shared" si="68"/>
        <v>108</v>
      </c>
      <c r="F720" t="str">
        <f t="shared" si="69"/>
        <v/>
      </c>
    </row>
    <row r="721" spans="1:6" x14ac:dyDescent="0.2">
      <c r="A721" t="s">
        <v>621</v>
      </c>
      <c r="B721">
        <v>10064.155032000001</v>
      </c>
      <c r="C721">
        <v>264.436622</v>
      </c>
      <c r="D721">
        <v>-284.19447400000001</v>
      </c>
      <c r="E721">
        <f t="shared" si="68"/>
        <v>109</v>
      </c>
      <c r="F721" t="str">
        <f t="shared" si="69"/>
        <v/>
      </c>
    </row>
    <row r="722" spans="1:6" x14ac:dyDescent="0.2">
      <c r="A722" t="s">
        <v>622</v>
      </c>
      <c r="B722">
        <v>9873.6693230000001</v>
      </c>
      <c r="C722">
        <v>-378.63600600000001</v>
      </c>
      <c r="D722">
        <v>-467.096003</v>
      </c>
      <c r="E722">
        <f t="shared" si="68"/>
        <v>110</v>
      </c>
      <c r="F722" t="str">
        <f t="shared" si="69"/>
        <v/>
      </c>
    </row>
    <row r="723" spans="1:6" x14ac:dyDescent="0.2">
      <c r="A723" t="s">
        <v>623</v>
      </c>
      <c r="B723">
        <v>9188.7910690000008</v>
      </c>
      <c r="C723">
        <v>-224.298497</v>
      </c>
      <c r="D723">
        <v>-518.70101699999998</v>
      </c>
      <c r="E723">
        <f t="shared" si="68"/>
        <v>111</v>
      </c>
      <c r="F723" t="str">
        <f t="shared" si="69"/>
        <v/>
      </c>
    </row>
    <row r="724" spans="1:6" x14ac:dyDescent="0.2">
      <c r="A724" t="s">
        <v>624</v>
      </c>
      <c r="B724">
        <v>8559.0240610000001</v>
      </c>
      <c r="C724">
        <v>-257.97562900000003</v>
      </c>
      <c r="D724">
        <v>-802.05255899999997</v>
      </c>
      <c r="E724">
        <f t="shared" si="68"/>
        <v>112</v>
      </c>
      <c r="F724" t="str">
        <f t="shared" si="69"/>
        <v/>
      </c>
    </row>
    <row r="725" spans="1:6" x14ac:dyDescent="0.2">
      <c r="A725" t="s">
        <v>625</v>
      </c>
      <c r="B725">
        <v>8455.6828320000004</v>
      </c>
      <c r="C725">
        <v>-242.38242399999999</v>
      </c>
      <c r="D725">
        <v>-556.42638999999997</v>
      </c>
      <c r="E725">
        <f t="shared" si="68"/>
        <v>113</v>
      </c>
      <c r="F725" t="str">
        <f t="shared" si="69"/>
        <v/>
      </c>
    </row>
    <row r="726" spans="1:6" x14ac:dyDescent="0.2">
      <c r="A726" t="s">
        <v>626</v>
      </c>
      <c r="B726">
        <v>7885.7850980000003</v>
      </c>
      <c r="C726">
        <v>0.144118</v>
      </c>
      <c r="D726">
        <v>-507.35401999999999</v>
      </c>
      <c r="E726">
        <f t="shared" si="68"/>
        <v>114</v>
      </c>
      <c r="F726" t="str">
        <f t="shared" si="69"/>
        <v/>
      </c>
    </row>
    <row r="727" spans="1:6" x14ac:dyDescent="0.2">
      <c r="A727" t="s">
        <v>627</v>
      </c>
      <c r="B727">
        <v>7260.4615780000004</v>
      </c>
      <c r="C727">
        <v>-391.03111899999999</v>
      </c>
      <c r="D727">
        <v>-548.533907</v>
      </c>
      <c r="E727">
        <f t="shared" si="68"/>
        <v>115</v>
      </c>
      <c r="F727" t="str">
        <f t="shared" si="69"/>
        <v/>
      </c>
    </row>
    <row r="728" spans="1:6" x14ac:dyDescent="0.2">
      <c r="A728" t="s">
        <v>628</v>
      </c>
      <c r="B728">
        <v>6765.0488359999999</v>
      </c>
      <c r="C728">
        <v>11.986863</v>
      </c>
      <c r="D728">
        <v>-682.13840600000003</v>
      </c>
      <c r="E728">
        <f t="shared" si="68"/>
        <v>116</v>
      </c>
      <c r="F728" t="str">
        <f t="shared" si="69"/>
        <v/>
      </c>
    </row>
    <row r="729" spans="1:6" x14ac:dyDescent="0.2">
      <c r="A729" t="s">
        <v>629</v>
      </c>
      <c r="B729">
        <v>6452.0950350000003</v>
      </c>
      <c r="C729">
        <v>-259.286697</v>
      </c>
      <c r="D729">
        <v>-309.44765100000001</v>
      </c>
      <c r="E729">
        <f t="shared" si="68"/>
        <v>117</v>
      </c>
      <c r="F729" t="str">
        <f t="shared" si="69"/>
        <v/>
      </c>
    </row>
    <row r="730" spans="1:6" x14ac:dyDescent="0.2">
      <c r="A730" t="s">
        <v>630</v>
      </c>
      <c r="B730">
        <v>5864.2655100000002</v>
      </c>
      <c r="C730">
        <v>-413.21679799999998</v>
      </c>
      <c r="D730">
        <v>-956.49028599999997</v>
      </c>
      <c r="E730">
        <f t="shared" si="68"/>
        <v>118</v>
      </c>
      <c r="F730" t="str">
        <f t="shared" si="69"/>
        <v/>
      </c>
    </row>
    <row r="731" spans="1:6" x14ac:dyDescent="0.2">
      <c r="A731" t="s">
        <v>631</v>
      </c>
      <c r="B731">
        <v>5063.4658479999998</v>
      </c>
      <c r="C731">
        <v>84.221551000000005</v>
      </c>
      <c r="D731">
        <v>-702.02907400000004</v>
      </c>
      <c r="E731">
        <f t="shared" si="68"/>
        <v>119</v>
      </c>
      <c r="F731" t="str">
        <f t="shared" si="69"/>
        <v/>
      </c>
    </row>
    <row r="732" spans="1:6" x14ac:dyDescent="0.2">
      <c r="A732" t="s">
        <v>632</v>
      </c>
      <c r="B732">
        <v>4925.3901340000002</v>
      </c>
      <c r="C732">
        <v>-515.24343499999998</v>
      </c>
      <c r="D732">
        <v>-826.50034800000003</v>
      </c>
      <c r="E732">
        <f t="shared" si="68"/>
        <v>120</v>
      </c>
      <c r="F732" t="str">
        <f t="shared" si="69"/>
        <v/>
      </c>
    </row>
    <row r="733" spans="1:6" x14ac:dyDescent="0.2">
      <c r="A733" t="s">
        <v>633</v>
      </c>
      <c r="B733">
        <v>4040.027247</v>
      </c>
      <c r="C733">
        <v>32.792605999999999</v>
      </c>
      <c r="D733">
        <v>-612.57226500000002</v>
      </c>
      <c r="E733">
        <f t="shared" si="68"/>
        <v>121</v>
      </c>
      <c r="F733" t="str">
        <f t="shared" si="69"/>
        <v/>
      </c>
    </row>
    <row r="734" spans="1:6" x14ac:dyDescent="0.2">
      <c r="A734" t="s">
        <v>634</v>
      </c>
      <c r="B734">
        <v>3598.807409</v>
      </c>
      <c r="C734">
        <v>-628.87123799999995</v>
      </c>
      <c r="D734">
        <v>-1134.860224</v>
      </c>
      <c r="E734">
        <f t="shared" si="68"/>
        <v>122</v>
      </c>
      <c r="F734" t="str">
        <f t="shared" si="69"/>
        <v/>
      </c>
    </row>
    <row r="735" spans="1:6" x14ac:dyDescent="0.2">
      <c r="A735" t="s">
        <v>635</v>
      </c>
      <c r="B735">
        <v>3001.3245689999999</v>
      </c>
      <c r="C735">
        <v>-410.477238</v>
      </c>
      <c r="D735">
        <v>-1253.6904689999999</v>
      </c>
      <c r="E735">
        <f t="shared" si="68"/>
        <v>123</v>
      </c>
      <c r="F735" t="str">
        <f t="shared" si="69"/>
        <v/>
      </c>
    </row>
    <row r="736" spans="1:6" x14ac:dyDescent="0.2">
      <c r="A736" t="s">
        <v>636</v>
      </c>
      <c r="B736">
        <v>2639.7701590000001</v>
      </c>
      <c r="C736">
        <v>611.32878000000005</v>
      </c>
      <c r="D736">
        <v>-1000.438817</v>
      </c>
      <c r="E736">
        <f t="shared" si="68"/>
        <v>124</v>
      </c>
      <c r="F736" t="str">
        <f t="shared" si="69"/>
        <v/>
      </c>
    </row>
    <row r="737" spans="1:6" x14ac:dyDescent="0.2">
      <c r="A737" t="s">
        <v>637</v>
      </c>
      <c r="B737">
        <v>2349.3921909999999</v>
      </c>
      <c r="C737">
        <v>552.31291999999996</v>
      </c>
      <c r="D737">
        <v>-773.67722700000002</v>
      </c>
      <c r="E737">
        <f t="shared" si="68"/>
        <v>125</v>
      </c>
      <c r="F737" t="str">
        <f t="shared" si="69"/>
        <v/>
      </c>
    </row>
    <row r="738" spans="1:6" x14ac:dyDescent="0.2">
      <c r="A738" t="s">
        <v>638</v>
      </c>
      <c r="B738">
        <v>1547.745146</v>
      </c>
      <c r="C738">
        <v>457.59572300000002</v>
      </c>
      <c r="D738">
        <v>-884.74374699999998</v>
      </c>
      <c r="E738">
        <f t="shared" si="68"/>
        <v>126</v>
      </c>
      <c r="F738" t="str">
        <f t="shared" si="69"/>
        <v/>
      </c>
    </row>
    <row r="739" spans="1:6" x14ac:dyDescent="0.2">
      <c r="A739" t="s">
        <v>639</v>
      </c>
      <c r="B739">
        <v>1432.5381030000001</v>
      </c>
      <c r="C739">
        <v>-507.95103899999998</v>
      </c>
      <c r="D739">
        <v>-1068.872488</v>
      </c>
      <c r="E739">
        <f t="shared" si="68"/>
        <v>127</v>
      </c>
      <c r="F739" t="str">
        <f t="shared" si="69"/>
        <v/>
      </c>
    </row>
    <row r="740" spans="1:6" x14ac:dyDescent="0.2">
      <c r="A740" t="s">
        <v>640</v>
      </c>
      <c r="B740">
        <v>2273.8103190000002</v>
      </c>
      <c r="C740">
        <v>740.59717499999999</v>
      </c>
      <c r="D740">
        <v>-1054.1006199999999</v>
      </c>
      <c r="E740">
        <f t="shared" si="68"/>
        <v>1</v>
      </c>
      <c r="F740" t="str">
        <f t="shared" si="69"/>
        <v>err</v>
      </c>
    </row>
    <row r="741" spans="1:6" x14ac:dyDescent="0.2">
      <c r="A741" t="s">
        <v>641</v>
      </c>
      <c r="B741">
        <v>4477.6291170000004</v>
      </c>
      <c r="C741">
        <v>702.54714899999999</v>
      </c>
      <c r="D741">
        <v>-813.80925300000001</v>
      </c>
      <c r="E741">
        <f t="shared" si="68"/>
        <v>2</v>
      </c>
      <c r="F741" t="str">
        <f t="shared" si="69"/>
        <v/>
      </c>
    </row>
    <row r="742" spans="1:6" x14ac:dyDescent="0.2">
      <c r="A742" t="s">
        <v>642</v>
      </c>
      <c r="B742">
        <v>6663.517828</v>
      </c>
      <c r="C742">
        <v>630.85820100000001</v>
      </c>
      <c r="D742">
        <v>-572.84054900000001</v>
      </c>
      <c r="E742">
        <f t="shared" si="68"/>
        <v>3</v>
      </c>
      <c r="F742" t="str">
        <f t="shared" si="69"/>
        <v/>
      </c>
    </row>
    <row r="743" spans="1:6" x14ac:dyDescent="0.2">
      <c r="A743" t="s">
        <v>643</v>
      </c>
      <c r="B743">
        <v>8844.3160669999997</v>
      </c>
      <c r="C743">
        <v>527.18930999999998</v>
      </c>
      <c r="D743">
        <v>-329.641773</v>
      </c>
      <c r="E743">
        <f t="shared" si="68"/>
        <v>4</v>
      </c>
      <c r="F743" t="str">
        <f t="shared" si="69"/>
        <v/>
      </c>
    </row>
    <row r="744" spans="1:6" x14ac:dyDescent="0.2">
      <c r="A744" t="s">
        <v>644</v>
      </c>
      <c r="B744">
        <v>10791.793008000001</v>
      </c>
      <c r="C744">
        <v>472.04391700000002</v>
      </c>
      <c r="D744">
        <v>-130.09864200000001</v>
      </c>
      <c r="E744">
        <f t="shared" si="68"/>
        <v>5</v>
      </c>
      <c r="F744" t="str">
        <f t="shared" si="69"/>
        <v/>
      </c>
    </row>
    <row r="745" spans="1:6" x14ac:dyDescent="0.2">
      <c r="A745" t="s">
        <v>645</v>
      </c>
      <c r="B745">
        <v>12613.723892</v>
      </c>
      <c r="C745">
        <v>408.37902500000001</v>
      </c>
      <c r="D745">
        <v>-245.40088</v>
      </c>
      <c r="E745">
        <f t="shared" si="68"/>
        <v>6</v>
      </c>
      <c r="F745" t="str">
        <f t="shared" si="69"/>
        <v/>
      </c>
    </row>
    <row r="746" spans="1:6" x14ac:dyDescent="0.2">
      <c r="A746" t="s">
        <v>646</v>
      </c>
      <c r="B746">
        <v>14800.064827</v>
      </c>
      <c r="C746">
        <v>316.97646700000001</v>
      </c>
      <c r="D746">
        <v>-381.08247699999998</v>
      </c>
      <c r="E746">
        <f t="shared" si="68"/>
        <v>7</v>
      </c>
      <c r="F746" t="str">
        <f t="shared" si="69"/>
        <v/>
      </c>
    </row>
    <row r="747" spans="1:6" x14ac:dyDescent="0.2">
      <c r="A747" t="s">
        <v>647</v>
      </c>
      <c r="B747">
        <v>16989.702585999999</v>
      </c>
      <c r="C747">
        <v>225.25302300000001</v>
      </c>
      <c r="D747">
        <v>-516.88254300000006</v>
      </c>
      <c r="E747">
        <f t="shared" si="68"/>
        <v>8</v>
      </c>
      <c r="F747" t="str">
        <f t="shared" si="69"/>
        <v/>
      </c>
    </row>
    <row r="748" spans="1:6" x14ac:dyDescent="0.2">
      <c r="A748" t="s">
        <v>648</v>
      </c>
      <c r="B748">
        <v>19175.674106999999</v>
      </c>
      <c r="C748">
        <v>129.319199</v>
      </c>
      <c r="D748">
        <v>-651.29100000000005</v>
      </c>
      <c r="E748">
        <f t="shared" si="68"/>
        <v>9</v>
      </c>
      <c r="F748" t="str">
        <f t="shared" si="69"/>
        <v/>
      </c>
    </row>
    <row r="749" spans="1:6" x14ac:dyDescent="0.2">
      <c r="A749" t="s">
        <v>649</v>
      </c>
      <c r="B749">
        <v>21355.806483</v>
      </c>
      <c r="C749">
        <v>26.253719</v>
      </c>
      <c r="D749">
        <v>-782.99081200000001</v>
      </c>
      <c r="E749">
        <f t="shared" si="68"/>
        <v>10</v>
      </c>
      <c r="F749" t="str">
        <f t="shared" si="69"/>
        <v/>
      </c>
    </row>
    <row r="750" spans="1:6" x14ac:dyDescent="0.2">
      <c r="A750" t="s">
        <v>650</v>
      </c>
      <c r="B750">
        <v>23533.378140000001</v>
      </c>
      <c r="C750">
        <v>-72.313564999999997</v>
      </c>
      <c r="D750">
        <v>-913.02694399999996</v>
      </c>
      <c r="E750">
        <f t="shared" si="68"/>
        <v>11</v>
      </c>
      <c r="F750" t="str">
        <f t="shared" si="69"/>
        <v/>
      </c>
    </row>
    <row r="751" spans="1:6" x14ac:dyDescent="0.2">
      <c r="A751" t="s">
        <v>651</v>
      </c>
      <c r="B751">
        <v>25704.325233</v>
      </c>
      <c r="C751">
        <v>-181.17003700000001</v>
      </c>
      <c r="D751">
        <v>-1040.969781</v>
      </c>
      <c r="E751">
        <f t="shared" si="68"/>
        <v>12</v>
      </c>
      <c r="F751" t="str">
        <f t="shared" si="69"/>
        <v/>
      </c>
    </row>
    <row r="752" spans="1:6" x14ac:dyDescent="0.2">
      <c r="A752" t="s">
        <v>652</v>
      </c>
      <c r="B752">
        <v>27875.960814999999</v>
      </c>
      <c r="C752">
        <v>-300.379639</v>
      </c>
      <c r="D752">
        <v>-1168.710775</v>
      </c>
      <c r="E752">
        <f t="shared" si="68"/>
        <v>13</v>
      </c>
      <c r="F752" t="str">
        <f t="shared" si="69"/>
        <v/>
      </c>
    </row>
    <row r="753" spans="1:6" x14ac:dyDescent="0.2">
      <c r="A753" t="s">
        <v>653</v>
      </c>
      <c r="B753">
        <v>30003.976052999999</v>
      </c>
      <c r="C753">
        <v>-410.38917500000002</v>
      </c>
      <c r="D753">
        <v>-1247.953534</v>
      </c>
      <c r="E753">
        <f t="shared" si="68"/>
        <v>14</v>
      </c>
      <c r="F753" t="str">
        <f t="shared" si="69"/>
        <v/>
      </c>
    </row>
    <row r="754" spans="1:6" x14ac:dyDescent="0.2">
      <c r="A754" t="s">
        <v>654</v>
      </c>
      <c r="B754">
        <v>32106.494503999998</v>
      </c>
      <c r="C754">
        <v>-525.53558999999996</v>
      </c>
      <c r="D754">
        <v>-1301.371179</v>
      </c>
      <c r="E754">
        <f t="shared" si="68"/>
        <v>15</v>
      </c>
      <c r="F754" t="str">
        <f t="shared" si="69"/>
        <v/>
      </c>
    </row>
    <row r="755" spans="1:6" x14ac:dyDescent="0.2">
      <c r="A755" t="s">
        <v>655</v>
      </c>
      <c r="B755">
        <v>33158.815168000001</v>
      </c>
      <c r="C755">
        <v>-697.75724200000002</v>
      </c>
      <c r="D755">
        <v>-1329.838853</v>
      </c>
      <c r="E755">
        <f t="shared" si="68"/>
        <v>16</v>
      </c>
      <c r="F755" t="str">
        <f t="shared" si="69"/>
        <v/>
      </c>
    </row>
    <row r="756" spans="1:6" x14ac:dyDescent="0.2">
      <c r="A756" t="s">
        <v>656</v>
      </c>
      <c r="B756">
        <v>31028.775007</v>
      </c>
      <c r="C756">
        <v>-597.52606100000003</v>
      </c>
      <c r="D756">
        <v>-1275.712667</v>
      </c>
      <c r="E756">
        <f t="shared" si="68"/>
        <v>17</v>
      </c>
      <c r="F756" t="str">
        <f t="shared" si="69"/>
        <v/>
      </c>
    </row>
    <row r="757" spans="1:6" x14ac:dyDescent="0.2">
      <c r="A757" t="s">
        <v>657</v>
      </c>
      <c r="B757">
        <v>28900.227965999999</v>
      </c>
      <c r="C757">
        <v>-506.48438499999997</v>
      </c>
      <c r="D757">
        <v>-1222.668175</v>
      </c>
      <c r="E757">
        <f t="shared" si="68"/>
        <v>18</v>
      </c>
      <c r="F757" t="str">
        <f t="shared" si="69"/>
        <v/>
      </c>
    </row>
    <row r="758" spans="1:6" x14ac:dyDescent="0.2">
      <c r="A758" t="s">
        <v>658</v>
      </c>
      <c r="B758">
        <v>26707.612507000002</v>
      </c>
      <c r="C758">
        <v>-409.37682699999999</v>
      </c>
      <c r="D758">
        <v>-1102.7618930000001</v>
      </c>
      <c r="E758">
        <f t="shared" si="68"/>
        <v>19</v>
      </c>
      <c r="F758" t="str">
        <f t="shared" si="69"/>
        <v/>
      </c>
    </row>
    <row r="759" spans="1:6" x14ac:dyDescent="0.2">
      <c r="A759" t="s">
        <v>659</v>
      </c>
      <c r="B759">
        <v>24507.185479</v>
      </c>
      <c r="C759">
        <v>-329.11021799999997</v>
      </c>
      <c r="D759">
        <v>-973.16608599999995</v>
      </c>
      <c r="E759">
        <f t="shared" si="68"/>
        <v>20</v>
      </c>
      <c r="F759" t="str">
        <f t="shared" si="69"/>
        <v/>
      </c>
    </row>
    <row r="760" spans="1:6" x14ac:dyDescent="0.2">
      <c r="A760" t="s">
        <v>660</v>
      </c>
      <c r="B760">
        <v>22308.338965999999</v>
      </c>
      <c r="C760">
        <v>-247.753522</v>
      </c>
      <c r="D760">
        <v>-842.40239699999995</v>
      </c>
      <c r="E760">
        <f t="shared" si="68"/>
        <v>21</v>
      </c>
      <c r="F760" t="str">
        <f t="shared" si="69"/>
        <v/>
      </c>
    </row>
    <row r="761" spans="1:6" x14ac:dyDescent="0.2">
      <c r="A761" t="s">
        <v>661</v>
      </c>
      <c r="B761">
        <v>20096.328794000001</v>
      </c>
      <c r="C761">
        <v>-174.31334899999999</v>
      </c>
      <c r="D761">
        <v>-709.44490099999996</v>
      </c>
      <c r="E761">
        <f t="shared" si="68"/>
        <v>22</v>
      </c>
      <c r="F761" t="str">
        <f t="shared" si="69"/>
        <v/>
      </c>
    </row>
    <row r="762" spans="1:6" x14ac:dyDescent="0.2">
      <c r="A762" t="s">
        <v>662</v>
      </c>
      <c r="B762">
        <v>17866.595098000002</v>
      </c>
      <c r="C762">
        <v>-119.35832600000001</v>
      </c>
      <c r="D762">
        <v>-572.95248200000003</v>
      </c>
      <c r="E762">
        <f t="shared" si="68"/>
        <v>23</v>
      </c>
      <c r="F762" t="str">
        <f t="shared" si="69"/>
        <v/>
      </c>
    </row>
    <row r="763" spans="1:6" x14ac:dyDescent="0.2">
      <c r="A763" t="s">
        <v>663</v>
      </c>
      <c r="B763">
        <v>15625.379013</v>
      </c>
      <c r="C763">
        <v>-69.121467999999993</v>
      </c>
      <c r="D763">
        <v>-434.44875400000001</v>
      </c>
      <c r="E763">
        <f t="shared" si="68"/>
        <v>24</v>
      </c>
      <c r="F763" t="str">
        <f t="shared" si="69"/>
        <v/>
      </c>
    </row>
    <row r="764" spans="1:6" x14ac:dyDescent="0.2">
      <c r="A764" t="s">
        <v>664</v>
      </c>
      <c r="B764">
        <v>13404.409236</v>
      </c>
      <c r="C764">
        <v>-7.237355</v>
      </c>
      <c r="D764">
        <v>-296.92194799999999</v>
      </c>
      <c r="E764">
        <f t="shared" si="68"/>
        <v>25</v>
      </c>
      <c r="F764" t="str">
        <f t="shared" si="69"/>
        <v/>
      </c>
    </row>
    <row r="765" spans="1:6" x14ac:dyDescent="0.2">
      <c r="A765" t="s">
        <v>665</v>
      </c>
      <c r="B765">
        <v>11203.116516</v>
      </c>
      <c r="C765">
        <v>55.328769000000001</v>
      </c>
      <c r="D765">
        <v>-160.93101300000001</v>
      </c>
      <c r="E765">
        <f t="shared" si="68"/>
        <v>26</v>
      </c>
      <c r="F765" t="str">
        <f t="shared" si="69"/>
        <v/>
      </c>
    </row>
    <row r="766" spans="1:6" x14ac:dyDescent="0.2">
      <c r="A766" t="s">
        <v>666</v>
      </c>
      <c r="B766">
        <v>9732.0048709999992</v>
      </c>
      <c r="C766">
        <v>66.175045999999995</v>
      </c>
      <c r="D766">
        <v>-232.21680599999999</v>
      </c>
      <c r="E766">
        <f t="shared" si="68"/>
        <v>27</v>
      </c>
      <c r="F766" t="str">
        <f t="shared" si="69"/>
        <v/>
      </c>
    </row>
    <row r="767" spans="1:6" x14ac:dyDescent="0.2">
      <c r="A767" t="s">
        <v>667</v>
      </c>
      <c r="B767">
        <v>7317.7613300000003</v>
      </c>
      <c r="C767">
        <v>-41.139916999999997</v>
      </c>
      <c r="D767">
        <v>-501.67350900000002</v>
      </c>
      <c r="E767">
        <f t="shared" si="68"/>
        <v>28</v>
      </c>
      <c r="F767" t="str">
        <f t="shared" si="69"/>
        <v/>
      </c>
    </row>
    <row r="768" spans="1:6" x14ac:dyDescent="0.2">
      <c r="A768" t="s">
        <v>668</v>
      </c>
      <c r="B768">
        <v>4859.8238149999997</v>
      </c>
      <c r="C768">
        <v>-219.11577199999999</v>
      </c>
      <c r="D768">
        <v>-770.43561</v>
      </c>
      <c r="E768">
        <f t="shared" si="68"/>
        <v>29</v>
      </c>
      <c r="F768" t="str">
        <f t="shared" si="69"/>
        <v/>
      </c>
    </row>
    <row r="769" spans="1:6" x14ac:dyDescent="0.2">
      <c r="A769" t="s">
        <v>669</v>
      </c>
      <c r="B769">
        <v>2334.9285799999998</v>
      </c>
      <c r="C769">
        <v>-478.69874199999998</v>
      </c>
      <c r="D769">
        <v>-1042.211902</v>
      </c>
      <c r="E769">
        <f t="shared" si="68"/>
        <v>30</v>
      </c>
      <c r="F769" t="str">
        <f t="shared" si="69"/>
        <v/>
      </c>
    </row>
    <row r="770" spans="1:6" x14ac:dyDescent="0.2">
      <c r="A770" t="s">
        <v>670</v>
      </c>
      <c r="B770">
        <v>2273.6741050000001</v>
      </c>
      <c r="C770">
        <v>-744.299578</v>
      </c>
      <c r="D770">
        <v>-1056.6071730000001</v>
      </c>
      <c r="E770">
        <f t="shared" si="68"/>
        <v>31</v>
      </c>
      <c r="F770" t="str">
        <f t="shared" si="69"/>
        <v/>
      </c>
    </row>
    <row r="771" spans="1:6" x14ac:dyDescent="0.2">
      <c r="A771" t="s">
        <v>671</v>
      </c>
      <c r="B771">
        <v>4477.4960620000002</v>
      </c>
      <c r="C771">
        <v>-708.68251099999998</v>
      </c>
      <c r="D771">
        <v>-816.33328900000004</v>
      </c>
      <c r="E771">
        <f t="shared" si="68"/>
        <v>32</v>
      </c>
      <c r="F771" t="str">
        <f t="shared" si="69"/>
        <v/>
      </c>
    </row>
    <row r="772" spans="1:6" x14ac:dyDescent="0.2">
      <c r="A772" t="s">
        <v>672</v>
      </c>
      <c r="B772">
        <v>6663.4116489999997</v>
      </c>
      <c r="C772">
        <v>-640.15041599999995</v>
      </c>
      <c r="D772">
        <v>-575.32718299999999</v>
      </c>
      <c r="E772">
        <f t="shared" si="68"/>
        <v>33</v>
      </c>
      <c r="F772" t="str">
        <f t="shared" si="69"/>
        <v/>
      </c>
    </row>
    <row r="773" spans="1:6" x14ac:dyDescent="0.2">
      <c r="A773" t="s">
        <v>673</v>
      </c>
      <c r="B773">
        <v>8844.2472429999998</v>
      </c>
      <c r="C773">
        <v>-537.69104700000003</v>
      </c>
      <c r="D773">
        <v>-332.16162400000002</v>
      </c>
      <c r="E773">
        <f t="shared" si="68"/>
        <v>34</v>
      </c>
      <c r="F773" t="str">
        <f t="shared" si="69"/>
        <v/>
      </c>
    </row>
    <row r="774" spans="1:6" x14ac:dyDescent="0.2">
      <c r="A774" t="s">
        <v>674</v>
      </c>
      <c r="B774">
        <v>10791.701761</v>
      </c>
      <c r="C774">
        <v>-485.42617000000001</v>
      </c>
      <c r="D774">
        <v>-132.628379</v>
      </c>
      <c r="E774">
        <f t="shared" si="68"/>
        <v>35</v>
      </c>
      <c r="F774" t="str">
        <f t="shared" si="69"/>
        <v/>
      </c>
    </row>
    <row r="775" spans="1:6" x14ac:dyDescent="0.2">
      <c r="A775" t="s">
        <v>675</v>
      </c>
      <c r="B775">
        <v>12613.665086000001</v>
      </c>
      <c r="C775">
        <v>-424.86447299999998</v>
      </c>
      <c r="D775">
        <v>-247.90784500000001</v>
      </c>
      <c r="E775">
        <f t="shared" si="68"/>
        <v>36</v>
      </c>
      <c r="F775" t="str">
        <f t="shared" si="69"/>
        <v/>
      </c>
    </row>
    <row r="776" spans="1:6" x14ac:dyDescent="0.2">
      <c r="A776" t="s">
        <v>676</v>
      </c>
      <c r="B776">
        <v>14800.036103</v>
      </c>
      <c r="C776">
        <v>-335.551399</v>
      </c>
      <c r="D776">
        <v>-383.58511099999998</v>
      </c>
      <c r="E776">
        <f t="shared" ref="E776:E806" si="70">RIGHT(A776,LEN(A776)-FIND("_",A776,FIND("_",A776)+1))*1</f>
        <v>37</v>
      </c>
      <c r="F776" t="str">
        <f t="shared" ref="F776:F806" si="71">IF(E776&lt;&gt;1+E775,"err","")</f>
        <v/>
      </c>
    </row>
    <row r="777" spans="1:6" x14ac:dyDescent="0.2">
      <c r="A777" t="s">
        <v>677</v>
      </c>
      <c r="B777">
        <v>16989.700723000002</v>
      </c>
      <c r="C777">
        <v>-244.53003100000001</v>
      </c>
      <c r="D777">
        <v>-519.38978999999995</v>
      </c>
      <c r="E777">
        <f t="shared" si="70"/>
        <v>38</v>
      </c>
      <c r="F777" t="str">
        <f t="shared" si="71"/>
        <v/>
      </c>
    </row>
    <row r="778" spans="1:6" x14ac:dyDescent="0.2">
      <c r="A778" t="s">
        <v>678</v>
      </c>
      <c r="B778">
        <v>19175.697057000001</v>
      </c>
      <c r="C778">
        <v>-149.37260499999999</v>
      </c>
      <c r="D778">
        <v>-653.79965200000004</v>
      </c>
      <c r="E778">
        <f t="shared" si="70"/>
        <v>39</v>
      </c>
      <c r="F778" t="str">
        <f t="shared" si="71"/>
        <v/>
      </c>
    </row>
    <row r="779" spans="1:6" x14ac:dyDescent="0.2">
      <c r="A779" t="s">
        <v>679</v>
      </c>
      <c r="B779">
        <v>21355.856561000001</v>
      </c>
      <c r="C779">
        <v>-41.883781999999997</v>
      </c>
      <c r="D779">
        <v>-785.55998799999998</v>
      </c>
      <c r="E779">
        <f t="shared" si="70"/>
        <v>40</v>
      </c>
      <c r="F779" t="str">
        <f t="shared" si="71"/>
        <v/>
      </c>
    </row>
    <row r="780" spans="1:6" x14ac:dyDescent="0.2">
      <c r="A780" t="s">
        <v>680</v>
      </c>
      <c r="B780">
        <v>23533.417859000001</v>
      </c>
      <c r="C780">
        <v>57.279559999999996</v>
      </c>
      <c r="D780">
        <v>-915.60497599999997</v>
      </c>
      <c r="E780">
        <f t="shared" si="70"/>
        <v>41</v>
      </c>
      <c r="F780" t="str">
        <f t="shared" si="71"/>
        <v/>
      </c>
    </row>
    <row r="781" spans="1:6" x14ac:dyDescent="0.2">
      <c r="A781" t="s">
        <v>681</v>
      </c>
      <c r="B781">
        <v>25704.387740999999</v>
      </c>
      <c r="C781">
        <v>168.310654</v>
      </c>
      <c r="D781">
        <v>-1043.576474</v>
      </c>
      <c r="E781">
        <f t="shared" si="70"/>
        <v>42</v>
      </c>
      <c r="F781" t="str">
        <f t="shared" si="71"/>
        <v/>
      </c>
    </row>
    <row r="782" spans="1:6" x14ac:dyDescent="0.2">
      <c r="A782" t="s">
        <v>682</v>
      </c>
      <c r="B782">
        <v>27876.045288000001</v>
      </c>
      <c r="C782">
        <v>288.863449</v>
      </c>
      <c r="D782">
        <v>-1171.340087</v>
      </c>
      <c r="E782">
        <f t="shared" si="70"/>
        <v>43</v>
      </c>
      <c r="F782" t="str">
        <f t="shared" si="71"/>
        <v/>
      </c>
    </row>
    <row r="783" spans="1:6" x14ac:dyDescent="0.2">
      <c r="A783" t="s">
        <v>683</v>
      </c>
      <c r="B783">
        <v>30004.033744</v>
      </c>
      <c r="C783">
        <v>396.66434900000002</v>
      </c>
      <c r="D783">
        <v>-1250.551989</v>
      </c>
      <c r="E783">
        <f t="shared" si="70"/>
        <v>44</v>
      </c>
      <c r="F783" t="str">
        <f t="shared" si="71"/>
        <v/>
      </c>
    </row>
    <row r="784" spans="1:6" x14ac:dyDescent="0.2">
      <c r="A784" t="s">
        <v>684</v>
      </c>
      <c r="B784">
        <v>32106.548395999998</v>
      </c>
      <c r="C784">
        <v>508.240115</v>
      </c>
      <c r="D784">
        <v>-1303.929903</v>
      </c>
      <c r="E784">
        <f t="shared" si="70"/>
        <v>45</v>
      </c>
      <c r="F784" t="str">
        <f t="shared" si="71"/>
        <v/>
      </c>
    </row>
    <row r="785" spans="1:6" x14ac:dyDescent="0.2">
      <c r="A785" t="s">
        <v>685</v>
      </c>
      <c r="B785">
        <v>33158.757417000001</v>
      </c>
      <c r="C785">
        <v>204.88509400000001</v>
      </c>
      <c r="D785">
        <v>-1327.3541889999999</v>
      </c>
      <c r="E785">
        <f t="shared" si="70"/>
        <v>46</v>
      </c>
      <c r="F785" t="str">
        <f t="shared" si="71"/>
        <v/>
      </c>
    </row>
    <row r="786" spans="1:6" x14ac:dyDescent="0.2">
      <c r="A786" t="s">
        <v>686</v>
      </c>
      <c r="B786">
        <v>31028.762220000001</v>
      </c>
      <c r="C786">
        <v>101.62701</v>
      </c>
      <c r="D786">
        <v>-1273.181996</v>
      </c>
      <c r="E786">
        <f t="shared" si="70"/>
        <v>47</v>
      </c>
      <c r="F786" t="str">
        <f t="shared" si="71"/>
        <v/>
      </c>
    </row>
    <row r="787" spans="1:6" x14ac:dyDescent="0.2">
      <c r="A787" t="s">
        <v>687</v>
      </c>
      <c r="B787">
        <v>28900.18678</v>
      </c>
      <c r="C787">
        <v>12.820622</v>
      </c>
      <c r="D787">
        <v>-1220.1607899999999</v>
      </c>
      <c r="E787">
        <f t="shared" si="70"/>
        <v>48</v>
      </c>
      <c r="F787" t="str">
        <f t="shared" si="71"/>
        <v/>
      </c>
    </row>
    <row r="788" spans="1:6" x14ac:dyDescent="0.2">
      <c r="A788" t="s">
        <v>688</v>
      </c>
      <c r="B788">
        <v>26707.592891</v>
      </c>
      <c r="C788">
        <v>-86.388977999999994</v>
      </c>
      <c r="D788">
        <v>-1100.2285099999999</v>
      </c>
      <c r="E788">
        <f t="shared" si="70"/>
        <v>49</v>
      </c>
      <c r="F788" t="str">
        <f t="shared" si="71"/>
        <v/>
      </c>
    </row>
    <row r="789" spans="1:6" x14ac:dyDescent="0.2">
      <c r="A789" t="s">
        <v>689</v>
      </c>
      <c r="B789">
        <v>24507.159059000001</v>
      </c>
      <c r="C789">
        <v>-163.899573</v>
      </c>
      <c r="D789">
        <v>-970.65170499999999</v>
      </c>
      <c r="E789">
        <f t="shared" si="70"/>
        <v>50</v>
      </c>
      <c r="F789" t="str">
        <f t="shared" si="71"/>
        <v/>
      </c>
    </row>
    <row r="790" spans="1:6" x14ac:dyDescent="0.2">
      <c r="A790" t="s">
        <v>690</v>
      </c>
      <c r="B790">
        <v>22308.301625</v>
      </c>
      <c r="C790">
        <v>-244.821054</v>
      </c>
      <c r="D790">
        <v>-839.87644899999998</v>
      </c>
      <c r="E790">
        <f t="shared" si="70"/>
        <v>51</v>
      </c>
      <c r="F790" t="str">
        <f t="shared" si="71"/>
        <v/>
      </c>
    </row>
    <row r="791" spans="1:6" x14ac:dyDescent="0.2">
      <c r="A791" t="s">
        <v>691</v>
      </c>
      <c r="B791">
        <v>20096.261216999999</v>
      </c>
      <c r="C791">
        <v>-315.91289</v>
      </c>
      <c r="D791">
        <v>-706.95682799999997</v>
      </c>
      <c r="E791">
        <f t="shared" si="70"/>
        <v>52</v>
      </c>
      <c r="F791" t="str">
        <f t="shared" si="71"/>
        <v/>
      </c>
    </row>
    <row r="792" spans="1:6" x14ac:dyDescent="0.2">
      <c r="A792" t="s">
        <v>692</v>
      </c>
      <c r="B792">
        <v>17866.520025999998</v>
      </c>
      <c r="C792">
        <v>-369.38822699999997</v>
      </c>
      <c r="D792">
        <v>-570.47516399999995</v>
      </c>
      <c r="E792">
        <f t="shared" si="70"/>
        <v>53</v>
      </c>
      <c r="F792" t="str">
        <f t="shared" si="71"/>
        <v/>
      </c>
    </row>
    <row r="793" spans="1:6" x14ac:dyDescent="0.2">
      <c r="A793" t="s">
        <v>693</v>
      </c>
      <c r="B793">
        <v>15625.294077</v>
      </c>
      <c r="C793">
        <v>-417.87806</v>
      </c>
      <c r="D793">
        <v>-431.990611</v>
      </c>
      <c r="E793">
        <f t="shared" si="70"/>
        <v>54</v>
      </c>
      <c r="F793" t="str">
        <f t="shared" si="71"/>
        <v/>
      </c>
    </row>
    <row r="794" spans="1:6" x14ac:dyDescent="0.2">
      <c r="A794" t="s">
        <v>694</v>
      </c>
      <c r="B794">
        <v>13404.299660999999</v>
      </c>
      <c r="C794">
        <v>-475.81015300000001</v>
      </c>
      <c r="D794">
        <v>-294.48693900000001</v>
      </c>
      <c r="E794">
        <f t="shared" si="70"/>
        <v>55</v>
      </c>
      <c r="F794" t="str">
        <f t="shared" si="71"/>
        <v/>
      </c>
    </row>
    <row r="795" spans="1:6" x14ac:dyDescent="0.2">
      <c r="A795" t="s">
        <v>695</v>
      </c>
      <c r="B795">
        <v>11202.981591</v>
      </c>
      <c r="C795">
        <v>-531.21452999999997</v>
      </c>
      <c r="D795">
        <v>-158.58337499999999</v>
      </c>
      <c r="E795">
        <f t="shared" si="70"/>
        <v>56</v>
      </c>
      <c r="F795" t="str">
        <f t="shared" si="71"/>
        <v/>
      </c>
    </row>
    <row r="796" spans="1:6" x14ac:dyDescent="0.2">
      <c r="A796" t="s">
        <v>696</v>
      </c>
      <c r="B796">
        <v>9731.8510700000006</v>
      </c>
      <c r="C796">
        <v>-540.67702399999996</v>
      </c>
      <c r="D796">
        <v>-229.90201200000001</v>
      </c>
      <c r="E796">
        <f t="shared" si="70"/>
        <v>57</v>
      </c>
      <c r="F796" t="str">
        <f t="shared" si="71"/>
        <v/>
      </c>
    </row>
    <row r="797" spans="1:6" x14ac:dyDescent="0.2">
      <c r="A797" t="s">
        <v>697</v>
      </c>
      <c r="B797">
        <v>7317.662926</v>
      </c>
      <c r="C797">
        <v>-429.64088299999997</v>
      </c>
      <c r="D797">
        <v>-499.37528500000002</v>
      </c>
      <c r="E797">
        <f t="shared" si="70"/>
        <v>58</v>
      </c>
      <c r="F797" t="str">
        <f t="shared" si="71"/>
        <v/>
      </c>
    </row>
    <row r="798" spans="1:6" x14ac:dyDescent="0.2">
      <c r="A798" t="s">
        <v>698</v>
      </c>
      <c r="B798">
        <v>4859.7706930000004</v>
      </c>
      <c r="C798">
        <v>-251.967287</v>
      </c>
      <c r="D798">
        <v>-768.11534300000005</v>
      </c>
      <c r="E798">
        <f t="shared" si="70"/>
        <v>59</v>
      </c>
      <c r="F798" t="str">
        <f t="shared" si="71"/>
        <v/>
      </c>
    </row>
    <row r="799" spans="1:6" x14ac:dyDescent="0.2">
      <c r="A799" t="s">
        <v>699</v>
      </c>
      <c r="B799">
        <v>2334.9684390000002</v>
      </c>
      <c r="C799">
        <v>13.071182</v>
      </c>
      <c r="D799">
        <v>-1039.9623120000001</v>
      </c>
      <c r="E799">
        <f t="shared" si="70"/>
        <v>60</v>
      </c>
      <c r="F799" t="str">
        <f t="shared" si="71"/>
        <v/>
      </c>
    </row>
    <row r="800" spans="1:6" x14ac:dyDescent="0.2">
      <c r="A800" t="s">
        <v>920</v>
      </c>
      <c r="B800">
        <v>33284.481763999996</v>
      </c>
      <c r="C800">
        <v>231.84349800000001</v>
      </c>
      <c r="D800">
        <v>431.60690599999998</v>
      </c>
      <c r="E800">
        <f t="shared" si="70"/>
        <v>1</v>
      </c>
      <c r="F800" t="str">
        <f>IF(E800&lt;&gt;1+E544,"err","")</f>
        <v>err</v>
      </c>
    </row>
    <row r="801" spans="1:6" x14ac:dyDescent="0.2">
      <c r="A801" t="s">
        <v>921</v>
      </c>
      <c r="B801">
        <v>33284.465534000003</v>
      </c>
      <c r="C801">
        <v>227.89304799999999</v>
      </c>
      <c r="D801">
        <v>391.631822</v>
      </c>
      <c r="E801">
        <f t="shared" si="70"/>
        <v>2</v>
      </c>
      <c r="F801" t="str">
        <f t="shared" si="71"/>
        <v/>
      </c>
    </row>
    <row r="802" spans="1:6" x14ac:dyDescent="0.2">
      <c r="A802" t="s">
        <v>922</v>
      </c>
      <c r="B802">
        <v>33284.479750999999</v>
      </c>
      <c r="C802">
        <v>217.073576</v>
      </c>
      <c r="D802">
        <v>353.00176499999998</v>
      </c>
      <c r="E802">
        <f t="shared" si="70"/>
        <v>3</v>
      </c>
      <c r="F802" t="str">
        <f t="shared" si="71"/>
        <v/>
      </c>
    </row>
    <row r="803" spans="1:6" x14ac:dyDescent="0.2">
      <c r="A803" t="s">
        <v>923</v>
      </c>
      <c r="B803">
        <v>33284.482849</v>
      </c>
      <c r="C803">
        <v>199.67755500000001</v>
      </c>
      <c r="D803">
        <v>316.77662500000002</v>
      </c>
      <c r="E803">
        <f t="shared" si="70"/>
        <v>4</v>
      </c>
      <c r="F803" t="str">
        <f t="shared" si="71"/>
        <v/>
      </c>
    </row>
    <row r="804" spans="1:6" x14ac:dyDescent="0.2">
      <c r="A804" t="s">
        <v>924</v>
      </c>
      <c r="B804">
        <v>33284.456747999997</v>
      </c>
      <c r="C804">
        <v>176.27416299999999</v>
      </c>
      <c r="D804">
        <v>284.17142000000001</v>
      </c>
      <c r="E804">
        <f t="shared" si="70"/>
        <v>5</v>
      </c>
      <c r="F804" t="str">
        <f t="shared" si="71"/>
        <v/>
      </c>
    </row>
    <row r="805" spans="1:6" x14ac:dyDescent="0.2">
      <c r="A805" t="s">
        <v>925</v>
      </c>
      <c r="B805">
        <v>33284.477963999998</v>
      </c>
      <c r="C805">
        <v>147.579623</v>
      </c>
      <c r="D805">
        <v>256.10506299999997</v>
      </c>
      <c r="E805">
        <f t="shared" si="70"/>
        <v>6</v>
      </c>
      <c r="F805" t="str">
        <f t="shared" si="71"/>
        <v/>
      </c>
    </row>
    <row r="806" spans="1:6" x14ac:dyDescent="0.2">
      <c r="A806" t="s">
        <v>926</v>
      </c>
      <c r="B806">
        <v>33284.470977999998</v>
      </c>
      <c r="C806">
        <v>114.425152</v>
      </c>
      <c r="D806">
        <v>233.43106299999999</v>
      </c>
      <c r="E806">
        <f t="shared" si="70"/>
        <v>7</v>
      </c>
      <c r="F806" t="str">
        <f t="shared" si="71"/>
        <v/>
      </c>
    </row>
    <row r="807" spans="1:6" x14ac:dyDescent="0.2">
      <c r="A807" t="s">
        <v>1152</v>
      </c>
    </row>
    <row r="808" spans="1:6" x14ac:dyDescent="0.2">
      <c r="A808" t="s">
        <v>927</v>
      </c>
      <c r="B808">
        <v>33284.471555999997</v>
      </c>
      <c r="C808">
        <v>38.992991000000004</v>
      </c>
      <c r="D808">
        <v>206.870069</v>
      </c>
      <c r="E808">
        <f t="shared" ref="E808:E824" si="72">RIGHT(A808,LEN(A808)-FIND("_",A808,FIND("_",A808)+1))*1</f>
        <v>9</v>
      </c>
      <c r="F808" t="str">
        <f>IF(E808&lt;&gt;1+E806,"err","")</f>
        <v>err</v>
      </c>
    </row>
    <row r="809" spans="1:6" x14ac:dyDescent="0.2">
      <c r="A809" t="s">
        <v>928</v>
      </c>
      <c r="B809">
        <v>33284.469319000003</v>
      </c>
      <c r="C809">
        <v>-1.0157290000000001</v>
      </c>
      <c r="D809">
        <v>203.76754700000001</v>
      </c>
      <c r="E809">
        <f t="shared" si="72"/>
        <v>10</v>
      </c>
      <c r="F809" t="str">
        <f t="shared" ref="F809:F824" si="73">IF(E809&lt;&gt;1+E808,"err","")</f>
        <v/>
      </c>
    </row>
    <row r="810" spans="1:6" x14ac:dyDescent="0.2">
      <c r="A810" t="s">
        <v>929</v>
      </c>
      <c r="B810">
        <v>33284.463239999997</v>
      </c>
      <c r="C810">
        <v>-41.022300000000001</v>
      </c>
      <c r="D810">
        <v>207.658781</v>
      </c>
      <c r="E810">
        <f t="shared" si="72"/>
        <v>11</v>
      </c>
      <c r="F810" t="str">
        <f t="shared" si="73"/>
        <v/>
      </c>
    </row>
    <row r="811" spans="1:6" x14ac:dyDescent="0.2">
      <c r="A811" t="s">
        <v>930</v>
      </c>
      <c r="B811">
        <v>33232.907456000001</v>
      </c>
      <c r="C811">
        <v>165.97287600000001</v>
      </c>
      <c r="D811">
        <v>431.87737399999997</v>
      </c>
      <c r="E811">
        <f t="shared" si="72"/>
        <v>12</v>
      </c>
      <c r="F811" t="str">
        <f t="shared" si="73"/>
        <v/>
      </c>
    </row>
    <row r="812" spans="1:6" x14ac:dyDescent="0.2">
      <c r="A812" t="s">
        <v>931</v>
      </c>
      <c r="B812">
        <v>33250.681358000002</v>
      </c>
      <c r="C812">
        <v>184.96432100000001</v>
      </c>
      <c r="D812">
        <v>431.77823000000001</v>
      </c>
      <c r="E812">
        <f t="shared" si="72"/>
        <v>13</v>
      </c>
      <c r="F812" t="str">
        <f t="shared" si="73"/>
        <v/>
      </c>
    </row>
    <row r="813" spans="1:6" x14ac:dyDescent="0.2">
      <c r="A813" t="s">
        <v>932</v>
      </c>
      <c r="B813">
        <v>33268.618758999997</v>
      </c>
      <c r="C813">
        <v>207.655711</v>
      </c>
      <c r="D813">
        <v>431.68391300000002</v>
      </c>
      <c r="E813">
        <f t="shared" si="72"/>
        <v>14</v>
      </c>
      <c r="F813" t="str">
        <f t="shared" si="73"/>
        <v/>
      </c>
    </row>
    <row r="814" spans="1:6" x14ac:dyDescent="0.2">
      <c r="A814" t="s">
        <v>933</v>
      </c>
      <c r="B814">
        <v>33284.475691</v>
      </c>
      <c r="C814">
        <v>231.83102500000001</v>
      </c>
      <c r="D814">
        <v>431.60886399999998</v>
      </c>
      <c r="E814">
        <f t="shared" si="72"/>
        <v>15</v>
      </c>
      <c r="F814" t="str">
        <f t="shared" si="73"/>
        <v/>
      </c>
    </row>
    <row r="815" spans="1:6" x14ac:dyDescent="0.2">
      <c r="A815" t="s">
        <v>934</v>
      </c>
      <c r="B815">
        <v>33298.145174999998</v>
      </c>
      <c r="C815">
        <v>257.31498199999999</v>
      </c>
      <c r="D815">
        <v>431.53057999999999</v>
      </c>
      <c r="E815">
        <f t="shared" si="72"/>
        <v>16</v>
      </c>
      <c r="F815" t="str">
        <f t="shared" si="73"/>
        <v/>
      </c>
    </row>
    <row r="816" spans="1:6" x14ac:dyDescent="0.2">
      <c r="A816" t="s">
        <v>935</v>
      </c>
      <c r="B816">
        <v>33309.588987000003</v>
      </c>
      <c r="C816">
        <v>283.85492900000003</v>
      </c>
      <c r="D816">
        <v>431.45327300000002</v>
      </c>
      <c r="E816">
        <f t="shared" si="72"/>
        <v>17</v>
      </c>
      <c r="F816" t="str">
        <f t="shared" si="73"/>
        <v/>
      </c>
    </row>
    <row r="817" spans="1:6" x14ac:dyDescent="0.2">
      <c r="A817" t="s">
        <v>936</v>
      </c>
      <c r="B817">
        <v>33317.849846999998</v>
      </c>
      <c r="C817">
        <v>308.52543800000001</v>
      </c>
      <c r="D817">
        <v>431.40105799999998</v>
      </c>
      <c r="E817">
        <f t="shared" si="72"/>
        <v>18</v>
      </c>
      <c r="F817" t="str">
        <f t="shared" si="73"/>
        <v/>
      </c>
    </row>
    <row r="818" spans="1:6" x14ac:dyDescent="0.2">
      <c r="A818" t="s">
        <v>937</v>
      </c>
      <c r="B818">
        <v>33232.880968999998</v>
      </c>
      <c r="C818">
        <v>125.982658</v>
      </c>
      <c r="D818">
        <v>326.676041</v>
      </c>
      <c r="E818">
        <f t="shared" si="72"/>
        <v>19</v>
      </c>
      <c r="F818" t="str">
        <f t="shared" si="73"/>
        <v/>
      </c>
    </row>
    <row r="819" spans="1:6" x14ac:dyDescent="0.2">
      <c r="A819" t="s">
        <v>938</v>
      </c>
      <c r="B819">
        <v>33250.658928999997</v>
      </c>
      <c r="C819">
        <v>140.47674000000001</v>
      </c>
      <c r="D819">
        <v>314.39653299999998</v>
      </c>
      <c r="E819">
        <f t="shared" si="72"/>
        <v>20</v>
      </c>
      <c r="F819" t="str">
        <f t="shared" si="73"/>
        <v/>
      </c>
    </row>
    <row r="820" spans="1:6" x14ac:dyDescent="0.2">
      <c r="A820" t="s">
        <v>939</v>
      </c>
      <c r="B820">
        <v>33268.600362999998</v>
      </c>
      <c r="C820">
        <v>157.78362200000001</v>
      </c>
      <c r="D820">
        <v>299.74324000000001</v>
      </c>
      <c r="E820">
        <f t="shared" si="72"/>
        <v>21</v>
      </c>
      <c r="F820" t="str">
        <f t="shared" si="73"/>
        <v/>
      </c>
    </row>
    <row r="821" spans="1:6" x14ac:dyDescent="0.2">
      <c r="A821" t="s">
        <v>940</v>
      </c>
      <c r="B821">
        <v>33284.472587999997</v>
      </c>
      <c r="C821">
        <v>176.24640199999999</v>
      </c>
      <c r="D821">
        <v>284.13828899999999</v>
      </c>
      <c r="E821">
        <f t="shared" si="72"/>
        <v>22</v>
      </c>
      <c r="F821" t="str">
        <f t="shared" si="73"/>
        <v/>
      </c>
    </row>
    <row r="822" spans="1:6" x14ac:dyDescent="0.2">
      <c r="A822" t="s">
        <v>941</v>
      </c>
      <c r="B822">
        <v>33298.147400000002</v>
      </c>
      <c r="C822">
        <v>195.71369000000001</v>
      </c>
      <c r="D822">
        <v>267.72124000000002</v>
      </c>
      <c r="E822">
        <f t="shared" si="72"/>
        <v>23</v>
      </c>
      <c r="F822" t="str">
        <f t="shared" si="73"/>
        <v/>
      </c>
    </row>
    <row r="823" spans="1:6" x14ac:dyDescent="0.2">
      <c r="A823" t="s">
        <v>942</v>
      </c>
      <c r="B823">
        <v>33309.620776000003</v>
      </c>
      <c r="C823">
        <v>216.00472099999999</v>
      </c>
      <c r="D823">
        <v>250.589789</v>
      </c>
      <c r="E823">
        <f t="shared" si="72"/>
        <v>24</v>
      </c>
      <c r="F823" t="str">
        <f t="shared" si="73"/>
        <v/>
      </c>
    </row>
    <row r="824" spans="1:6" x14ac:dyDescent="0.2">
      <c r="A824" t="s">
        <v>943</v>
      </c>
      <c r="B824">
        <v>33317.902523999997</v>
      </c>
      <c r="C824">
        <v>234.85348099999999</v>
      </c>
      <c r="D824">
        <v>234.668474</v>
      </c>
      <c r="E824">
        <f t="shared" si="72"/>
        <v>25</v>
      </c>
      <c r="F824" t="str">
        <f t="shared" si="73"/>
        <v/>
      </c>
    </row>
    <row r="825" spans="1:6" x14ac:dyDescent="0.2">
      <c r="A825" t="s">
        <v>1080</v>
      </c>
      <c r="B825">
        <v>33232.863222</v>
      </c>
      <c r="C825">
        <v>-0.70158799999999999</v>
      </c>
      <c r="D825">
        <v>269.607505</v>
      </c>
    </row>
    <row r="826" spans="1:6" x14ac:dyDescent="0.2">
      <c r="A826" t="s">
        <v>944</v>
      </c>
      <c r="B826">
        <v>33250.641572</v>
      </c>
      <c r="C826">
        <v>-0.80221100000000001</v>
      </c>
      <c r="D826">
        <v>250.609531</v>
      </c>
      <c r="E826">
        <f t="shared" ref="E826:E844" si="74">RIGHT(A826,LEN(A826)-FIND("_",A826,FIND("_",A826)+1))*1</f>
        <v>27</v>
      </c>
      <c r="F826" t="str">
        <f>IF(E826&lt;&gt;1+E824,"err","")</f>
        <v>err</v>
      </c>
    </row>
    <row r="827" spans="1:6" x14ac:dyDescent="0.2">
      <c r="A827" t="s">
        <v>945</v>
      </c>
      <c r="B827">
        <v>33268.591092000002</v>
      </c>
      <c r="C827">
        <v>-0.91254900000000005</v>
      </c>
      <c r="D827">
        <v>227.93202400000001</v>
      </c>
      <c r="E827">
        <f t="shared" si="74"/>
        <v>28</v>
      </c>
      <c r="F827" t="str">
        <f t="shared" ref="F827:F844" si="75">IF(E827&lt;&gt;1+E826,"err","")</f>
        <v/>
      </c>
    </row>
    <row r="828" spans="1:6" x14ac:dyDescent="0.2">
      <c r="A828" t="s">
        <v>946</v>
      </c>
      <c r="B828">
        <v>33284.464480000002</v>
      </c>
      <c r="C828">
        <v>-1.020356</v>
      </c>
      <c r="D828">
        <v>203.76301900000001</v>
      </c>
      <c r="E828">
        <f t="shared" si="74"/>
        <v>29</v>
      </c>
      <c r="F828" t="str">
        <f t="shared" si="75"/>
        <v/>
      </c>
    </row>
    <row r="829" spans="1:6" x14ac:dyDescent="0.2">
      <c r="A829" t="s">
        <v>947</v>
      </c>
      <c r="B829">
        <v>33298.155587000001</v>
      </c>
      <c r="C829">
        <v>-1.1314930000000001</v>
      </c>
      <c r="D829">
        <v>178.28752399999999</v>
      </c>
      <c r="E829">
        <f t="shared" si="74"/>
        <v>30</v>
      </c>
      <c r="F829" t="str">
        <f t="shared" si="75"/>
        <v/>
      </c>
    </row>
    <row r="830" spans="1:6" x14ac:dyDescent="0.2">
      <c r="A830" t="s">
        <v>948</v>
      </c>
      <c r="B830">
        <v>33309.623569000003</v>
      </c>
      <c r="C830">
        <v>-1.2492650000000001</v>
      </c>
      <c r="D830">
        <v>151.74532199999999</v>
      </c>
      <c r="E830">
        <f t="shared" si="74"/>
        <v>31</v>
      </c>
      <c r="F830" t="str">
        <f t="shared" si="75"/>
        <v/>
      </c>
    </row>
    <row r="831" spans="1:6" x14ac:dyDescent="0.2">
      <c r="A831" t="s">
        <v>949</v>
      </c>
      <c r="B831">
        <v>33317.903853000003</v>
      </c>
      <c r="C831">
        <v>-1.354803</v>
      </c>
      <c r="D831">
        <v>127.0705</v>
      </c>
      <c r="E831">
        <f t="shared" si="74"/>
        <v>32</v>
      </c>
      <c r="F831" t="str">
        <f t="shared" si="75"/>
        <v/>
      </c>
    </row>
    <row r="832" spans="1:6" x14ac:dyDescent="0.2">
      <c r="A832" t="s">
        <v>950</v>
      </c>
      <c r="B832">
        <v>33284.466326000002</v>
      </c>
      <c r="C832">
        <v>-1.0172140000000001</v>
      </c>
      <c r="D832">
        <v>203.761593</v>
      </c>
      <c r="E832">
        <f t="shared" si="74"/>
        <v>33</v>
      </c>
      <c r="F832" t="str">
        <f t="shared" si="75"/>
        <v/>
      </c>
    </row>
    <row r="833" spans="1:6" x14ac:dyDescent="0.2">
      <c r="A833" t="s">
        <v>951</v>
      </c>
      <c r="B833">
        <v>33201.975705999997</v>
      </c>
      <c r="C833">
        <v>200.744878</v>
      </c>
      <c r="D833">
        <v>202.870892</v>
      </c>
      <c r="E833">
        <f t="shared" si="74"/>
        <v>34</v>
      </c>
      <c r="F833" t="str">
        <f t="shared" si="75"/>
        <v/>
      </c>
    </row>
    <row r="834" spans="1:6" x14ac:dyDescent="0.2">
      <c r="A834" t="s">
        <v>952</v>
      </c>
      <c r="B834">
        <v>33000.980957</v>
      </c>
      <c r="C834">
        <v>285.092015</v>
      </c>
      <c r="D834">
        <v>202.417744</v>
      </c>
      <c r="E834">
        <f t="shared" si="74"/>
        <v>35</v>
      </c>
      <c r="F834" t="str">
        <f t="shared" si="75"/>
        <v/>
      </c>
    </row>
    <row r="835" spans="1:6" x14ac:dyDescent="0.2">
      <c r="A835" t="s">
        <v>953</v>
      </c>
      <c r="B835">
        <v>32799.20667</v>
      </c>
      <c r="C835">
        <v>202.61469199999999</v>
      </c>
      <c r="D835">
        <v>202.6806</v>
      </c>
      <c r="E835">
        <f t="shared" si="74"/>
        <v>36</v>
      </c>
      <c r="F835" t="str">
        <f t="shared" si="75"/>
        <v/>
      </c>
    </row>
    <row r="836" spans="1:6" x14ac:dyDescent="0.2">
      <c r="A836" t="s">
        <v>954</v>
      </c>
      <c r="B836">
        <v>32714.853953000002</v>
      </c>
      <c r="C836">
        <v>1.6291199999999999</v>
      </c>
      <c r="D836">
        <v>203.48596900000001</v>
      </c>
      <c r="E836">
        <f t="shared" si="74"/>
        <v>37</v>
      </c>
      <c r="F836" t="str">
        <f t="shared" si="75"/>
        <v/>
      </c>
    </row>
    <row r="837" spans="1:6" x14ac:dyDescent="0.2">
      <c r="A837" t="s">
        <v>955</v>
      </c>
      <c r="B837">
        <v>32797.345039</v>
      </c>
      <c r="C837">
        <v>-200.12849299999999</v>
      </c>
      <c r="D837">
        <v>204.36827700000001</v>
      </c>
      <c r="E837">
        <f t="shared" si="74"/>
        <v>38</v>
      </c>
      <c r="F837" t="str">
        <f t="shared" si="75"/>
        <v/>
      </c>
    </row>
    <row r="838" spans="1:6" x14ac:dyDescent="0.2">
      <c r="A838" t="s">
        <v>956</v>
      </c>
      <c r="B838">
        <v>32998.340894000001</v>
      </c>
      <c r="C838">
        <v>-284.49369300000001</v>
      </c>
      <c r="D838">
        <v>204.823365</v>
      </c>
      <c r="E838">
        <f t="shared" si="74"/>
        <v>39</v>
      </c>
      <c r="F838" t="str">
        <f t="shared" si="75"/>
        <v/>
      </c>
    </row>
    <row r="839" spans="1:6" x14ac:dyDescent="0.2">
      <c r="A839" t="s">
        <v>957</v>
      </c>
      <c r="B839">
        <v>33200.106010000003</v>
      </c>
      <c r="C839">
        <v>-202.01878099999999</v>
      </c>
      <c r="D839">
        <v>204.563289</v>
      </c>
      <c r="E839">
        <f t="shared" si="74"/>
        <v>40</v>
      </c>
      <c r="F839" t="str">
        <f t="shared" si="75"/>
        <v/>
      </c>
    </row>
    <row r="840" spans="1:6" x14ac:dyDescent="0.2">
      <c r="A840" t="s">
        <v>958</v>
      </c>
      <c r="B840">
        <v>33284.461658</v>
      </c>
      <c r="C840">
        <v>231.83632800000001</v>
      </c>
      <c r="D840">
        <v>431.60334899999998</v>
      </c>
      <c r="E840">
        <f t="shared" si="74"/>
        <v>41</v>
      </c>
      <c r="F840" t="str">
        <f t="shared" si="75"/>
        <v/>
      </c>
    </row>
    <row r="841" spans="1:6" x14ac:dyDescent="0.2">
      <c r="A841" t="s">
        <v>959</v>
      </c>
      <c r="B841">
        <v>33042.201108000001</v>
      </c>
      <c r="C841">
        <v>224.90593100000001</v>
      </c>
      <c r="D841">
        <v>273.884997</v>
      </c>
      <c r="E841">
        <f t="shared" si="74"/>
        <v>42</v>
      </c>
      <c r="F841" t="str">
        <f t="shared" si="75"/>
        <v/>
      </c>
    </row>
    <row r="842" spans="1:6" x14ac:dyDescent="0.2">
      <c r="A842" t="s">
        <v>960</v>
      </c>
      <c r="B842">
        <v>33000.898501999996</v>
      </c>
      <c r="C842">
        <v>232.98590100000001</v>
      </c>
      <c r="D842">
        <v>717.65866300000005</v>
      </c>
      <c r="E842">
        <f t="shared" si="74"/>
        <v>43</v>
      </c>
      <c r="F842" t="str">
        <f t="shared" si="75"/>
        <v/>
      </c>
    </row>
    <row r="843" spans="1:6" x14ac:dyDescent="0.2">
      <c r="A843" t="s">
        <v>961</v>
      </c>
      <c r="B843">
        <v>32799.153697000002</v>
      </c>
      <c r="C843">
        <v>232.76798099999999</v>
      </c>
      <c r="D843">
        <v>635.10804800000005</v>
      </c>
      <c r="E843">
        <f t="shared" si="74"/>
        <v>44</v>
      </c>
      <c r="F843" t="str">
        <f t="shared" si="75"/>
        <v/>
      </c>
    </row>
    <row r="844" spans="1:6" x14ac:dyDescent="0.2">
      <c r="A844" t="s">
        <v>962</v>
      </c>
      <c r="B844">
        <v>32714.868245000001</v>
      </c>
      <c r="C844">
        <v>232.074512</v>
      </c>
      <c r="D844">
        <v>434.09372100000002</v>
      </c>
      <c r="E844">
        <f t="shared" si="74"/>
        <v>45</v>
      </c>
      <c r="F844" t="str">
        <f t="shared" si="75"/>
        <v/>
      </c>
    </row>
    <row r="845" spans="1:6" x14ac:dyDescent="0.2">
      <c r="A845" t="s">
        <v>1153</v>
      </c>
    </row>
    <row r="846" spans="1:6" x14ac:dyDescent="0.2">
      <c r="A846" t="s">
        <v>963</v>
      </c>
      <c r="B846">
        <v>32998.427191000002</v>
      </c>
      <c r="C846">
        <v>230.947912</v>
      </c>
      <c r="D846">
        <v>148.05802600000001</v>
      </c>
      <c r="E846">
        <f t="shared" ref="E846:E884" si="76">RIGHT(A846,LEN(A846)-FIND("_",A846,FIND("_",A846)+1))*1</f>
        <v>47</v>
      </c>
      <c r="F846" t="str">
        <f>IF(E846&lt;&gt;1+E844,"err","")</f>
        <v>err</v>
      </c>
    </row>
    <row r="847" spans="1:6" x14ac:dyDescent="0.2">
      <c r="A847" t="s">
        <v>964</v>
      </c>
      <c r="B847">
        <v>33200.169851999999</v>
      </c>
      <c r="C847">
        <v>231.15361899999999</v>
      </c>
      <c r="D847">
        <v>230.589822</v>
      </c>
      <c r="E847">
        <f t="shared" si="76"/>
        <v>48</v>
      </c>
      <c r="F847" t="str">
        <f t="shared" ref="F847:F884" si="77">IF(E847&lt;&gt;1+E846,"err","")</f>
        <v/>
      </c>
    </row>
    <row r="848" spans="1:6" x14ac:dyDescent="0.2">
      <c r="A848" t="s">
        <v>965</v>
      </c>
      <c r="B848">
        <v>32857.861678000001</v>
      </c>
      <c r="C848">
        <v>232.90517800000001</v>
      </c>
      <c r="D848">
        <v>680.38872500000002</v>
      </c>
      <c r="E848">
        <f t="shared" si="76"/>
        <v>1</v>
      </c>
      <c r="F848" t="str">
        <f t="shared" si="77"/>
        <v>err</v>
      </c>
    </row>
    <row r="849" spans="1:6" x14ac:dyDescent="0.2">
      <c r="A849" t="s">
        <v>966</v>
      </c>
      <c r="B849">
        <v>32857.859558999997</v>
      </c>
      <c r="C849">
        <v>272.14816500000001</v>
      </c>
      <c r="D849">
        <v>636.44937700000003</v>
      </c>
      <c r="E849">
        <f t="shared" si="76"/>
        <v>2</v>
      </c>
      <c r="F849" t="str">
        <f t="shared" si="77"/>
        <v/>
      </c>
    </row>
    <row r="850" spans="1:6" x14ac:dyDescent="0.2">
      <c r="A850" t="s">
        <v>967</v>
      </c>
      <c r="B850">
        <v>32857.865373000001</v>
      </c>
      <c r="C850">
        <v>303.153255</v>
      </c>
      <c r="D850">
        <v>586.40464199999997</v>
      </c>
      <c r="E850">
        <f t="shared" si="76"/>
        <v>3</v>
      </c>
      <c r="F850" t="str">
        <f t="shared" si="77"/>
        <v/>
      </c>
    </row>
    <row r="851" spans="1:6" x14ac:dyDescent="0.2">
      <c r="A851" t="s">
        <v>968</v>
      </c>
      <c r="B851">
        <v>32857.881815000001</v>
      </c>
      <c r="C851">
        <v>325.01727699999998</v>
      </c>
      <c r="D851">
        <v>531.686239</v>
      </c>
      <c r="E851">
        <f t="shared" si="76"/>
        <v>4</v>
      </c>
      <c r="F851" t="str">
        <f t="shared" si="77"/>
        <v/>
      </c>
    </row>
    <row r="852" spans="1:6" x14ac:dyDescent="0.2">
      <c r="A852" t="s">
        <v>969</v>
      </c>
      <c r="B852">
        <v>32857.887361000001</v>
      </c>
      <c r="C852">
        <v>337.068915</v>
      </c>
      <c r="D852">
        <v>474.03134</v>
      </c>
      <c r="E852">
        <f t="shared" si="76"/>
        <v>5</v>
      </c>
      <c r="F852" t="str">
        <f t="shared" si="77"/>
        <v/>
      </c>
    </row>
    <row r="853" spans="1:6" x14ac:dyDescent="0.2">
      <c r="A853" t="s">
        <v>970</v>
      </c>
      <c r="B853">
        <v>32857.909767999998</v>
      </c>
      <c r="C853">
        <v>338.91587700000002</v>
      </c>
      <c r="D853">
        <v>415.15484500000002</v>
      </c>
      <c r="E853">
        <f t="shared" si="76"/>
        <v>6</v>
      </c>
      <c r="F853" t="str">
        <f t="shared" si="77"/>
        <v/>
      </c>
    </row>
    <row r="854" spans="1:6" x14ac:dyDescent="0.2">
      <c r="A854" t="s">
        <v>971</v>
      </c>
      <c r="B854">
        <v>32857.898293999999</v>
      </c>
      <c r="C854">
        <v>330.50743899999998</v>
      </c>
      <c r="D854">
        <v>356.83212099999997</v>
      </c>
      <c r="E854">
        <f t="shared" si="76"/>
        <v>7</v>
      </c>
      <c r="F854" t="str">
        <f t="shared" si="77"/>
        <v/>
      </c>
    </row>
    <row r="855" spans="1:6" x14ac:dyDescent="0.2">
      <c r="A855" t="s">
        <v>972</v>
      </c>
      <c r="B855">
        <v>32857.906714999997</v>
      </c>
      <c r="C855">
        <v>312.136729</v>
      </c>
      <c r="D855">
        <v>300.85368699999998</v>
      </c>
      <c r="E855">
        <f t="shared" si="76"/>
        <v>8</v>
      </c>
      <c r="F855" t="str">
        <f t="shared" si="77"/>
        <v/>
      </c>
    </row>
    <row r="856" spans="1:6" x14ac:dyDescent="0.2">
      <c r="A856" t="s">
        <v>973</v>
      </c>
      <c r="B856">
        <v>32857.913697999997</v>
      </c>
      <c r="C856">
        <v>284.28418799999997</v>
      </c>
      <c r="D856">
        <v>248.85489000000001</v>
      </c>
      <c r="E856">
        <f t="shared" si="76"/>
        <v>9</v>
      </c>
      <c r="F856" t="str">
        <f t="shared" si="77"/>
        <v/>
      </c>
    </row>
    <row r="857" spans="1:6" x14ac:dyDescent="0.2">
      <c r="A857" t="s">
        <v>974</v>
      </c>
      <c r="B857">
        <v>32857.922799</v>
      </c>
      <c r="C857">
        <v>247.868751</v>
      </c>
      <c r="D857">
        <v>202.514309</v>
      </c>
      <c r="E857">
        <f t="shared" si="76"/>
        <v>10</v>
      </c>
      <c r="F857" t="str">
        <f t="shared" si="77"/>
        <v/>
      </c>
    </row>
    <row r="858" spans="1:6" x14ac:dyDescent="0.2">
      <c r="A858" t="s">
        <v>975</v>
      </c>
      <c r="B858">
        <v>32857.920189999997</v>
      </c>
      <c r="C858">
        <v>203.85437200000001</v>
      </c>
      <c r="D858">
        <v>163.11952299999999</v>
      </c>
      <c r="E858">
        <f t="shared" si="76"/>
        <v>11</v>
      </c>
      <c r="F858" t="str">
        <f t="shared" si="77"/>
        <v/>
      </c>
    </row>
    <row r="859" spans="1:6" x14ac:dyDescent="0.2">
      <c r="A859" t="s">
        <v>976</v>
      </c>
      <c r="B859">
        <v>32820.01021</v>
      </c>
      <c r="C859">
        <v>273.76465000000002</v>
      </c>
      <c r="D859">
        <v>680.38226599999996</v>
      </c>
      <c r="E859">
        <f t="shared" si="76"/>
        <v>12</v>
      </c>
      <c r="F859" t="str">
        <f t="shared" si="77"/>
        <v/>
      </c>
    </row>
    <row r="860" spans="1:6" x14ac:dyDescent="0.2">
      <c r="A860" t="s">
        <v>977</v>
      </c>
      <c r="B860">
        <v>32830.645688999997</v>
      </c>
      <c r="C860">
        <v>260.08240499999999</v>
      </c>
      <c r="D860">
        <v>680.37173700000005</v>
      </c>
      <c r="E860">
        <f t="shared" si="76"/>
        <v>13</v>
      </c>
      <c r="F860" t="str">
        <f t="shared" si="77"/>
        <v/>
      </c>
    </row>
    <row r="861" spans="1:6" x14ac:dyDescent="0.2">
      <c r="A861" t="s">
        <v>978</v>
      </c>
      <c r="B861">
        <v>32843.671891999998</v>
      </c>
      <c r="C861">
        <v>245.91914800000001</v>
      </c>
      <c r="D861">
        <v>680.36731499999996</v>
      </c>
      <c r="E861">
        <f t="shared" si="76"/>
        <v>14</v>
      </c>
      <c r="F861" t="str">
        <f t="shared" si="77"/>
        <v/>
      </c>
    </row>
    <row r="862" spans="1:6" x14ac:dyDescent="0.2">
      <c r="A862" t="s">
        <v>979</v>
      </c>
      <c r="B862">
        <v>32857.855925999997</v>
      </c>
      <c r="C862">
        <v>232.909198</v>
      </c>
      <c r="D862">
        <v>680.38437699999997</v>
      </c>
      <c r="E862">
        <f t="shared" si="76"/>
        <v>15</v>
      </c>
      <c r="F862" t="str">
        <f t="shared" si="77"/>
        <v/>
      </c>
    </row>
    <row r="863" spans="1:6" x14ac:dyDescent="0.2">
      <c r="A863" t="s">
        <v>980</v>
      </c>
      <c r="B863">
        <v>32873.108192</v>
      </c>
      <c r="C863">
        <v>221.21104800000001</v>
      </c>
      <c r="D863">
        <v>680.40338899999995</v>
      </c>
      <c r="E863">
        <f t="shared" si="76"/>
        <v>16</v>
      </c>
      <c r="F863" t="str">
        <f t="shared" si="77"/>
        <v/>
      </c>
    </row>
    <row r="864" spans="1:6" x14ac:dyDescent="0.2">
      <c r="A864" t="s">
        <v>981</v>
      </c>
      <c r="B864">
        <v>32889.366430000002</v>
      </c>
      <c r="C864">
        <v>210.876192</v>
      </c>
      <c r="D864">
        <v>680.42585099999997</v>
      </c>
      <c r="E864">
        <f t="shared" si="76"/>
        <v>17</v>
      </c>
      <c r="F864" t="str">
        <f t="shared" si="77"/>
        <v/>
      </c>
    </row>
    <row r="865" spans="1:6" x14ac:dyDescent="0.2">
      <c r="A865" t="s">
        <v>982</v>
      </c>
      <c r="B865">
        <v>32904.695685999999</v>
      </c>
      <c r="C865">
        <v>202.79709700000001</v>
      </c>
      <c r="D865">
        <v>680.44952499999999</v>
      </c>
      <c r="E865">
        <f t="shared" si="76"/>
        <v>18</v>
      </c>
      <c r="F865" t="str">
        <f t="shared" si="77"/>
        <v/>
      </c>
    </row>
    <row r="866" spans="1:6" x14ac:dyDescent="0.2">
      <c r="A866" t="s">
        <v>983</v>
      </c>
      <c r="B866">
        <v>32819.97537</v>
      </c>
      <c r="C866">
        <v>368.35101400000002</v>
      </c>
      <c r="D866">
        <v>447.72818699999999</v>
      </c>
      <c r="E866">
        <f t="shared" si="76"/>
        <v>19</v>
      </c>
      <c r="F866" t="str">
        <f t="shared" si="77"/>
        <v/>
      </c>
    </row>
    <row r="867" spans="1:6" x14ac:dyDescent="0.2">
      <c r="A867" t="s">
        <v>984</v>
      </c>
      <c r="B867">
        <v>32830.631263000003</v>
      </c>
      <c r="C867">
        <v>357.86743000000001</v>
      </c>
      <c r="D867">
        <v>456.53621800000002</v>
      </c>
      <c r="E867">
        <f t="shared" si="76"/>
        <v>20</v>
      </c>
      <c r="F867" t="str">
        <f t="shared" si="77"/>
        <v/>
      </c>
    </row>
    <row r="868" spans="1:6" x14ac:dyDescent="0.2">
      <c r="A868" t="s">
        <v>985</v>
      </c>
      <c r="B868">
        <v>32843.685632000001</v>
      </c>
      <c r="C868">
        <v>347.01078100000001</v>
      </c>
      <c r="D868">
        <v>465.64942600000001</v>
      </c>
      <c r="E868">
        <f t="shared" si="76"/>
        <v>21</v>
      </c>
      <c r="F868" t="str">
        <f t="shared" si="77"/>
        <v/>
      </c>
    </row>
    <row r="869" spans="1:6" x14ac:dyDescent="0.2">
      <c r="A869" t="s">
        <v>986</v>
      </c>
      <c r="B869">
        <v>32857.886756</v>
      </c>
      <c r="C869">
        <v>337.061215</v>
      </c>
      <c r="D869">
        <v>474.039625</v>
      </c>
      <c r="E869">
        <f t="shared" si="76"/>
        <v>22</v>
      </c>
      <c r="F869" t="str">
        <f t="shared" si="77"/>
        <v/>
      </c>
    </row>
    <row r="870" spans="1:6" x14ac:dyDescent="0.2">
      <c r="A870" t="s">
        <v>987</v>
      </c>
      <c r="B870">
        <v>32873.170385999998</v>
      </c>
      <c r="C870">
        <v>328.12179600000002</v>
      </c>
      <c r="D870">
        <v>481.56173100000001</v>
      </c>
      <c r="E870">
        <f t="shared" si="76"/>
        <v>23</v>
      </c>
      <c r="F870" t="str">
        <f t="shared" si="77"/>
        <v/>
      </c>
    </row>
    <row r="871" spans="1:6" x14ac:dyDescent="0.2">
      <c r="A871" t="s">
        <v>988</v>
      </c>
      <c r="B871">
        <v>32889.443550000004</v>
      </c>
      <c r="C871">
        <v>320.210846</v>
      </c>
      <c r="D871">
        <v>488.22515800000002</v>
      </c>
      <c r="E871">
        <f t="shared" si="76"/>
        <v>24</v>
      </c>
      <c r="F871" t="str">
        <f t="shared" si="77"/>
        <v/>
      </c>
    </row>
    <row r="872" spans="1:6" x14ac:dyDescent="0.2">
      <c r="A872" t="s">
        <v>989</v>
      </c>
      <c r="B872">
        <v>32904.783131999997</v>
      </c>
      <c r="C872">
        <v>314.04817000000003</v>
      </c>
      <c r="D872">
        <v>493.44094699999999</v>
      </c>
      <c r="E872">
        <f t="shared" si="76"/>
        <v>25</v>
      </c>
      <c r="F872" t="str">
        <f t="shared" si="77"/>
        <v/>
      </c>
    </row>
    <row r="873" spans="1:6" x14ac:dyDescent="0.2">
      <c r="A873" t="s">
        <v>990</v>
      </c>
      <c r="B873">
        <v>32819.962420000003</v>
      </c>
      <c r="C873">
        <v>247.76706200000001</v>
      </c>
      <c r="D873">
        <v>161.625452</v>
      </c>
      <c r="E873">
        <f t="shared" si="76"/>
        <v>26</v>
      </c>
      <c r="F873" t="str">
        <f t="shared" si="77"/>
        <v/>
      </c>
    </row>
    <row r="874" spans="1:6" x14ac:dyDescent="0.2">
      <c r="A874" t="s">
        <v>991</v>
      </c>
      <c r="B874">
        <v>32830.623479000002</v>
      </c>
      <c r="C874">
        <v>247.80937800000001</v>
      </c>
      <c r="D874">
        <v>175.331682</v>
      </c>
      <c r="E874">
        <f t="shared" si="76"/>
        <v>27</v>
      </c>
      <c r="F874" t="str">
        <f t="shared" si="77"/>
        <v/>
      </c>
    </row>
    <row r="875" spans="1:6" x14ac:dyDescent="0.2">
      <c r="A875" t="s">
        <v>992</v>
      </c>
      <c r="B875">
        <v>32843.695663999999</v>
      </c>
      <c r="C875">
        <v>247.841115</v>
      </c>
      <c r="D875">
        <v>189.512531</v>
      </c>
      <c r="E875">
        <f t="shared" si="76"/>
        <v>28</v>
      </c>
      <c r="F875" t="str">
        <f t="shared" si="77"/>
        <v/>
      </c>
    </row>
    <row r="876" spans="1:6" x14ac:dyDescent="0.2">
      <c r="A876" t="s">
        <v>993</v>
      </c>
      <c r="B876">
        <v>32857.926133000001</v>
      </c>
      <c r="C876">
        <v>247.87671599999999</v>
      </c>
      <c r="D876">
        <v>202.51456899999999</v>
      </c>
      <c r="E876">
        <f t="shared" si="76"/>
        <v>29</v>
      </c>
      <c r="F876" t="str">
        <f t="shared" si="77"/>
        <v/>
      </c>
    </row>
    <row r="877" spans="1:6" x14ac:dyDescent="0.2">
      <c r="A877" t="s">
        <v>994</v>
      </c>
      <c r="B877">
        <v>32873.209798999997</v>
      </c>
      <c r="C877">
        <v>247.914489</v>
      </c>
      <c r="D877">
        <v>214.22443100000001</v>
      </c>
      <c r="E877">
        <f t="shared" si="76"/>
        <v>30</v>
      </c>
      <c r="F877" t="str">
        <f t="shared" si="77"/>
        <v/>
      </c>
    </row>
    <row r="878" spans="1:6" x14ac:dyDescent="0.2">
      <c r="A878" t="s">
        <v>995</v>
      </c>
      <c r="B878">
        <v>32889.513527000003</v>
      </c>
      <c r="C878">
        <v>247.93690900000001</v>
      </c>
      <c r="D878">
        <v>224.55322000000001</v>
      </c>
      <c r="E878">
        <f t="shared" si="76"/>
        <v>31</v>
      </c>
      <c r="F878" t="str">
        <f t="shared" si="77"/>
        <v/>
      </c>
    </row>
    <row r="879" spans="1:6" x14ac:dyDescent="0.2">
      <c r="A879" t="s">
        <v>996</v>
      </c>
      <c r="B879">
        <v>32904.878091999999</v>
      </c>
      <c r="C879">
        <v>247.95094700000001</v>
      </c>
      <c r="D879">
        <v>232.607416</v>
      </c>
      <c r="E879">
        <f t="shared" si="76"/>
        <v>32</v>
      </c>
      <c r="F879" t="str">
        <f t="shared" si="77"/>
        <v/>
      </c>
    </row>
    <row r="880" spans="1:6" x14ac:dyDescent="0.2">
      <c r="A880" t="s">
        <v>997</v>
      </c>
      <c r="B880">
        <v>32857.926907000001</v>
      </c>
      <c r="C880">
        <v>247.87452300000001</v>
      </c>
      <c r="D880">
        <v>202.52073899999999</v>
      </c>
      <c r="E880">
        <f t="shared" si="76"/>
        <v>33</v>
      </c>
      <c r="F880" t="str">
        <f t="shared" si="77"/>
        <v/>
      </c>
    </row>
    <row r="881" spans="1:6" x14ac:dyDescent="0.2">
      <c r="A881" t="s">
        <v>998</v>
      </c>
      <c r="B881">
        <v>32724.370223999998</v>
      </c>
      <c r="C881">
        <v>75.133677000000006</v>
      </c>
      <c r="D881">
        <v>203.18799100000001</v>
      </c>
      <c r="E881">
        <f t="shared" si="76"/>
        <v>34</v>
      </c>
      <c r="F881" t="str">
        <f t="shared" si="77"/>
        <v/>
      </c>
    </row>
    <row r="882" spans="1:6" x14ac:dyDescent="0.2">
      <c r="A882" t="s">
        <v>999</v>
      </c>
      <c r="B882">
        <v>32752.085258999999</v>
      </c>
      <c r="C882">
        <v>-141.44005100000001</v>
      </c>
      <c r="D882">
        <v>204.112213</v>
      </c>
      <c r="E882">
        <f t="shared" si="76"/>
        <v>35</v>
      </c>
      <c r="F882" t="str">
        <f t="shared" si="77"/>
        <v/>
      </c>
    </row>
    <row r="883" spans="1:6" x14ac:dyDescent="0.2">
      <c r="A883" t="s">
        <v>1000</v>
      </c>
      <c r="B883">
        <v>32924.829440000001</v>
      </c>
      <c r="C883">
        <v>-274.985005</v>
      </c>
      <c r="D883">
        <v>204.764655</v>
      </c>
      <c r="E883">
        <f t="shared" si="76"/>
        <v>36</v>
      </c>
      <c r="F883" t="str">
        <f t="shared" si="77"/>
        <v/>
      </c>
    </row>
    <row r="884" spans="1:6" x14ac:dyDescent="0.2">
      <c r="A884" t="s">
        <v>1001</v>
      </c>
      <c r="B884">
        <v>33141.399888</v>
      </c>
      <c r="C884">
        <v>-247.27669</v>
      </c>
      <c r="D884">
        <v>204.74497</v>
      </c>
      <c r="E884">
        <f t="shared" si="76"/>
        <v>37</v>
      </c>
      <c r="F884" t="str">
        <f t="shared" si="77"/>
        <v/>
      </c>
    </row>
    <row r="885" spans="1:6" x14ac:dyDescent="0.2">
      <c r="A885" t="s">
        <v>1109</v>
      </c>
      <c r="B885">
        <v>33274.939036999996</v>
      </c>
      <c r="C885">
        <v>-74.549879000000004</v>
      </c>
      <c r="D885">
        <v>204.082258</v>
      </c>
    </row>
    <row r="886" spans="1:6" x14ac:dyDescent="0.2">
      <c r="A886" t="s">
        <v>1002</v>
      </c>
      <c r="B886">
        <v>33247.238382000003</v>
      </c>
      <c r="C886">
        <v>142.04094499999999</v>
      </c>
      <c r="D886">
        <v>203.14729299999999</v>
      </c>
      <c r="E886">
        <f t="shared" ref="E886:E917" si="78">RIGHT(A886,LEN(A886)-FIND("_",A886,FIND("_",A886)+1))*1</f>
        <v>39</v>
      </c>
      <c r="F886" t="str">
        <f>IF(E886&lt;&gt;1+E884,"err","")</f>
        <v>err</v>
      </c>
    </row>
    <row r="887" spans="1:6" x14ac:dyDescent="0.2">
      <c r="A887" t="s">
        <v>1003</v>
      </c>
      <c r="B887">
        <v>33074.507276999997</v>
      </c>
      <c r="C887">
        <v>275.58802700000001</v>
      </c>
      <c r="D887">
        <v>202.491455</v>
      </c>
      <c r="E887">
        <f t="shared" si="78"/>
        <v>40</v>
      </c>
      <c r="F887" t="str">
        <f t="shared" ref="F887:F918" si="79">IF(E887&lt;&gt;1+E886,"err","")</f>
        <v/>
      </c>
    </row>
    <row r="888" spans="1:6" x14ac:dyDescent="0.2">
      <c r="A888" t="s">
        <v>1004</v>
      </c>
      <c r="B888">
        <v>32857.858343</v>
      </c>
      <c r="C888">
        <v>232.893733</v>
      </c>
      <c r="D888">
        <v>680.395307</v>
      </c>
      <c r="E888">
        <f t="shared" si="78"/>
        <v>41</v>
      </c>
      <c r="F888" t="str">
        <f t="shared" si="79"/>
        <v/>
      </c>
    </row>
    <row r="889" spans="1:6" x14ac:dyDescent="0.2">
      <c r="A889" t="s">
        <v>1005</v>
      </c>
      <c r="B889">
        <v>32724.364099999999</v>
      </c>
      <c r="C889">
        <v>232.33251300000001</v>
      </c>
      <c r="D889">
        <v>507.62158699999998</v>
      </c>
      <c r="E889">
        <f t="shared" si="78"/>
        <v>42</v>
      </c>
      <c r="F889" t="str">
        <f t="shared" si="79"/>
        <v/>
      </c>
    </row>
    <row r="890" spans="1:6" x14ac:dyDescent="0.2">
      <c r="A890" t="s">
        <v>1006</v>
      </c>
      <c r="B890">
        <v>32752.124402000001</v>
      </c>
      <c r="C890">
        <v>231.53034600000001</v>
      </c>
      <c r="D890">
        <v>291.04301500000003</v>
      </c>
      <c r="E890">
        <f t="shared" si="78"/>
        <v>43</v>
      </c>
      <c r="F890" t="str">
        <f t="shared" si="79"/>
        <v/>
      </c>
    </row>
    <row r="891" spans="1:6" x14ac:dyDescent="0.2">
      <c r="A891" t="s">
        <v>1007</v>
      </c>
      <c r="B891">
        <v>32924.900972000003</v>
      </c>
      <c r="C891">
        <v>230.97537500000001</v>
      </c>
      <c r="D891">
        <v>157.538026</v>
      </c>
      <c r="E891">
        <f t="shared" si="78"/>
        <v>44</v>
      </c>
      <c r="F891" t="str">
        <f t="shared" si="79"/>
        <v/>
      </c>
    </row>
    <row r="892" spans="1:6" x14ac:dyDescent="0.2">
      <c r="A892" t="s">
        <v>1008</v>
      </c>
      <c r="B892">
        <v>33141.467417</v>
      </c>
      <c r="C892">
        <v>230.979547</v>
      </c>
      <c r="D892">
        <v>185.30950200000001</v>
      </c>
      <c r="E892">
        <f t="shared" si="78"/>
        <v>45</v>
      </c>
      <c r="F892" t="str">
        <f t="shared" si="79"/>
        <v/>
      </c>
    </row>
    <row r="893" spans="1:6" x14ac:dyDescent="0.2">
      <c r="A893" t="s">
        <v>1009</v>
      </c>
      <c r="B893">
        <v>33274.972581000002</v>
      </c>
      <c r="C893">
        <v>231.553763</v>
      </c>
      <c r="D893">
        <v>358.07391200000001</v>
      </c>
      <c r="E893">
        <f t="shared" si="78"/>
        <v>46</v>
      </c>
      <c r="F893" t="str">
        <f t="shared" si="79"/>
        <v/>
      </c>
    </row>
    <row r="894" spans="1:6" x14ac:dyDescent="0.2">
      <c r="A894" t="s">
        <v>1010</v>
      </c>
      <c r="B894">
        <v>33247.208383999998</v>
      </c>
      <c r="C894">
        <v>232.36453</v>
      </c>
      <c r="D894">
        <v>574.65545999999995</v>
      </c>
      <c r="E894">
        <f t="shared" si="78"/>
        <v>47</v>
      </c>
      <c r="F894" t="str">
        <f t="shared" si="79"/>
        <v/>
      </c>
    </row>
    <row r="895" spans="1:6" x14ac:dyDescent="0.2">
      <c r="A895" t="s">
        <v>1011</v>
      </c>
      <c r="B895">
        <v>33074.450149999997</v>
      </c>
      <c r="C895">
        <v>232.93982500000001</v>
      </c>
      <c r="D895">
        <v>708.16307500000005</v>
      </c>
      <c r="E895">
        <f t="shared" si="78"/>
        <v>48</v>
      </c>
      <c r="F895" t="str">
        <f t="shared" si="79"/>
        <v/>
      </c>
    </row>
    <row r="896" spans="1:6" x14ac:dyDescent="0.2">
      <c r="A896" t="s">
        <v>1012</v>
      </c>
      <c r="B896">
        <v>32855.892445999998</v>
      </c>
      <c r="C896">
        <v>231.15572399999999</v>
      </c>
      <c r="D896">
        <v>186.64194800000001</v>
      </c>
      <c r="E896">
        <f t="shared" si="78"/>
        <v>1</v>
      </c>
      <c r="F896" t="str">
        <f t="shared" si="79"/>
        <v>err</v>
      </c>
    </row>
    <row r="897" spans="1:6" x14ac:dyDescent="0.2">
      <c r="A897" t="s">
        <v>1013</v>
      </c>
      <c r="B897">
        <v>32855.880426999996</v>
      </c>
      <c r="C897">
        <v>184.684403</v>
      </c>
      <c r="D897">
        <v>150.51388800000001</v>
      </c>
      <c r="E897">
        <f t="shared" si="78"/>
        <v>2</v>
      </c>
      <c r="F897" t="str">
        <f t="shared" si="79"/>
        <v/>
      </c>
    </row>
    <row r="898" spans="1:6" x14ac:dyDescent="0.2">
      <c r="A898" t="s">
        <v>1014</v>
      </c>
      <c r="B898">
        <v>32855.902185999999</v>
      </c>
      <c r="C898">
        <v>132.66098199999999</v>
      </c>
      <c r="D898">
        <v>123.021334</v>
      </c>
      <c r="E898">
        <f t="shared" si="78"/>
        <v>3</v>
      </c>
      <c r="F898" t="str">
        <f t="shared" si="79"/>
        <v/>
      </c>
    </row>
    <row r="899" spans="1:6" x14ac:dyDescent="0.2">
      <c r="A899" t="s">
        <v>1015</v>
      </c>
      <c r="B899">
        <v>32855.893642000003</v>
      </c>
      <c r="C899">
        <v>76.619467</v>
      </c>
      <c r="D899">
        <v>104.982709</v>
      </c>
      <c r="E899">
        <f t="shared" si="78"/>
        <v>4</v>
      </c>
      <c r="F899" t="str">
        <f t="shared" si="79"/>
        <v/>
      </c>
    </row>
    <row r="900" spans="1:6" x14ac:dyDescent="0.2">
      <c r="A900" t="s">
        <v>1016</v>
      </c>
      <c r="B900">
        <v>32855.867877999997</v>
      </c>
      <c r="C900">
        <v>18.317549</v>
      </c>
      <c r="D900">
        <v>96.972155999999998</v>
      </c>
      <c r="E900">
        <f t="shared" si="78"/>
        <v>5</v>
      </c>
      <c r="F900" t="str">
        <f t="shared" si="79"/>
        <v/>
      </c>
    </row>
    <row r="901" spans="1:6" x14ac:dyDescent="0.2">
      <c r="A901" t="s">
        <v>1017</v>
      </c>
      <c r="B901">
        <v>32855.885877000001</v>
      </c>
      <c r="C901">
        <v>-40.463957000000001</v>
      </c>
      <c r="D901">
        <v>99.193454000000003</v>
      </c>
      <c r="E901">
        <f t="shared" si="78"/>
        <v>6</v>
      </c>
      <c r="F901" t="str">
        <f t="shared" si="79"/>
        <v/>
      </c>
    </row>
    <row r="902" spans="1:6" x14ac:dyDescent="0.2">
      <c r="A902" t="s">
        <v>1018</v>
      </c>
      <c r="B902">
        <v>32855.856848000003</v>
      </c>
      <c r="C902">
        <v>-98.018748000000002</v>
      </c>
      <c r="D902">
        <v>111.599172</v>
      </c>
      <c r="E902">
        <f t="shared" si="78"/>
        <v>7</v>
      </c>
      <c r="F902" t="str">
        <f t="shared" si="79"/>
        <v/>
      </c>
    </row>
    <row r="903" spans="1:6" x14ac:dyDescent="0.2">
      <c r="A903" t="s">
        <v>1019</v>
      </c>
      <c r="B903">
        <v>32855.845662</v>
      </c>
      <c r="C903">
        <v>-152.47277</v>
      </c>
      <c r="D903">
        <v>133.791246</v>
      </c>
      <c r="E903">
        <f t="shared" si="78"/>
        <v>8</v>
      </c>
      <c r="F903" t="str">
        <f t="shared" si="79"/>
        <v/>
      </c>
    </row>
    <row r="904" spans="1:6" x14ac:dyDescent="0.2">
      <c r="A904" t="s">
        <v>1020</v>
      </c>
      <c r="B904">
        <v>32855.835254999998</v>
      </c>
      <c r="C904">
        <v>-202.30466999999999</v>
      </c>
      <c r="D904">
        <v>165.120048</v>
      </c>
      <c r="E904">
        <f t="shared" si="78"/>
        <v>9</v>
      </c>
      <c r="F904" t="str">
        <f t="shared" si="79"/>
        <v/>
      </c>
    </row>
    <row r="905" spans="1:6" x14ac:dyDescent="0.2">
      <c r="A905" t="s">
        <v>1021</v>
      </c>
      <c r="B905">
        <v>32855.823154999998</v>
      </c>
      <c r="C905">
        <v>-245.86615</v>
      </c>
      <c r="D905">
        <v>204.56654599999999</v>
      </c>
      <c r="E905">
        <f t="shared" si="78"/>
        <v>10</v>
      </c>
      <c r="F905" t="str">
        <f t="shared" si="79"/>
        <v/>
      </c>
    </row>
    <row r="906" spans="1:6" x14ac:dyDescent="0.2">
      <c r="A906" t="s">
        <v>1022</v>
      </c>
      <c r="B906">
        <v>32855.816247000002</v>
      </c>
      <c r="C906">
        <v>-281.99327599999998</v>
      </c>
      <c r="D906">
        <v>251.06275400000001</v>
      </c>
      <c r="E906">
        <f t="shared" si="78"/>
        <v>11</v>
      </c>
      <c r="F906" t="str">
        <f t="shared" si="79"/>
        <v/>
      </c>
    </row>
    <row r="907" spans="1:6" x14ac:dyDescent="0.2">
      <c r="A907" t="s">
        <v>1023</v>
      </c>
      <c r="B907">
        <v>32817.949725999999</v>
      </c>
      <c r="C907">
        <v>272.58431400000001</v>
      </c>
      <c r="D907">
        <v>186.64927399999999</v>
      </c>
      <c r="E907">
        <f t="shared" si="78"/>
        <v>12</v>
      </c>
      <c r="F907" t="str">
        <f t="shared" si="79"/>
        <v/>
      </c>
    </row>
    <row r="908" spans="1:6" x14ac:dyDescent="0.2">
      <c r="A908" t="s">
        <v>1024</v>
      </c>
      <c r="B908">
        <v>32828.588006999998</v>
      </c>
      <c r="C908">
        <v>258.73011300000002</v>
      </c>
      <c r="D908">
        <v>186.649506</v>
      </c>
      <c r="E908">
        <f t="shared" si="78"/>
        <v>13</v>
      </c>
      <c r="F908" t="str">
        <f t="shared" si="79"/>
        <v/>
      </c>
    </row>
    <row r="909" spans="1:6" x14ac:dyDescent="0.2">
      <c r="A909" t="s">
        <v>1025</v>
      </c>
      <c r="B909">
        <v>32841.653268000002</v>
      </c>
      <c r="C909">
        <v>244.363292</v>
      </c>
      <c r="D909">
        <v>186.64406</v>
      </c>
      <c r="E909">
        <f t="shared" si="78"/>
        <v>14</v>
      </c>
      <c r="F909" t="str">
        <f t="shared" si="79"/>
        <v/>
      </c>
    </row>
    <row r="910" spans="1:6" x14ac:dyDescent="0.2">
      <c r="A910" t="s">
        <v>1026</v>
      </c>
      <c r="B910">
        <v>32855.893259999997</v>
      </c>
      <c r="C910">
        <v>231.17455899999999</v>
      </c>
      <c r="D910">
        <v>186.65151399999999</v>
      </c>
      <c r="E910">
        <f t="shared" si="78"/>
        <v>15</v>
      </c>
      <c r="F910" t="str">
        <f t="shared" si="79"/>
        <v/>
      </c>
    </row>
    <row r="911" spans="1:6" x14ac:dyDescent="0.2">
      <c r="A911" t="s">
        <v>1027</v>
      </c>
      <c r="B911">
        <v>32871.201313999998</v>
      </c>
      <c r="C911">
        <v>219.276118</v>
      </c>
      <c r="D911">
        <v>186.670141</v>
      </c>
      <c r="E911">
        <f t="shared" si="78"/>
        <v>16</v>
      </c>
      <c r="F911" t="str">
        <f t="shared" si="79"/>
        <v/>
      </c>
    </row>
    <row r="912" spans="1:6" x14ac:dyDescent="0.2">
      <c r="A912" t="s">
        <v>1028</v>
      </c>
      <c r="B912">
        <v>32887.540359999999</v>
      </c>
      <c r="C912">
        <v>208.769487</v>
      </c>
      <c r="D912">
        <v>186.680418</v>
      </c>
      <c r="E912">
        <f t="shared" si="78"/>
        <v>17</v>
      </c>
      <c r="F912" t="str">
        <f t="shared" si="79"/>
        <v/>
      </c>
    </row>
    <row r="913" spans="1:6" x14ac:dyDescent="0.2">
      <c r="A913" t="s">
        <v>1029</v>
      </c>
      <c r="B913">
        <v>32902.950037000002</v>
      </c>
      <c r="C913">
        <v>200.53931800000001</v>
      </c>
      <c r="D913">
        <v>186.69831199999999</v>
      </c>
      <c r="E913">
        <f t="shared" si="78"/>
        <v>18</v>
      </c>
      <c r="F913" t="str">
        <f t="shared" si="79"/>
        <v/>
      </c>
    </row>
    <row r="914" spans="1:6" x14ac:dyDescent="0.2">
      <c r="A914" t="s">
        <v>1030</v>
      </c>
      <c r="B914">
        <v>32817.910167000002</v>
      </c>
      <c r="C914">
        <v>50.027718</v>
      </c>
      <c r="D914">
        <v>70.312006999999994</v>
      </c>
      <c r="E914">
        <f t="shared" si="78"/>
        <v>19</v>
      </c>
      <c r="F914" t="str">
        <f t="shared" si="79"/>
        <v/>
      </c>
    </row>
    <row r="915" spans="1:6" x14ac:dyDescent="0.2">
      <c r="A915" t="s">
        <v>1031</v>
      </c>
      <c r="B915">
        <v>32828.551169999999</v>
      </c>
      <c r="C915">
        <v>39.423057999999997</v>
      </c>
      <c r="D915">
        <v>79.231875000000002</v>
      </c>
      <c r="E915">
        <f t="shared" si="78"/>
        <v>20</v>
      </c>
      <c r="F915" t="str">
        <f t="shared" si="79"/>
        <v/>
      </c>
    </row>
    <row r="916" spans="1:6" x14ac:dyDescent="0.2">
      <c r="A916" t="s">
        <v>1032</v>
      </c>
      <c r="B916">
        <v>32841.618677999999</v>
      </c>
      <c r="C916">
        <v>28.419070000000001</v>
      </c>
      <c r="D916">
        <v>88.469859999999997</v>
      </c>
      <c r="E916">
        <f t="shared" si="78"/>
        <v>21</v>
      </c>
      <c r="F916" t="str">
        <f t="shared" si="79"/>
        <v/>
      </c>
    </row>
    <row r="917" spans="1:6" x14ac:dyDescent="0.2">
      <c r="A917" t="s">
        <v>1033</v>
      </c>
      <c r="B917">
        <v>32855.876665000003</v>
      </c>
      <c r="C917">
        <v>18.334137999999999</v>
      </c>
      <c r="D917">
        <v>96.960425999999998</v>
      </c>
      <c r="E917">
        <f t="shared" si="78"/>
        <v>22</v>
      </c>
      <c r="F917" t="str">
        <f t="shared" si="79"/>
        <v/>
      </c>
    </row>
    <row r="918" spans="1:6" x14ac:dyDescent="0.2">
      <c r="A918" t="s">
        <v>1034</v>
      </c>
      <c r="B918">
        <v>32871.175410000003</v>
      </c>
      <c r="C918">
        <v>9.2253769999999999</v>
      </c>
      <c r="D918">
        <v>104.648499</v>
      </c>
      <c r="E918">
        <f t="shared" ref="E918:E948" si="80">RIGHT(A918,LEN(A918)-FIND("_",A918,FIND("_",A918)+1))*1</f>
        <v>23</v>
      </c>
      <c r="F918" t="str">
        <f t="shared" si="79"/>
        <v/>
      </c>
    </row>
    <row r="919" spans="1:6" x14ac:dyDescent="0.2">
      <c r="A919" t="s">
        <v>1035</v>
      </c>
      <c r="B919">
        <v>32887.446490000002</v>
      </c>
      <c r="C919">
        <v>1.172655</v>
      </c>
      <c r="D919">
        <v>111.443161</v>
      </c>
      <c r="E919">
        <f t="shared" si="80"/>
        <v>24</v>
      </c>
      <c r="F919" t="str">
        <f t="shared" ref="F919:F948" si="81">IF(E919&lt;&gt;1+E918,"err","")</f>
        <v/>
      </c>
    </row>
    <row r="920" spans="1:6" x14ac:dyDescent="0.2">
      <c r="A920" t="s">
        <v>1036</v>
      </c>
      <c r="B920">
        <v>32902.939679000003</v>
      </c>
      <c r="C920">
        <v>-5.0968429999999998</v>
      </c>
      <c r="D920">
        <v>116.704835</v>
      </c>
      <c r="E920">
        <f t="shared" si="80"/>
        <v>25</v>
      </c>
      <c r="F920" t="str">
        <f t="shared" si="81"/>
        <v/>
      </c>
    </row>
    <row r="921" spans="1:6" x14ac:dyDescent="0.2">
      <c r="A921" t="s">
        <v>1037</v>
      </c>
      <c r="B921">
        <v>32817.906074999999</v>
      </c>
      <c r="C921">
        <v>-245.97203400000001</v>
      </c>
      <c r="D921">
        <v>163.124841</v>
      </c>
      <c r="E921">
        <f t="shared" si="80"/>
        <v>26</v>
      </c>
      <c r="F921" t="str">
        <f t="shared" si="81"/>
        <v/>
      </c>
    </row>
    <row r="922" spans="1:6" x14ac:dyDescent="0.2">
      <c r="A922" t="s">
        <v>1038</v>
      </c>
      <c r="B922">
        <v>32828.534556999999</v>
      </c>
      <c r="C922">
        <v>-245.93088800000001</v>
      </c>
      <c r="D922">
        <v>176.99217200000001</v>
      </c>
      <c r="E922">
        <f t="shared" si="80"/>
        <v>27</v>
      </c>
      <c r="F922" t="str">
        <f t="shared" si="81"/>
        <v/>
      </c>
    </row>
    <row r="923" spans="1:6" x14ac:dyDescent="0.2">
      <c r="A923" t="s">
        <v>1039</v>
      </c>
      <c r="B923">
        <v>32841.586755999997</v>
      </c>
      <c r="C923">
        <v>-245.895849</v>
      </c>
      <c r="D923">
        <v>191.361966</v>
      </c>
      <c r="E923">
        <f t="shared" si="80"/>
        <v>28</v>
      </c>
      <c r="F923" t="str">
        <f t="shared" si="81"/>
        <v/>
      </c>
    </row>
    <row r="924" spans="1:6" x14ac:dyDescent="0.2">
      <c r="A924" t="s">
        <v>1040</v>
      </c>
      <c r="B924">
        <v>32855.822510999998</v>
      </c>
      <c r="C924">
        <v>-245.86383699999999</v>
      </c>
      <c r="D924">
        <v>204.55792</v>
      </c>
      <c r="E924">
        <f t="shared" si="80"/>
        <v>29</v>
      </c>
      <c r="F924" t="str">
        <f t="shared" si="81"/>
        <v/>
      </c>
    </row>
    <row r="925" spans="1:6" x14ac:dyDescent="0.2">
      <c r="A925" t="s">
        <v>1041</v>
      </c>
      <c r="B925">
        <v>32871.136008000001</v>
      </c>
      <c r="C925">
        <v>-245.83141499999999</v>
      </c>
      <c r="D925">
        <v>216.44194200000001</v>
      </c>
      <c r="E925">
        <f t="shared" si="80"/>
        <v>30</v>
      </c>
      <c r="F925" t="str">
        <f t="shared" si="81"/>
        <v/>
      </c>
    </row>
    <row r="926" spans="1:6" x14ac:dyDescent="0.2">
      <c r="A926" t="s">
        <v>1042</v>
      </c>
      <c r="B926">
        <v>32887.461775000003</v>
      </c>
      <c r="C926">
        <v>-245.79484099999999</v>
      </c>
      <c r="D926">
        <v>226.95797999999999</v>
      </c>
      <c r="E926">
        <f t="shared" si="80"/>
        <v>31</v>
      </c>
      <c r="F926" t="str">
        <f t="shared" si="81"/>
        <v/>
      </c>
    </row>
    <row r="927" spans="1:6" x14ac:dyDescent="0.2">
      <c r="A927" t="s">
        <v>1043</v>
      </c>
      <c r="B927">
        <v>32902.873174</v>
      </c>
      <c r="C927">
        <v>-245.78847500000001</v>
      </c>
      <c r="D927">
        <v>235.173349</v>
      </c>
      <c r="E927">
        <f t="shared" si="80"/>
        <v>32</v>
      </c>
      <c r="F927" t="str">
        <f t="shared" si="81"/>
        <v/>
      </c>
    </row>
    <row r="928" spans="1:6" x14ac:dyDescent="0.2">
      <c r="A928" t="s">
        <v>1044</v>
      </c>
      <c r="B928">
        <v>32855.823268</v>
      </c>
      <c r="C928">
        <v>-245.86220599999999</v>
      </c>
      <c r="D928">
        <v>204.557975</v>
      </c>
      <c r="E928">
        <f t="shared" si="80"/>
        <v>33</v>
      </c>
      <c r="F928" t="str">
        <f t="shared" si="81"/>
        <v/>
      </c>
    </row>
    <row r="929" spans="1:6" x14ac:dyDescent="0.2">
      <c r="A929" t="s">
        <v>1045</v>
      </c>
      <c r="B929">
        <v>33072.014833000001</v>
      </c>
      <c r="C929">
        <v>-275.47162400000002</v>
      </c>
      <c r="D929">
        <v>204.788162</v>
      </c>
      <c r="E929">
        <f t="shared" si="80"/>
        <v>34</v>
      </c>
      <c r="F929" t="str">
        <f t="shared" si="81"/>
        <v/>
      </c>
    </row>
    <row r="930" spans="1:6" x14ac:dyDescent="0.2">
      <c r="A930" t="s">
        <v>1046</v>
      </c>
      <c r="B930">
        <v>33245.829547000001</v>
      </c>
      <c r="C930">
        <v>-143.53907100000001</v>
      </c>
      <c r="D930">
        <v>204.30358100000001</v>
      </c>
      <c r="E930">
        <f t="shared" si="80"/>
        <v>35</v>
      </c>
      <c r="F930" t="str">
        <f t="shared" si="81"/>
        <v/>
      </c>
    </row>
    <row r="931" spans="1:6" x14ac:dyDescent="0.2">
      <c r="A931" t="s">
        <v>1047</v>
      </c>
      <c r="B931">
        <v>33275.432392000002</v>
      </c>
      <c r="C931">
        <v>72.652090999999999</v>
      </c>
      <c r="D931">
        <v>203.41373999999999</v>
      </c>
      <c r="E931">
        <f t="shared" si="80"/>
        <v>36</v>
      </c>
      <c r="F931" t="str">
        <f t="shared" si="81"/>
        <v/>
      </c>
    </row>
    <row r="932" spans="1:6" x14ac:dyDescent="0.2">
      <c r="A932" t="s">
        <v>1048</v>
      </c>
      <c r="B932">
        <v>33143.513519</v>
      </c>
      <c r="C932">
        <v>246.449726</v>
      </c>
      <c r="D932">
        <v>202.613754</v>
      </c>
      <c r="E932">
        <f t="shared" si="80"/>
        <v>37</v>
      </c>
      <c r="F932" t="str">
        <f t="shared" si="81"/>
        <v/>
      </c>
    </row>
    <row r="933" spans="1:6" x14ac:dyDescent="0.2">
      <c r="A933" t="s">
        <v>1049</v>
      </c>
      <c r="B933">
        <v>32927.318125999998</v>
      </c>
      <c r="C933">
        <v>276.083798</v>
      </c>
      <c r="D933">
        <v>202.39002400000001</v>
      </c>
      <c r="E933">
        <f t="shared" si="80"/>
        <v>38</v>
      </c>
      <c r="F933" t="str">
        <f t="shared" si="81"/>
        <v/>
      </c>
    </row>
    <row r="934" spans="1:6" x14ac:dyDescent="0.2">
      <c r="A934" t="s">
        <v>1050</v>
      </c>
      <c r="B934">
        <v>32753.499174</v>
      </c>
      <c r="C934">
        <v>144.15982</v>
      </c>
      <c r="D934">
        <v>202.865071</v>
      </c>
      <c r="E934">
        <f t="shared" si="80"/>
        <v>39</v>
      </c>
      <c r="F934" t="str">
        <f t="shared" si="81"/>
        <v/>
      </c>
    </row>
    <row r="935" spans="1:6" x14ac:dyDescent="0.2">
      <c r="A935" t="s">
        <v>1051</v>
      </c>
      <c r="B935">
        <v>32723.880298</v>
      </c>
      <c r="C935">
        <v>-72.043834000000004</v>
      </c>
      <c r="D935">
        <v>203.76322500000001</v>
      </c>
      <c r="E935">
        <f t="shared" si="80"/>
        <v>40</v>
      </c>
      <c r="F935" t="str">
        <f t="shared" si="81"/>
        <v/>
      </c>
    </row>
    <row r="936" spans="1:6" x14ac:dyDescent="0.2">
      <c r="A936" t="s">
        <v>1052</v>
      </c>
      <c r="B936">
        <v>32855.888334000003</v>
      </c>
      <c r="C936">
        <v>231.156913</v>
      </c>
      <c r="D936">
        <v>186.65198699999999</v>
      </c>
      <c r="E936">
        <f t="shared" si="80"/>
        <v>41</v>
      </c>
      <c r="F936" t="str">
        <f t="shared" si="81"/>
        <v/>
      </c>
    </row>
    <row r="937" spans="1:6" x14ac:dyDescent="0.2">
      <c r="A937" t="s">
        <v>1053</v>
      </c>
      <c r="B937">
        <v>33072.087532999998</v>
      </c>
      <c r="C937">
        <v>230.96760900000001</v>
      </c>
      <c r="D937">
        <v>157.10386099999999</v>
      </c>
      <c r="E937">
        <f t="shared" si="80"/>
        <v>42</v>
      </c>
      <c r="F937" t="str">
        <f t="shared" si="81"/>
        <v/>
      </c>
    </row>
    <row r="938" spans="1:6" x14ac:dyDescent="0.2">
      <c r="A938" t="s">
        <v>1054</v>
      </c>
      <c r="B938">
        <v>33245.861790000003</v>
      </c>
      <c r="C938">
        <v>231.38413600000001</v>
      </c>
      <c r="D938">
        <v>289.08564999999999</v>
      </c>
      <c r="E938">
        <f t="shared" si="80"/>
        <v>43</v>
      </c>
      <c r="F938" t="str">
        <f t="shared" si="81"/>
        <v/>
      </c>
    </row>
    <row r="939" spans="1:6" x14ac:dyDescent="0.2">
      <c r="A939" t="s">
        <v>1055</v>
      </c>
      <c r="B939">
        <v>33275.415859000001</v>
      </c>
      <c r="C939">
        <v>232.15588099999999</v>
      </c>
      <c r="D939">
        <v>505.27629000000002</v>
      </c>
      <c r="E939">
        <f t="shared" si="80"/>
        <v>44</v>
      </c>
      <c r="F939" t="str">
        <f t="shared" si="81"/>
        <v/>
      </c>
    </row>
    <row r="940" spans="1:6" x14ac:dyDescent="0.2">
      <c r="A940" t="s">
        <v>1056</v>
      </c>
      <c r="B940">
        <v>33143.447409</v>
      </c>
      <c r="C940">
        <v>232.83886799999999</v>
      </c>
      <c r="D940">
        <v>679.04942200000005</v>
      </c>
      <c r="E940">
        <f t="shared" si="80"/>
        <v>45</v>
      </c>
      <c r="F940" t="str">
        <f t="shared" si="81"/>
        <v/>
      </c>
    </row>
    <row r="941" spans="1:6" x14ac:dyDescent="0.2">
      <c r="A941" t="s">
        <v>1057</v>
      </c>
      <c r="B941">
        <v>32927.244163000003</v>
      </c>
      <c r="C941">
        <v>233.018586</v>
      </c>
      <c r="D941">
        <v>708.60853299999997</v>
      </c>
      <c r="E941">
        <f t="shared" si="80"/>
        <v>46</v>
      </c>
      <c r="F941" t="str">
        <f t="shared" si="81"/>
        <v/>
      </c>
    </row>
    <row r="942" spans="1:6" x14ac:dyDescent="0.2">
      <c r="A942" t="s">
        <v>1058</v>
      </c>
      <c r="B942">
        <v>32753.464769999999</v>
      </c>
      <c r="C942">
        <v>232.61749499999999</v>
      </c>
      <c r="D942">
        <v>576.64170999999999</v>
      </c>
      <c r="E942">
        <f t="shared" si="80"/>
        <v>47</v>
      </c>
      <c r="F942" t="str">
        <f t="shared" si="81"/>
        <v/>
      </c>
    </row>
    <row r="943" spans="1:6" x14ac:dyDescent="0.2">
      <c r="A943" t="s">
        <v>1059</v>
      </c>
      <c r="B943">
        <v>32723.902913000002</v>
      </c>
      <c r="C943">
        <v>231.84182100000001</v>
      </c>
      <c r="D943">
        <v>360.43011200000001</v>
      </c>
      <c r="E943">
        <f t="shared" si="80"/>
        <v>48</v>
      </c>
      <c r="F943" t="str">
        <f t="shared" si="81"/>
        <v/>
      </c>
    </row>
    <row r="944" spans="1:6" x14ac:dyDescent="0.2">
      <c r="A944" t="s">
        <v>1060</v>
      </c>
      <c r="B944">
        <v>33284.412729999996</v>
      </c>
      <c r="C944">
        <v>-229.38139000000001</v>
      </c>
      <c r="D944">
        <v>436.10060700000002</v>
      </c>
      <c r="E944">
        <f t="shared" si="80"/>
        <v>1</v>
      </c>
      <c r="F944" t="str">
        <f t="shared" si="81"/>
        <v>err</v>
      </c>
    </row>
    <row r="945" spans="1:6" x14ac:dyDescent="0.2">
      <c r="A945" t="s">
        <v>1061</v>
      </c>
      <c r="B945">
        <v>33284.403322999999</v>
      </c>
      <c r="C945">
        <v>-226.20096699999999</v>
      </c>
      <c r="D945">
        <v>396.06712700000003</v>
      </c>
      <c r="E945">
        <f t="shared" si="80"/>
        <v>2</v>
      </c>
      <c r="F945" t="str">
        <f t="shared" si="81"/>
        <v/>
      </c>
    </row>
    <row r="946" spans="1:6" x14ac:dyDescent="0.2">
      <c r="A946" t="s">
        <v>1062</v>
      </c>
      <c r="B946">
        <v>33284.428405999999</v>
      </c>
      <c r="C946">
        <v>-216.14924199999999</v>
      </c>
      <c r="D946">
        <v>357.211343</v>
      </c>
      <c r="E946">
        <f t="shared" si="80"/>
        <v>3</v>
      </c>
      <c r="F946" t="str">
        <f t="shared" si="81"/>
        <v/>
      </c>
    </row>
    <row r="947" spans="1:6" x14ac:dyDescent="0.2">
      <c r="A947" t="s">
        <v>1063</v>
      </c>
      <c r="B947">
        <v>33284.420694</v>
      </c>
      <c r="C947">
        <v>-199.443478</v>
      </c>
      <c r="D947">
        <v>320.66515800000002</v>
      </c>
      <c r="E947">
        <f t="shared" si="80"/>
        <v>4</v>
      </c>
      <c r="F947" t="str">
        <f t="shared" si="81"/>
        <v/>
      </c>
    </row>
    <row r="948" spans="1:6" x14ac:dyDescent="0.2">
      <c r="A948" t="s">
        <v>1064</v>
      </c>
      <c r="B948">
        <v>33284.420546000001</v>
      </c>
      <c r="C948">
        <v>-176.710474</v>
      </c>
      <c r="D948">
        <v>287.60027000000002</v>
      </c>
      <c r="E948">
        <f t="shared" si="80"/>
        <v>5</v>
      </c>
      <c r="F948" t="str">
        <f t="shared" si="81"/>
        <v/>
      </c>
    </row>
    <row r="949" spans="1:6" x14ac:dyDescent="0.2">
      <c r="A949" t="s">
        <v>1155</v>
      </c>
    </row>
    <row r="950" spans="1:6" x14ac:dyDescent="0.2">
      <c r="A950" t="s">
        <v>1065</v>
      </c>
      <c r="B950">
        <v>33284.442608999998</v>
      </c>
      <c r="C950">
        <v>-115.876242</v>
      </c>
      <c r="D950">
        <v>235.67671000000001</v>
      </c>
      <c r="E950">
        <f>RIGHT(A950,LEN(A950)-FIND("_",A950,FIND("_",A950)+1))*1</f>
        <v>7</v>
      </c>
      <c r="F950" t="str">
        <f>IF(E950&lt;&gt;1+E948,"err","")</f>
        <v>err</v>
      </c>
    </row>
    <row r="951" spans="1:6" x14ac:dyDescent="0.2">
      <c r="A951" t="s">
        <v>1156</v>
      </c>
    </row>
    <row r="952" spans="1:6" x14ac:dyDescent="0.2">
      <c r="A952" t="s">
        <v>1066</v>
      </c>
      <c r="B952">
        <v>33232.876469000003</v>
      </c>
      <c r="C952">
        <v>-163.488373</v>
      </c>
      <c r="D952">
        <v>435.66551900000002</v>
      </c>
      <c r="E952">
        <f t="shared" ref="E952:E972" si="82">RIGHT(A952,LEN(A952)-FIND("_",A952,FIND("_",A952)+1))*1</f>
        <v>12</v>
      </c>
      <c r="F952" t="str">
        <f>IF(E952&lt;&gt;1+E950,"err","")</f>
        <v>err</v>
      </c>
    </row>
    <row r="953" spans="1:6" x14ac:dyDescent="0.2">
      <c r="A953" t="s">
        <v>1067</v>
      </c>
      <c r="B953">
        <v>33250.640475</v>
      </c>
      <c r="C953">
        <v>-182.510009</v>
      </c>
      <c r="D953">
        <v>435.78550100000001</v>
      </c>
      <c r="E953">
        <f t="shared" si="82"/>
        <v>13</v>
      </c>
      <c r="F953" t="str">
        <f t="shared" ref="F953:F972" si="83">IF(E953&lt;&gt;1+E952,"err","")</f>
        <v/>
      </c>
    </row>
    <row r="954" spans="1:6" x14ac:dyDescent="0.2">
      <c r="A954" t="s">
        <v>1068</v>
      </c>
      <c r="B954">
        <v>33268.557496000001</v>
      </c>
      <c r="C954">
        <v>-205.19409400000001</v>
      </c>
      <c r="D954">
        <v>435.93134199999997</v>
      </c>
      <c r="E954">
        <f t="shared" si="82"/>
        <v>14</v>
      </c>
      <c r="F954" t="str">
        <f t="shared" si="83"/>
        <v/>
      </c>
    </row>
    <row r="955" spans="1:6" x14ac:dyDescent="0.2">
      <c r="A955" t="s">
        <v>1069</v>
      </c>
      <c r="B955">
        <v>33284.420897999997</v>
      </c>
      <c r="C955">
        <v>-229.37054900000001</v>
      </c>
      <c r="D955">
        <v>436.09458699999999</v>
      </c>
      <c r="E955">
        <f t="shared" si="82"/>
        <v>15</v>
      </c>
      <c r="F955" t="str">
        <f t="shared" si="83"/>
        <v/>
      </c>
    </row>
    <row r="956" spans="1:6" x14ac:dyDescent="0.2">
      <c r="A956" t="s">
        <v>1070</v>
      </c>
      <c r="B956">
        <v>33298.093197000002</v>
      </c>
      <c r="C956">
        <v>-254.85352900000001</v>
      </c>
      <c r="D956">
        <v>436.250314</v>
      </c>
      <c r="E956">
        <f t="shared" si="82"/>
        <v>16</v>
      </c>
      <c r="F956" t="str">
        <f t="shared" si="83"/>
        <v/>
      </c>
    </row>
    <row r="957" spans="1:6" x14ac:dyDescent="0.2">
      <c r="A957" t="s">
        <v>1071</v>
      </c>
      <c r="B957">
        <v>33309.529004999997</v>
      </c>
      <c r="C957">
        <v>-281.39679999999998</v>
      </c>
      <c r="D957">
        <v>436.43363399999998</v>
      </c>
      <c r="E957">
        <f t="shared" si="82"/>
        <v>17</v>
      </c>
      <c r="F957" t="str">
        <f t="shared" si="83"/>
        <v/>
      </c>
    </row>
    <row r="958" spans="1:6" x14ac:dyDescent="0.2">
      <c r="A958" t="s">
        <v>1072</v>
      </c>
      <c r="B958">
        <v>33317.791193999998</v>
      </c>
      <c r="C958">
        <v>-306.06961100000001</v>
      </c>
      <c r="D958">
        <v>436.62895099999997</v>
      </c>
      <c r="E958">
        <f t="shared" si="82"/>
        <v>18</v>
      </c>
      <c r="F958" t="str">
        <f t="shared" si="83"/>
        <v/>
      </c>
    </row>
    <row r="959" spans="1:6" x14ac:dyDescent="0.2">
      <c r="A959" t="s">
        <v>1073</v>
      </c>
      <c r="B959">
        <v>33232.849322000002</v>
      </c>
      <c r="C959">
        <v>-125.988675</v>
      </c>
      <c r="D959">
        <v>329.615994</v>
      </c>
      <c r="E959">
        <f t="shared" si="82"/>
        <v>19</v>
      </c>
      <c r="F959" t="str">
        <f t="shared" si="83"/>
        <v/>
      </c>
    </row>
    <row r="960" spans="1:6" x14ac:dyDescent="0.2">
      <c r="A960" t="s">
        <v>1074</v>
      </c>
      <c r="B960">
        <v>33250.613418000001</v>
      </c>
      <c r="C960">
        <v>-140.60381599999999</v>
      </c>
      <c r="D960">
        <v>317.49015500000002</v>
      </c>
      <c r="E960">
        <f t="shared" si="82"/>
        <v>20</v>
      </c>
      <c r="F960" t="str">
        <f t="shared" si="83"/>
        <v/>
      </c>
    </row>
    <row r="961" spans="1:6" x14ac:dyDescent="0.2">
      <c r="A961" t="s">
        <v>1075</v>
      </c>
      <c r="B961">
        <v>33268.554830000001</v>
      </c>
      <c r="C961">
        <v>-158.08797000000001</v>
      </c>
      <c r="D961">
        <v>303.01977499999998</v>
      </c>
      <c r="E961">
        <f t="shared" si="82"/>
        <v>21</v>
      </c>
      <c r="F961" t="str">
        <f t="shared" si="83"/>
        <v/>
      </c>
    </row>
    <row r="962" spans="1:6" x14ac:dyDescent="0.2">
      <c r="A962" t="s">
        <v>1076</v>
      </c>
      <c r="B962">
        <v>33284.425410999997</v>
      </c>
      <c r="C962">
        <v>-176.686802</v>
      </c>
      <c r="D962">
        <v>287.60020900000001</v>
      </c>
      <c r="E962">
        <f t="shared" si="82"/>
        <v>22</v>
      </c>
      <c r="F962" t="str">
        <f t="shared" si="83"/>
        <v/>
      </c>
    </row>
    <row r="963" spans="1:6" x14ac:dyDescent="0.2">
      <c r="A963" t="s">
        <v>1077</v>
      </c>
      <c r="B963">
        <v>33298.110045000001</v>
      </c>
      <c r="C963">
        <v>-196.30941999999999</v>
      </c>
      <c r="D963">
        <v>271.33935000000002</v>
      </c>
      <c r="E963">
        <f t="shared" si="82"/>
        <v>23</v>
      </c>
      <c r="F963" t="str">
        <f t="shared" si="83"/>
        <v/>
      </c>
    </row>
    <row r="964" spans="1:6" x14ac:dyDescent="0.2">
      <c r="A964" t="s">
        <v>1078</v>
      </c>
      <c r="B964">
        <v>33309.561352999997</v>
      </c>
      <c r="C964">
        <v>-216.741591</v>
      </c>
      <c r="D964">
        <v>254.40902800000001</v>
      </c>
      <c r="E964">
        <f t="shared" si="82"/>
        <v>24</v>
      </c>
      <c r="F964" t="str">
        <f t="shared" si="83"/>
        <v/>
      </c>
    </row>
    <row r="965" spans="1:6" x14ac:dyDescent="0.2">
      <c r="A965" t="s">
        <v>1079</v>
      </c>
      <c r="B965">
        <v>33317.853579000002</v>
      </c>
      <c r="C965">
        <v>-235.767323</v>
      </c>
      <c r="D965">
        <v>238.68026399999999</v>
      </c>
      <c r="E965">
        <f t="shared" si="82"/>
        <v>25</v>
      </c>
      <c r="F965" t="str">
        <f t="shared" si="83"/>
        <v/>
      </c>
    </row>
    <row r="966" spans="1:6" x14ac:dyDescent="0.2">
      <c r="A966" t="s">
        <v>1081</v>
      </c>
      <c r="B966">
        <v>33284.414004999999</v>
      </c>
      <c r="C966">
        <v>-229.38019</v>
      </c>
      <c r="D966">
        <v>436.10574400000002</v>
      </c>
      <c r="E966">
        <f t="shared" si="82"/>
        <v>41</v>
      </c>
      <c r="F966" t="str">
        <f t="shared" si="83"/>
        <v>err</v>
      </c>
    </row>
    <row r="967" spans="1:6" x14ac:dyDescent="0.2">
      <c r="A967" t="s">
        <v>1082</v>
      </c>
      <c r="B967">
        <v>33201.928393000002</v>
      </c>
      <c r="C967">
        <v>-230.41869299999999</v>
      </c>
      <c r="D967">
        <v>234.33818199999999</v>
      </c>
      <c r="E967">
        <f t="shared" si="82"/>
        <v>42</v>
      </c>
      <c r="F967" t="str">
        <f t="shared" si="83"/>
        <v/>
      </c>
    </row>
    <row r="968" spans="1:6" x14ac:dyDescent="0.2">
      <c r="A968" t="s">
        <v>1083</v>
      </c>
      <c r="B968">
        <v>33000.936087000002</v>
      </c>
      <c r="C968">
        <v>-230.89955699999999</v>
      </c>
      <c r="D968">
        <v>149.98411300000001</v>
      </c>
      <c r="E968">
        <f t="shared" si="82"/>
        <v>43</v>
      </c>
      <c r="F968" t="str">
        <f t="shared" si="83"/>
        <v/>
      </c>
    </row>
    <row r="969" spans="1:6" x14ac:dyDescent="0.2">
      <c r="A969" t="s">
        <v>1154</v>
      </c>
      <c r="E969">
        <f t="shared" si="82"/>
        <v>44</v>
      </c>
      <c r="F969" t="str">
        <f t="shared" si="83"/>
        <v/>
      </c>
    </row>
    <row r="970" spans="1:6" x14ac:dyDescent="0.2">
      <c r="A970" t="s">
        <v>1084</v>
      </c>
      <c r="B970">
        <v>32714.801499000001</v>
      </c>
      <c r="C970">
        <v>-229.56420399999999</v>
      </c>
      <c r="D970">
        <v>433.44328999999999</v>
      </c>
      <c r="E970">
        <f t="shared" si="82"/>
        <v>45</v>
      </c>
      <c r="F970" t="str">
        <f t="shared" si="83"/>
        <v/>
      </c>
    </row>
    <row r="971" spans="1:6" x14ac:dyDescent="0.2">
      <c r="A971" t="s">
        <v>1085</v>
      </c>
      <c r="B971">
        <v>32797.270729000003</v>
      </c>
      <c r="C971">
        <v>-228.52534399999999</v>
      </c>
      <c r="D971">
        <v>635.21598200000005</v>
      </c>
      <c r="E971">
        <f t="shared" si="82"/>
        <v>46</v>
      </c>
      <c r="F971" t="str">
        <f t="shared" si="83"/>
        <v/>
      </c>
    </row>
    <row r="972" spans="1:6" x14ac:dyDescent="0.2">
      <c r="A972" t="s">
        <v>1086</v>
      </c>
      <c r="B972">
        <v>32998.271088000001</v>
      </c>
      <c r="C972">
        <v>-228.05285499999999</v>
      </c>
      <c r="D972">
        <v>719.58194900000001</v>
      </c>
      <c r="E972">
        <f t="shared" si="82"/>
        <v>47</v>
      </c>
      <c r="F972" t="str">
        <f t="shared" si="83"/>
        <v/>
      </c>
    </row>
    <row r="973" spans="1:6" x14ac:dyDescent="0.2">
      <c r="A973" t="s">
        <v>1157</v>
      </c>
    </row>
    <row r="974" spans="1:6" x14ac:dyDescent="0.2">
      <c r="A974" t="s">
        <v>1087</v>
      </c>
      <c r="B974">
        <v>32857.882104999997</v>
      </c>
      <c r="C974">
        <v>-230.75303</v>
      </c>
      <c r="D974">
        <v>187.191283</v>
      </c>
      <c r="E974">
        <f t="shared" ref="E974:E1005" si="84">RIGHT(A974,LEN(A974)-FIND("_",A974,FIND("_",A974)+1))*1</f>
        <v>1</v>
      </c>
      <c r="F974" t="str">
        <f>IF(E974&lt;&gt;1+E972,"err","")</f>
        <v>err</v>
      </c>
    </row>
    <row r="975" spans="1:6" x14ac:dyDescent="0.2">
      <c r="A975" t="s">
        <v>1088</v>
      </c>
      <c r="B975">
        <v>32857.871757000001</v>
      </c>
      <c r="C975">
        <v>-184.344402</v>
      </c>
      <c r="D975">
        <v>150.70298700000001</v>
      </c>
      <c r="E975">
        <f t="shared" si="84"/>
        <v>2</v>
      </c>
      <c r="F975" t="str">
        <f t="shared" ref="F975:F1006" si="85">IF(E975&lt;&gt;1+E974,"err","")</f>
        <v/>
      </c>
    </row>
    <row r="976" spans="1:6" x14ac:dyDescent="0.2">
      <c r="A976" t="s">
        <v>1089</v>
      </c>
      <c r="B976">
        <v>32857.905318999998</v>
      </c>
      <c r="C976">
        <v>-132.30247199999999</v>
      </c>
      <c r="D976">
        <v>122.820776</v>
      </c>
      <c r="E976">
        <f t="shared" si="84"/>
        <v>3</v>
      </c>
      <c r="F976" t="str">
        <f t="shared" si="85"/>
        <v/>
      </c>
    </row>
    <row r="977" spans="1:6" x14ac:dyDescent="0.2">
      <c r="A977" t="s">
        <v>1090</v>
      </c>
      <c r="B977">
        <v>32857.889326999997</v>
      </c>
      <c r="C977">
        <v>-76.181906999999995</v>
      </c>
      <c r="D977">
        <v>104.412541</v>
      </c>
      <c r="E977">
        <f t="shared" si="84"/>
        <v>4</v>
      </c>
      <c r="F977" t="str">
        <f t="shared" si="85"/>
        <v/>
      </c>
    </row>
    <row r="978" spans="1:6" x14ac:dyDescent="0.2">
      <c r="A978" t="s">
        <v>1091</v>
      </c>
      <c r="B978">
        <v>32857.899699000001</v>
      </c>
      <c r="C978">
        <v>-17.770271999999999</v>
      </c>
      <c r="D978">
        <v>96.044055</v>
      </c>
      <c r="E978">
        <f t="shared" si="84"/>
        <v>5</v>
      </c>
      <c r="F978" t="str">
        <f t="shared" si="85"/>
        <v/>
      </c>
    </row>
    <row r="979" spans="1:6" x14ac:dyDescent="0.2">
      <c r="A979" t="s">
        <v>1092</v>
      </c>
      <c r="B979">
        <v>32857.927459999999</v>
      </c>
      <c r="C979">
        <v>41.210076999999998</v>
      </c>
      <c r="D979">
        <v>97.935400999999999</v>
      </c>
      <c r="E979">
        <f t="shared" si="84"/>
        <v>6</v>
      </c>
      <c r="F979" t="str">
        <f t="shared" si="85"/>
        <v/>
      </c>
    </row>
    <row r="980" spans="1:6" x14ac:dyDescent="0.2">
      <c r="A980" t="s">
        <v>1093</v>
      </c>
      <c r="B980">
        <v>32857.909138000003</v>
      </c>
      <c r="C980">
        <v>98.987212999999997</v>
      </c>
      <c r="D980">
        <v>110.05871500000001</v>
      </c>
      <c r="E980">
        <f t="shared" si="84"/>
        <v>7</v>
      </c>
      <c r="F980" t="str">
        <f t="shared" si="85"/>
        <v/>
      </c>
    </row>
    <row r="981" spans="1:6" x14ac:dyDescent="0.2">
      <c r="A981" t="s">
        <v>1094</v>
      </c>
      <c r="B981">
        <v>32857.914908999999</v>
      </c>
      <c r="C981">
        <v>153.75280000000001</v>
      </c>
      <c r="D981">
        <v>132.010345</v>
      </c>
      <c r="E981">
        <f t="shared" si="84"/>
        <v>8</v>
      </c>
      <c r="F981" t="str">
        <f t="shared" si="85"/>
        <v/>
      </c>
    </row>
    <row r="982" spans="1:6" x14ac:dyDescent="0.2">
      <c r="A982" t="s">
        <v>1095</v>
      </c>
      <c r="B982">
        <v>32819.899268000001</v>
      </c>
      <c r="C982">
        <v>-271.61117300000001</v>
      </c>
      <c r="D982">
        <v>187.357281</v>
      </c>
      <c r="E982">
        <f t="shared" si="84"/>
        <v>12</v>
      </c>
      <c r="F982" t="str">
        <f t="shared" si="85"/>
        <v>err</v>
      </c>
    </row>
    <row r="983" spans="1:6" x14ac:dyDescent="0.2">
      <c r="A983" t="s">
        <v>1096</v>
      </c>
      <c r="B983">
        <v>32830.569115999999</v>
      </c>
      <c r="C983">
        <v>-257.91975600000001</v>
      </c>
      <c r="D983">
        <v>187.28790900000001</v>
      </c>
      <c r="E983">
        <f t="shared" si="84"/>
        <v>13</v>
      </c>
      <c r="F983" t="str">
        <f t="shared" si="85"/>
        <v/>
      </c>
    </row>
    <row r="984" spans="1:6" x14ac:dyDescent="0.2">
      <c r="A984" t="s">
        <v>1097</v>
      </c>
      <c r="B984">
        <v>32843.642004000001</v>
      </c>
      <c r="C984">
        <v>-243.75476699999999</v>
      </c>
      <c r="D984">
        <v>187.237909</v>
      </c>
      <c r="E984">
        <f t="shared" si="84"/>
        <v>14</v>
      </c>
      <c r="F984" t="str">
        <f t="shared" si="85"/>
        <v/>
      </c>
    </row>
    <row r="985" spans="1:6" x14ac:dyDescent="0.2">
      <c r="A985" t="s">
        <v>1098</v>
      </c>
      <c r="B985">
        <v>32857.878003999998</v>
      </c>
      <c r="C985">
        <v>-230.752105</v>
      </c>
      <c r="D985">
        <v>187.19422</v>
      </c>
      <c r="E985">
        <f t="shared" si="84"/>
        <v>15</v>
      </c>
      <c r="F985" t="str">
        <f t="shared" si="85"/>
        <v/>
      </c>
    </row>
    <row r="986" spans="1:6" x14ac:dyDescent="0.2">
      <c r="A986" t="s">
        <v>1099</v>
      </c>
      <c r="B986">
        <v>32873.166905999999</v>
      </c>
      <c r="C986">
        <v>-219.04777799999999</v>
      </c>
      <c r="D986">
        <v>187.15238099999999</v>
      </c>
      <c r="E986">
        <f t="shared" si="84"/>
        <v>16</v>
      </c>
      <c r="F986" t="str">
        <f t="shared" si="85"/>
        <v/>
      </c>
    </row>
    <row r="987" spans="1:6" x14ac:dyDescent="0.2">
      <c r="A987" t="s">
        <v>1100</v>
      </c>
      <c r="B987">
        <v>32889.467776999998</v>
      </c>
      <c r="C987">
        <v>-208.710669</v>
      </c>
      <c r="D987">
        <v>187.11820900000001</v>
      </c>
      <c r="E987">
        <f t="shared" si="84"/>
        <v>17</v>
      </c>
      <c r="F987" t="str">
        <f t="shared" si="85"/>
        <v/>
      </c>
    </row>
    <row r="988" spans="1:6" x14ac:dyDescent="0.2">
      <c r="A988" t="s">
        <v>1101</v>
      </c>
      <c r="B988">
        <v>32904.849909999997</v>
      </c>
      <c r="C988">
        <v>-200.65124499999999</v>
      </c>
      <c r="D988">
        <v>187.12458599999999</v>
      </c>
      <c r="E988">
        <f t="shared" si="84"/>
        <v>18</v>
      </c>
      <c r="F988" t="str">
        <f t="shared" si="85"/>
        <v/>
      </c>
    </row>
    <row r="989" spans="1:6" x14ac:dyDescent="0.2">
      <c r="A989" t="s">
        <v>1102</v>
      </c>
      <c r="B989">
        <v>32819.90307</v>
      </c>
      <c r="C989">
        <v>-49.185982000000003</v>
      </c>
      <c r="D989">
        <v>69.880449999999996</v>
      </c>
      <c r="E989">
        <f t="shared" si="84"/>
        <v>19</v>
      </c>
      <c r="F989" t="str">
        <f t="shared" si="85"/>
        <v/>
      </c>
    </row>
    <row r="990" spans="1:6" x14ac:dyDescent="0.2">
      <c r="A990" t="s">
        <v>1103</v>
      </c>
      <c r="B990">
        <v>32830.578124</v>
      </c>
      <c r="C990">
        <v>-38.642651999999998</v>
      </c>
      <c r="D990">
        <v>78.633669999999995</v>
      </c>
      <c r="E990">
        <f t="shared" si="84"/>
        <v>20</v>
      </c>
      <c r="F990" t="str">
        <f t="shared" si="85"/>
        <v/>
      </c>
    </row>
    <row r="991" spans="1:6" x14ac:dyDescent="0.2">
      <c r="A991" t="s">
        <v>1104</v>
      </c>
      <c r="B991">
        <v>32843.662386999997</v>
      </c>
      <c r="C991">
        <v>-27.764247000000001</v>
      </c>
      <c r="D991">
        <v>87.711596</v>
      </c>
      <c r="E991">
        <f t="shared" si="84"/>
        <v>21</v>
      </c>
      <c r="F991" t="str">
        <f t="shared" si="85"/>
        <v/>
      </c>
    </row>
    <row r="992" spans="1:6" x14ac:dyDescent="0.2">
      <c r="A992" t="s">
        <v>1105</v>
      </c>
      <c r="B992">
        <v>32857.905463000003</v>
      </c>
      <c r="C992">
        <v>-17.772745</v>
      </c>
      <c r="D992">
        <v>96.045012</v>
      </c>
      <c r="E992">
        <f t="shared" si="84"/>
        <v>22</v>
      </c>
      <c r="F992" t="str">
        <f t="shared" si="85"/>
        <v/>
      </c>
    </row>
    <row r="993" spans="1:6" x14ac:dyDescent="0.2">
      <c r="A993" t="s">
        <v>1106</v>
      </c>
      <c r="B993">
        <v>32873.208774999999</v>
      </c>
      <c r="C993">
        <v>-8.7835979999999996</v>
      </c>
      <c r="D993">
        <v>103.52951299999999</v>
      </c>
      <c r="E993">
        <f t="shared" si="84"/>
        <v>23</v>
      </c>
      <c r="F993" t="str">
        <f t="shared" si="85"/>
        <v/>
      </c>
    </row>
    <row r="994" spans="1:6" x14ac:dyDescent="0.2">
      <c r="A994" t="s">
        <v>1107</v>
      </c>
      <c r="B994">
        <v>32889.512918</v>
      </c>
      <c r="C994">
        <v>-0.85011400000000004</v>
      </c>
      <c r="D994">
        <v>110.147357</v>
      </c>
      <c r="E994">
        <f t="shared" si="84"/>
        <v>24</v>
      </c>
      <c r="F994" t="str">
        <f t="shared" si="85"/>
        <v/>
      </c>
    </row>
    <row r="995" spans="1:6" x14ac:dyDescent="0.2">
      <c r="A995" t="s">
        <v>1108</v>
      </c>
      <c r="B995">
        <v>32904.893107000004</v>
      </c>
      <c r="C995">
        <v>5.3144729999999996</v>
      </c>
      <c r="D995">
        <v>115.322582</v>
      </c>
      <c r="E995">
        <f t="shared" si="84"/>
        <v>25</v>
      </c>
      <c r="F995" t="str">
        <f t="shared" si="85"/>
        <v/>
      </c>
    </row>
    <row r="996" spans="1:6" x14ac:dyDescent="0.2">
      <c r="A996" t="s">
        <v>1110</v>
      </c>
      <c r="B996">
        <v>32857.880445000003</v>
      </c>
      <c r="C996">
        <v>-230.72868600000001</v>
      </c>
      <c r="D996">
        <v>187.188298</v>
      </c>
      <c r="E996">
        <f t="shared" si="84"/>
        <v>41</v>
      </c>
      <c r="F996" t="str">
        <f t="shared" si="85"/>
        <v>err</v>
      </c>
    </row>
    <row r="997" spans="1:6" x14ac:dyDescent="0.2">
      <c r="A997" t="s">
        <v>1111</v>
      </c>
      <c r="B997">
        <v>32724.328996</v>
      </c>
      <c r="C997">
        <v>-229.92449400000001</v>
      </c>
      <c r="D997">
        <v>359.91984000000002</v>
      </c>
      <c r="E997">
        <f t="shared" si="84"/>
        <v>42</v>
      </c>
      <c r="F997" t="str">
        <f t="shared" si="85"/>
        <v/>
      </c>
    </row>
    <row r="998" spans="1:6" x14ac:dyDescent="0.2">
      <c r="A998" t="s">
        <v>1112</v>
      </c>
      <c r="B998">
        <v>32752.036545999999</v>
      </c>
      <c r="C998">
        <v>-228.83127999999999</v>
      </c>
      <c r="D998">
        <v>576.50054299999999</v>
      </c>
      <c r="E998">
        <f t="shared" si="84"/>
        <v>43</v>
      </c>
      <c r="F998" t="str">
        <f t="shared" si="85"/>
        <v/>
      </c>
    </row>
    <row r="999" spans="1:6" x14ac:dyDescent="0.2">
      <c r="A999" t="s">
        <v>1113</v>
      </c>
      <c r="B999">
        <v>32924.756535</v>
      </c>
      <c r="C999">
        <v>-228.11087499999999</v>
      </c>
      <c r="D999">
        <v>710.04831200000001</v>
      </c>
      <c r="E999">
        <f t="shared" si="84"/>
        <v>44</v>
      </c>
      <c r="F999" t="str">
        <f t="shared" si="85"/>
        <v/>
      </c>
    </row>
    <row r="1000" spans="1:6" x14ac:dyDescent="0.2">
      <c r="A1000" t="s">
        <v>1114</v>
      </c>
      <c r="B1000">
        <v>33141.327799999999</v>
      </c>
      <c r="C1000">
        <v>-228.18224000000001</v>
      </c>
      <c r="D1000">
        <v>682.35806500000001</v>
      </c>
      <c r="E1000">
        <f t="shared" si="84"/>
        <v>45</v>
      </c>
      <c r="F1000" t="str">
        <f t="shared" si="85"/>
        <v/>
      </c>
    </row>
    <row r="1001" spans="1:6" x14ac:dyDescent="0.2">
      <c r="A1001" t="s">
        <v>1115</v>
      </c>
      <c r="B1001">
        <v>33274.895388999998</v>
      </c>
      <c r="C1001">
        <v>-229.023403</v>
      </c>
      <c r="D1001">
        <v>509.64112799999998</v>
      </c>
      <c r="E1001">
        <f t="shared" si="84"/>
        <v>46</v>
      </c>
      <c r="F1001" t="str">
        <f t="shared" si="85"/>
        <v/>
      </c>
    </row>
    <row r="1002" spans="1:6" x14ac:dyDescent="0.2">
      <c r="A1002" t="s">
        <v>1116</v>
      </c>
      <c r="B1002">
        <v>33247.194782999999</v>
      </c>
      <c r="C1002">
        <v>-230.11182099999999</v>
      </c>
      <c r="D1002">
        <v>293.05313899999999</v>
      </c>
      <c r="E1002">
        <f t="shared" si="84"/>
        <v>47</v>
      </c>
      <c r="F1002" t="str">
        <f t="shared" si="85"/>
        <v/>
      </c>
    </row>
    <row r="1003" spans="1:6" x14ac:dyDescent="0.2">
      <c r="A1003" t="s">
        <v>1117</v>
      </c>
      <c r="B1003">
        <v>33074.472545999997</v>
      </c>
      <c r="C1003">
        <v>-230.83510999999999</v>
      </c>
      <c r="D1003">
        <v>159.498999</v>
      </c>
      <c r="E1003">
        <f t="shared" si="84"/>
        <v>48</v>
      </c>
      <c r="F1003" t="str">
        <f t="shared" si="85"/>
        <v/>
      </c>
    </row>
    <row r="1004" spans="1:6" x14ac:dyDescent="0.2">
      <c r="A1004" t="s">
        <v>1118</v>
      </c>
      <c r="B1004">
        <v>32855.772065999998</v>
      </c>
      <c r="C1004">
        <v>-228.33217500000001</v>
      </c>
      <c r="D1004">
        <v>680.91486499999996</v>
      </c>
      <c r="E1004">
        <f t="shared" si="84"/>
        <v>1</v>
      </c>
      <c r="F1004" t="str">
        <f t="shared" si="85"/>
        <v>err</v>
      </c>
    </row>
    <row r="1005" spans="1:6" x14ac:dyDescent="0.2">
      <c r="A1005" t="s">
        <v>1119</v>
      </c>
      <c r="B1005">
        <v>32855.753746000002</v>
      </c>
      <c r="C1005">
        <v>-267.68049400000001</v>
      </c>
      <c r="D1005">
        <v>637.35992299999998</v>
      </c>
      <c r="E1005">
        <f t="shared" si="84"/>
        <v>2</v>
      </c>
      <c r="F1005" t="str">
        <f t="shared" si="85"/>
        <v/>
      </c>
    </row>
    <row r="1006" spans="1:6" x14ac:dyDescent="0.2">
      <c r="A1006" t="s">
        <v>1120</v>
      </c>
      <c r="B1006">
        <v>32855.722956999998</v>
      </c>
      <c r="C1006">
        <v>-298.82141899999999</v>
      </c>
      <c r="D1006">
        <v>587.55968800000005</v>
      </c>
      <c r="E1006">
        <f t="shared" ref="E1006:E1033" si="86">RIGHT(A1006,LEN(A1006)-FIND("_",A1006,FIND("_",A1006)+1))*1</f>
        <v>3</v>
      </c>
      <c r="F1006" t="str">
        <f t="shared" si="85"/>
        <v/>
      </c>
    </row>
    <row r="1007" spans="1:6" x14ac:dyDescent="0.2">
      <c r="A1007" t="s">
        <v>1121</v>
      </c>
      <c r="B1007">
        <v>32855.771878</v>
      </c>
      <c r="C1007">
        <v>-320.98499600000002</v>
      </c>
      <c r="D1007">
        <v>533.20253400000001</v>
      </c>
      <c r="E1007">
        <f t="shared" si="86"/>
        <v>4</v>
      </c>
      <c r="F1007" t="str">
        <f t="shared" ref="F1007:F1033" si="87">IF(E1007&lt;&gt;1+E1006,"err","")</f>
        <v/>
      </c>
    </row>
    <row r="1008" spans="1:6" x14ac:dyDescent="0.2">
      <c r="A1008" t="s">
        <v>1122</v>
      </c>
      <c r="B1008">
        <v>32855.781448000002</v>
      </c>
      <c r="C1008">
        <v>-333.30589800000001</v>
      </c>
      <c r="D1008">
        <v>475.79740399999997</v>
      </c>
      <c r="E1008">
        <f t="shared" si="86"/>
        <v>5</v>
      </c>
      <c r="F1008" t="str">
        <f t="shared" si="87"/>
        <v/>
      </c>
    </row>
    <row r="1009" spans="1:6" x14ac:dyDescent="0.2">
      <c r="A1009" t="s">
        <v>1123</v>
      </c>
      <c r="B1009">
        <v>32855.783869999999</v>
      </c>
      <c r="C1009">
        <v>-335.47281700000002</v>
      </c>
      <c r="D1009">
        <v>417.12068299999999</v>
      </c>
      <c r="E1009">
        <f t="shared" si="86"/>
        <v>6</v>
      </c>
      <c r="F1009" t="str">
        <f t="shared" si="87"/>
        <v/>
      </c>
    </row>
    <row r="1010" spans="1:6" x14ac:dyDescent="0.2">
      <c r="A1010" t="s">
        <v>1124</v>
      </c>
      <c r="B1010">
        <v>32855.806778999999</v>
      </c>
      <c r="C1010">
        <v>-327.46014400000001</v>
      </c>
      <c r="D1010">
        <v>358.91627299999999</v>
      </c>
      <c r="E1010">
        <f t="shared" si="86"/>
        <v>7</v>
      </c>
      <c r="F1010" t="str">
        <f t="shared" si="87"/>
        <v/>
      </c>
    </row>
    <row r="1011" spans="1:6" x14ac:dyDescent="0.2">
      <c r="A1011" t="s">
        <v>1125</v>
      </c>
      <c r="B1011">
        <v>32855.808378000002</v>
      </c>
      <c r="C1011">
        <v>-309.44572099999999</v>
      </c>
      <c r="D1011">
        <v>303.01073400000001</v>
      </c>
      <c r="E1011">
        <f t="shared" si="86"/>
        <v>8</v>
      </c>
      <c r="F1011" t="str">
        <f t="shared" si="87"/>
        <v/>
      </c>
    </row>
    <row r="1012" spans="1:6" x14ac:dyDescent="0.2">
      <c r="A1012" t="s">
        <v>1126</v>
      </c>
      <c r="B1012">
        <v>32817.950730999997</v>
      </c>
      <c r="C1012">
        <v>-269.75621899999999</v>
      </c>
      <c r="D1012">
        <v>681.104063</v>
      </c>
      <c r="E1012">
        <f t="shared" si="86"/>
        <v>12</v>
      </c>
      <c r="F1012" t="str">
        <f t="shared" si="87"/>
        <v>err</v>
      </c>
    </row>
    <row r="1013" spans="1:6" x14ac:dyDescent="0.2">
      <c r="A1013" t="s">
        <v>1127</v>
      </c>
      <c r="B1013">
        <v>32828.548406000002</v>
      </c>
      <c r="C1013">
        <v>-255.897796</v>
      </c>
      <c r="D1013">
        <v>681.03525500000001</v>
      </c>
      <c r="E1013">
        <f t="shared" si="86"/>
        <v>13</v>
      </c>
      <c r="F1013" t="str">
        <f t="shared" si="87"/>
        <v/>
      </c>
    </row>
    <row r="1014" spans="1:6" x14ac:dyDescent="0.2">
      <c r="A1014" t="s">
        <v>1128</v>
      </c>
      <c r="B1014">
        <v>32841.566908000001</v>
      </c>
      <c r="C1014">
        <v>-241.53037499999999</v>
      </c>
      <c r="D1014">
        <v>680.98169800000005</v>
      </c>
      <c r="E1014">
        <f t="shared" si="86"/>
        <v>14</v>
      </c>
      <c r="F1014" t="str">
        <f t="shared" si="87"/>
        <v/>
      </c>
    </row>
    <row r="1015" spans="1:6" x14ac:dyDescent="0.2">
      <c r="A1015" t="s">
        <v>1129</v>
      </c>
      <c r="B1015">
        <v>32855.769031999997</v>
      </c>
      <c r="C1015">
        <v>-228.33560900000001</v>
      </c>
      <c r="D1015">
        <v>680.92899899999998</v>
      </c>
      <c r="E1015">
        <f t="shared" si="86"/>
        <v>15</v>
      </c>
      <c r="F1015" t="str">
        <f t="shared" si="87"/>
        <v/>
      </c>
    </row>
    <row r="1016" spans="1:6" x14ac:dyDescent="0.2">
      <c r="A1016" t="s">
        <v>1130</v>
      </c>
      <c r="B1016">
        <v>32871.047408999999</v>
      </c>
      <c r="C1016">
        <v>-216.45914200000001</v>
      </c>
      <c r="D1016">
        <v>680.88849200000004</v>
      </c>
      <c r="E1016">
        <f t="shared" si="86"/>
        <v>16</v>
      </c>
      <c r="F1016" t="str">
        <f t="shared" si="87"/>
        <v/>
      </c>
    </row>
    <row r="1017" spans="1:6" x14ac:dyDescent="0.2">
      <c r="A1017" t="s">
        <v>1131</v>
      </c>
      <c r="B1017">
        <v>32887.328403</v>
      </c>
      <c r="C1017">
        <v>-205.92620500000001</v>
      </c>
      <c r="D1017">
        <v>680.85339499999998</v>
      </c>
      <c r="E1017">
        <f t="shared" si="86"/>
        <v>17</v>
      </c>
      <c r="F1017" t="str">
        <f t="shared" si="87"/>
        <v/>
      </c>
    </row>
    <row r="1018" spans="1:6" x14ac:dyDescent="0.2">
      <c r="A1018" t="s">
        <v>1132</v>
      </c>
      <c r="B1018">
        <v>32902.716869000003</v>
      </c>
      <c r="C1018">
        <v>-197.713325</v>
      </c>
      <c r="D1018">
        <v>680.86022600000001</v>
      </c>
      <c r="E1018">
        <f t="shared" si="86"/>
        <v>18</v>
      </c>
      <c r="F1018" t="str">
        <f t="shared" si="87"/>
        <v/>
      </c>
    </row>
    <row r="1019" spans="1:6" x14ac:dyDescent="0.2">
      <c r="A1019" t="s">
        <v>1133</v>
      </c>
      <c r="B1019">
        <v>32817.919833</v>
      </c>
      <c r="C1019">
        <v>-365.15374500000001</v>
      </c>
      <c r="D1019">
        <v>449.28790800000002</v>
      </c>
      <c r="E1019">
        <f t="shared" si="86"/>
        <v>19</v>
      </c>
      <c r="F1019" t="str">
        <f t="shared" si="87"/>
        <v/>
      </c>
    </row>
    <row r="1020" spans="1:6" x14ac:dyDescent="0.2">
      <c r="A1020" t="s">
        <v>1134</v>
      </c>
      <c r="B1020">
        <v>32828.532015999997</v>
      </c>
      <c r="C1020">
        <v>-354.47257500000001</v>
      </c>
      <c r="D1020">
        <v>458.13741700000003</v>
      </c>
      <c r="E1020">
        <f t="shared" si="86"/>
        <v>20</v>
      </c>
      <c r="F1020" t="str">
        <f t="shared" si="87"/>
        <v/>
      </c>
    </row>
    <row r="1021" spans="1:6" x14ac:dyDescent="0.2">
      <c r="A1021" t="s">
        <v>1135</v>
      </c>
      <c r="B1021">
        <v>32841.565886999997</v>
      </c>
      <c r="C1021">
        <v>-343.45645500000001</v>
      </c>
      <c r="D1021">
        <v>467.348006</v>
      </c>
      <c r="E1021">
        <f t="shared" si="86"/>
        <v>21</v>
      </c>
      <c r="F1021" t="str">
        <f t="shared" si="87"/>
        <v/>
      </c>
    </row>
    <row r="1022" spans="1:6" x14ac:dyDescent="0.2">
      <c r="A1022" t="s">
        <v>1136</v>
      </c>
      <c r="B1022">
        <v>32855.774494999998</v>
      </c>
      <c r="C1022">
        <v>-333.31459699999999</v>
      </c>
      <c r="D1022">
        <v>475.80026700000002</v>
      </c>
      <c r="E1022">
        <f t="shared" si="86"/>
        <v>22</v>
      </c>
      <c r="F1022" t="str">
        <f t="shared" si="87"/>
        <v/>
      </c>
    </row>
    <row r="1023" spans="1:6" x14ac:dyDescent="0.2">
      <c r="A1023" t="s">
        <v>1137</v>
      </c>
      <c r="B1023">
        <v>32871.070123999998</v>
      </c>
      <c r="C1023">
        <v>-324.16768300000001</v>
      </c>
      <c r="D1023">
        <v>483.40513399999998</v>
      </c>
      <c r="E1023">
        <f t="shared" si="86"/>
        <v>23</v>
      </c>
      <c r="F1023" t="str">
        <f t="shared" si="87"/>
        <v/>
      </c>
    </row>
    <row r="1024" spans="1:6" x14ac:dyDescent="0.2">
      <c r="A1024" t="s">
        <v>1138</v>
      </c>
      <c r="B1024">
        <v>32887.381804999997</v>
      </c>
      <c r="C1024">
        <v>-316.11021199999999</v>
      </c>
      <c r="D1024">
        <v>490.14112699999998</v>
      </c>
      <c r="E1024">
        <f t="shared" si="86"/>
        <v>24</v>
      </c>
      <c r="F1024" t="str">
        <f t="shared" si="87"/>
        <v/>
      </c>
    </row>
    <row r="1025" spans="1:6" x14ac:dyDescent="0.2">
      <c r="A1025" t="s">
        <v>1139</v>
      </c>
      <c r="B1025">
        <v>32902.781204999999</v>
      </c>
      <c r="C1025">
        <v>-309.81449500000002</v>
      </c>
      <c r="D1025">
        <v>495.42796399999997</v>
      </c>
      <c r="E1025">
        <f t="shared" si="86"/>
        <v>25</v>
      </c>
      <c r="F1025" t="str">
        <f t="shared" si="87"/>
        <v/>
      </c>
    </row>
    <row r="1026" spans="1:6" x14ac:dyDescent="0.2">
      <c r="A1026" t="s">
        <v>1140</v>
      </c>
      <c r="B1026">
        <v>32855.760381</v>
      </c>
      <c r="C1026">
        <v>-228.33763500000001</v>
      </c>
      <c r="D1026">
        <v>680.92312400000003</v>
      </c>
      <c r="E1026">
        <f t="shared" si="86"/>
        <v>41</v>
      </c>
      <c r="F1026" t="str">
        <f t="shared" si="87"/>
        <v>err</v>
      </c>
    </row>
    <row r="1027" spans="1:6" x14ac:dyDescent="0.2">
      <c r="A1027" t="s">
        <v>1141</v>
      </c>
      <c r="B1027">
        <v>33071.946859000003</v>
      </c>
      <c r="C1027">
        <v>-228.110096</v>
      </c>
      <c r="D1027">
        <v>710.55504599999995</v>
      </c>
      <c r="E1027">
        <f t="shared" si="86"/>
        <v>42</v>
      </c>
      <c r="F1027" t="str">
        <f t="shared" si="87"/>
        <v/>
      </c>
    </row>
    <row r="1028" spans="1:6" x14ac:dyDescent="0.2">
      <c r="A1028" t="s">
        <v>1142</v>
      </c>
      <c r="B1028">
        <v>33245.772113999999</v>
      </c>
      <c r="C1028">
        <v>-228.73613800000001</v>
      </c>
      <c r="D1028">
        <v>578.62857199999996</v>
      </c>
      <c r="E1028">
        <f t="shared" si="86"/>
        <v>43</v>
      </c>
      <c r="F1028" t="str">
        <f t="shared" si="87"/>
        <v/>
      </c>
    </row>
    <row r="1029" spans="1:6" x14ac:dyDescent="0.2">
      <c r="A1029" t="s">
        <v>1143</v>
      </c>
      <c r="B1029">
        <v>33275.381789999999</v>
      </c>
      <c r="C1029">
        <v>-229.80239900000001</v>
      </c>
      <c r="D1029">
        <v>362.44804900000003</v>
      </c>
      <c r="E1029">
        <f t="shared" si="86"/>
        <v>44</v>
      </c>
      <c r="F1029" t="str">
        <f t="shared" si="87"/>
        <v/>
      </c>
    </row>
    <row r="1030" spans="1:6" x14ac:dyDescent="0.2">
      <c r="A1030" t="s">
        <v>1144</v>
      </c>
      <c r="B1030">
        <v>33143.468865000003</v>
      </c>
      <c r="C1030">
        <v>-230.725178</v>
      </c>
      <c r="D1030">
        <v>188.647209</v>
      </c>
      <c r="E1030">
        <f t="shared" si="86"/>
        <v>45</v>
      </c>
      <c r="F1030" t="str">
        <f t="shared" si="87"/>
        <v/>
      </c>
    </row>
    <row r="1031" spans="1:6" x14ac:dyDescent="0.2">
      <c r="A1031" t="s">
        <v>1145</v>
      </c>
      <c r="B1031">
        <v>32927.281226999999</v>
      </c>
      <c r="C1031">
        <v>-230.92163500000001</v>
      </c>
      <c r="D1031">
        <v>159.01406299999999</v>
      </c>
      <c r="E1031">
        <f t="shared" si="86"/>
        <v>46</v>
      </c>
      <c r="F1031" t="str">
        <f t="shared" si="87"/>
        <v/>
      </c>
    </row>
    <row r="1032" spans="1:6" x14ac:dyDescent="0.2">
      <c r="A1032" t="s">
        <v>1146</v>
      </c>
      <c r="B1032">
        <v>32753.455744999999</v>
      </c>
      <c r="C1032">
        <v>-230.31650300000001</v>
      </c>
      <c r="D1032">
        <v>290.93085400000001</v>
      </c>
      <c r="E1032">
        <f t="shared" si="86"/>
        <v>47</v>
      </c>
      <c r="F1032" t="str">
        <f t="shared" si="87"/>
        <v/>
      </c>
    </row>
    <row r="1033" spans="1:6" x14ac:dyDescent="0.2">
      <c r="A1033" t="s">
        <v>1147</v>
      </c>
      <c r="B1033">
        <v>32723.840507000001</v>
      </c>
      <c r="C1033">
        <v>-229.24628000000001</v>
      </c>
      <c r="D1033">
        <v>507.12141800000001</v>
      </c>
      <c r="E1033">
        <f t="shared" si="86"/>
        <v>48</v>
      </c>
      <c r="F1033" t="str">
        <f t="shared" si="87"/>
        <v/>
      </c>
    </row>
  </sheetData>
  <autoFilter ref="A2:G2"/>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tint="0.499984740745262"/>
  </sheetPr>
  <dimension ref="A3:BD103"/>
  <sheetViews>
    <sheetView topLeftCell="A22" zoomScale="70" zoomScaleNormal="70" workbookViewId="0">
      <selection activeCell="C60" sqref="C60"/>
    </sheetView>
  </sheetViews>
  <sheetFormatPr defaultColWidth="9.140625" defaultRowHeight="12.75" x14ac:dyDescent="0.2"/>
  <cols>
    <col min="1" max="16384" width="9.140625" style="87"/>
  </cols>
  <sheetData>
    <row r="3" spans="56:56" x14ac:dyDescent="0.2">
      <c r="BD3" s="87" t="s">
        <v>52</v>
      </c>
    </row>
    <row r="53" spans="1:34" x14ac:dyDescent="0.2">
      <c r="A53" s="87" t="s">
        <v>44</v>
      </c>
    </row>
    <row r="56" spans="1:34" x14ac:dyDescent="0.2">
      <c r="AF56" s="163">
        <v>0</v>
      </c>
      <c r="AG56" s="163"/>
    </row>
    <row r="57" spans="1:34" x14ac:dyDescent="0.2">
      <c r="AF57" s="87" t="s">
        <v>115</v>
      </c>
      <c r="AG57" s="87" t="s">
        <v>116</v>
      </c>
      <c r="AH57" s="87" t="s">
        <v>117</v>
      </c>
    </row>
    <row r="58" spans="1:34" x14ac:dyDescent="0.2">
      <c r="F58" s="88" t="s">
        <v>17</v>
      </c>
      <c r="G58" s="89">
        <v>0.05</v>
      </c>
      <c r="U58" s="90" t="s">
        <v>98</v>
      </c>
      <c r="V58" s="91"/>
      <c r="W58" s="92">
        <v>1</v>
      </c>
      <c r="AA58" s="87" t="s">
        <v>109</v>
      </c>
      <c r="AF58" s="87">
        <v>-32.189500000000002</v>
      </c>
      <c r="AG58" s="87">
        <v>-32.037100000000002</v>
      </c>
      <c r="AH58" s="93">
        <f>ABS(AF58-AG58)/25.4</f>
        <v>6.0000000000000036E-3</v>
      </c>
    </row>
    <row r="59" spans="1:34" x14ac:dyDescent="0.2">
      <c r="F59" s="88" t="s">
        <v>50</v>
      </c>
      <c r="G59" s="94" t="s">
        <v>49</v>
      </c>
      <c r="U59" s="95" t="s">
        <v>99</v>
      </c>
      <c r="V59" s="96"/>
      <c r="W59" s="97"/>
      <c r="AA59" s="87" t="s">
        <v>110</v>
      </c>
      <c r="AF59" s="87">
        <v>1.8599999999999998E-2</v>
      </c>
      <c r="AG59" s="87">
        <v>-7.17E-2</v>
      </c>
      <c r="AH59" s="93">
        <f t="shared" ref="AH59:AH60" si="0">ABS(AF59-AG59)/25.4</f>
        <v>3.5551181102362202E-3</v>
      </c>
    </row>
    <row r="60" spans="1:34" x14ac:dyDescent="0.2">
      <c r="AA60" s="87" t="s">
        <v>111</v>
      </c>
      <c r="AF60" s="87">
        <v>-790.86739999999998</v>
      </c>
      <c r="AG60" s="87">
        <v>-790.74969999999996</v>
      </c>
      <c r="AH60" s="93">
        <f t="shared" si="0"/>
        <v>4.6338582677170658E-3</v>
      </c>
    </row>
    <row r="61" spans="1:34" x14ac:dyDescent="0.2">
      <c r="E61" s="98"/>
      <c r="F61" s="99"/>
      <c r="G61" s="100"/>
      <c r="H61" s="157" t="s">
        <v>23</v>
      </c>
      <c r="I61" s="158"/>
      <c r="J61" s="158"/>
      <c r="K61" s="158"/>
      <c r="L61" s="158"/>
      <c r="M61" s="158"/>
      <c r="N61" s="158"/>
      <c r="O61" s="158"/>
      <c r="P61" s="158"/>
      <c r="Q61" s="158"/>
      <c r="R61" s="158"/>
      <c r="S61" s="159"/>
      <c r="U61" s="160" t="s">
        <v>88</v>
      </c>
      <c r="V61" s="161"/>
      <c r="W61" s="162"/>
      <c r="AH61" s="93">
        <f>SQRT(SUMSQ(AH58:AH60))</f>
        <v>8.3732614448026998E-3</v>
      </c>
    </row>
    <row r="62" spans="1:34" x14ac:dyDescent="0.2">
      <c r="E62" s="98"/>
      <c r="F62" s="101"/>
      <c r="G62" s="102"/>
      <c r="H62" s="145" t="s">
        <v>1165</v>
      </c>
      <c r="I62" s="146" t="s">
        <v>1166</v>
      </c>
      <c r="J62" s="146" t="s">
        <v>1167</v>
      </c>
      <c r="K62" s="146" t="s">
        <v>1168</v>
      </c>
      <c r="L62" s="146" t="s">
        <v>1169</v>
      </c>
      <c r="M62" s="146" t="s">
        <v>1170</v>
      </c>
      <c r="N62" s="103"/>
      <c r="O62" s="103"/>
      <c r="P62" s="103"/>
      <c r="Q62" s="103"/>
      <c r="R62" s="103"/>
      <c r="S62" s="104"/>
      <c r="U62" s="105" t="s">
        <v>87</v>
      </c>
      <c r="V62" s="105" t="s">
        <v>89</v>
      </c>
      <c r="W62" s="106" t="s">
        <v>90</v>
      </c>
      <c r="AA62" s="87" t="s">
        <v>112</v>
      </c>
    </row>
    <row r="63" spans="1:34" x14ac:dyDescent="0.2">
      <c r="E63" s="98"/>
      <c r="F63" s="154" t="s">
        <v>97</v>
      </c>
      <c r="G63" s="143" t="s">
        <v>1222</v>
      </c>
      <c r="H63" s="107"/>
      <c r="I63" s="107"/>
      <c r="J63" s="107"/>
      <c r="K63" s="107"/>
      <c r="L63" s="107"/>
      <c r="M63" s="107"/>
      <c r="N63" s="107"/>
      <c r="O63" s="107"/>
      <c r="P63" s="107"/>
      <c r="Q63" s="107"/>
      <c r="R63" s="107"/>
      <c r="S63" s="107"/>
      <c r="T63" s="108"/>
      <c r="U63" s="143" t="s">
        <v>1222</v>
      </c>
      <c r="AA63" s="87" t="s">
        <v>113</v>
      </c>
    </row>
    <row r="64" spans="1:34" x14ac:dyDescent="0.2">
      <c r="E64" s="98"/>
      <c r="F64" s="155"/>
      <c r="G64" s="144" t="s">
        <v>1223</v>
      </c>
      <c r="H64" s="107">
        <v>1</v>
      </c>
      <c r="I64" s="107">
        <v>1</v>
      </c>
      <c r="J64" s="107">
        <v>1</v>
      </c>
      <c r="K64" s="107">
        <v>1</v>
      </c>
      <c r="L64" s="107">
        <v>1</v>
      </c>
      <c r="M64" s="107">
        <v>1</v>
      </c>
      <c r="N64" s="107"/>
      <c r="O64" s="107"/>
      <c r="P64" s="107"/>
      <c r="Q64" s="107"/>
      <c r="R64" s="107"/>
      <c r="S64" s="107"/>
      <c r="T64" s="108"/>
      <c r="U64" s="144" t="s">
        <v>1223</v>
      </c>
      <c r="V64" s="87">
        <v>1</v>
      </c>
      <c r="AA64" s="87" t="s">
        <v>114</v>
      </c>
    </row>
    <row r="65" spans="5:22" x14ac:dyDescent="0.2">
      <c r="E65" s="98"/>
      <c r="F65" s="155"/>
      <c r="G65" s="144"/>
      <c r="H65" s="107"/>
      <c r="I65" s="107"/>
      <c r="J65" s="107"/>
      <c r="K65" s="107"/>
      <c r="L65" s="107"/>
      <c r="M65" s="107"/>
      <c r="N65" s="107"/>
      <c r="O65" s="107"/>
      <c r="P65" s="107"/>
      <c r="Q65" s="107"/>
      <c r="R65" s="107"/>
      <c r="S65" s="107"/>
      <c r="T65" s="108"/>
      <c r="U65" s="144"/>
    </row>
    <row r="66" spans="5:22" x14ac:dyDescent="0.2">
      <c r="E66" s="98"/>
      <c r="F66" s="155"/>
      <c r="G66" s="144"/>
      <c r="H66" s="111"/>
      <c r="I66" s="111"/>
      <c r="J66" s="111"/>
      <c r="K66" s="111"/>
      <c r="L66" s="111"/>
      <c r="M66" s="111"/>
      <c r="N66" s="111"/>
      <c r="O66" s="111"/>
      <c r="P66" s="111"/>
      <c r="Q66" s="111"/>
      <c r="R66" s="111"/>
      <c r="S66" s="107"/>
      <c r="T66" s="108"/>
      <c r="U66" s="144"/>
    </row>
    <row r="67" spans="5:22" x14ac:dyDescent="0.2">
      <c r="E67" s="98"/>
      <c r="F67" s="155"/>
      <c r="G67" s="144"/>
      <c r="H67" s="107"/>
      <c r="I67" s="107"/>
      <c r="J67" s="107"/>
      <c r="K67" s="107"/>
      <c r="L67" s="107"/>
      <c r="M67" s="107"/>
      <c r="N67" s="107"/>
      <c r="O67" s="107"/>
      <c r="P67" s="107"/>
      <c r="Q67" s="107"/>
      <c r="R67" s="107"/>
      <c r="S67" s="107"/>
      <c r="T67" s="108"/>
      <c r="U67" s="144"/>
    </row>
    <row r="68" spans="5:22" x14ac:dyDescent="0.2">
      <c r="E68" s="98"/>
      <c r="F68" s="155"/>
      <c r="G68" s="144"/>
      <c r="H68" s="107"/>
      <c r="I68" s="107"/>
      <c r="J68" s="107"/>
      <c r="K68" s="107"/>
      <c r="L68" s="107"/>
      <c r="M68" s="107"/>
      <c r="N68" s="107"/>
      <c r="O68" s="107"/>
      <c r="P68" s="107"/>
      <c r="Q68" s="107"/>
      <c r="R68" s="107"/>
      <c r="S68" s="107"/>
      <c r="T68" s="108"/>
      <c r="U68" s="144"/>
    </row>
    <row r="69" spans="5:22" x14ac:dyDescent="0.2">
      <c r="E69" s="98"/>
      <c r="F69" s="155"/>
      <c r="G69" s="144"/>
      <c r="H69" s="107"/>
      <c r="I69" s="107"/>
      <c r="J69" s="107"/>
      <c r="K69" s="107"/>
      <c r="L69" s="107"/>
      <c r="M69" s="107"/>
      <c r="N69" s="107"/>
      <c r="O69" s="107"/>
      <c r="P69" s="107"/>
      <c r="Q69" s="107"/>
      <c r="R69" s="107"/>
      <c r="S69" s="107"/>
      <c r="T69" s="108"/>
      <c r="U69" s="144"/>
      <c r="V69" s="2"/>
    </row>
    <row r="70" spans="5:22" x14ac:dyDescent="0.2">
      <c r="E70" s="98"/>
      <c r="F70" s="155"/>
      <c r="G70" s="109"/>
      <c r="H70" s="107"/>
      <c r="I70" s="107"/>
      <c r="J70" s="107"/>
      <c r="K70" s="107"/>
      <c r="L70" s="107"/>
      <c r="M70" s="107"/>
      <c r="N70" s="107"/>
      <c r="O70" s="107"/>
      <c r="P70" s="107"/>
      <c r="Q70" s="107"/>
      <c r="R70" s="107"/>
      <c r="S70" s="107"/>
      <c r="T70" s="108"/>
      <c r="U70" s="110"/>
    </row>
    <row r="71" spans="5:22" x14ac:dyDescent="0.2">
      <c r="E71" s="98"/>
      <c r="F71" s="155"/>
      <c r="G71" s="109"/>
      <c r="H71" s="107"/>
      <c r="I71" s="107"/>
      <c r="J71" s="107"/>
      <c r="K71" s="107"/>
      <c r="L71" s="107"/>
      <c r="M71" s="107"/>
      <c r="N71" s="107"/>
      <c r="O71" s="107"/>
      <c r="P71" s="107"/>
      <c r="Q71" s="107"/>
      <c r="R71" s="107"/>
      <c r="S71" s="107"/>
      <c r="T71" s="108"/>
      <c r="U71" s="110"/>
    </row>
    <row r="72" spans="5:22" x14ac:dyDescent="0.2">
      <c r="E72" s="98"/>
      <c r="F72" s="155"/>
      <c r="G72" s="109"/>
      <c r="H72" s="107"/>
      <c r="I72" s="107"/>
      <c r="J72" s="107"/>
      <c r="K72" s="107"/>
      <c r="L72" s="107"/>
      <c r="M72" s="107"/>
      <c r="N72" s="107"/>
      <c r="O72" s="107"/>
      <c r="P72" s="107"/>
      <c r="Q72" s="107"/>
      <c r="R72" s="107"/>
      <c r="S72" s="107"/>
      <c r="T72" s="108"/>
      <c r="U72" s="110"/>
    </row>
    <row r="73" spans="5:22" x14ac:dyDescent="0.2">
      <c r="E73" s="98"/>
      <c r="F73" s="155"/>
      <c r="G73" s="109"/>
      <c r="H73" s="107"/>
      <c r="I73" s="107"/>
      <c r="J73" s="107"/>
      <c r="K73" s="107"/>
      <c r="L73" s="107"/>
      <c r="M73" s="107"/>
      <c r="N73" s="107"/>
      <c r="O73" s="107"/>
      <c r="P73" s="107"/>
      <c r="Q73" s="107"/>
      <c r="R73" s="107"/>
      <c r="S73" s="107"/>
      <c r="T73" s="108"/>
      <c r="U73" s="110"/>
      <c r="V73" s="115"/>
    </row>
    <row r="74" spans="5:22" x14ac:dyDescent="0.2">
      <c r="E74" s="98"/>
      <c r="F74" s="155"/>
      <c r="G74" s="109"/>
      <c r="H74" s="112"/>
      <c r="N74" s="107"/>
      <c r="O74" s="107"/>
      <c r="P74" s="107"/>
      <c r="Q74" s="107"/>
      <c r="R74" s="107"/>
      <c r="S74" s="107"/>
      <c r="T74" s="108"/>
      <c r="U74" s="110"/>
      <c r="V74" s="110"/>
    </row>
    <row r="75" spans="5:22" x14ac:dyDescent="0.2">
      <c r="E75" s="98"/>
      <c r="F75" s="155"/>
      <c r="G75" s="109"/>
      <c r="H75" s="107"/>
      <c r="K75" s="107"/>
      <c r="L75" s="107"/>
      <c r="M75" s="107"/>
      <c r="N75" s="107"/>
      <c r="O75" s="107"/>
      <c r="P75" s="107"/>
      <c r="Q75" s="107"/>
      <c r="R75" s="107"/>
      <c r="S75" s="107"/>
      <c r="T75" s="108"/>
      <c r="U75" s="110"/>
      <c r="V75" s="110"/>
    </row>
    <row r="76" spans="5:22" x14ac:dyDescent="0.2">
      <c r="E76" s="98"/>
      <c r="F76" s="155"/>
      <c r="G76" s="109"/>
      <c r="H76" s="107"/>
      <c r="I76" s="112"/>
      <c r="J76" s="107"/>
      <c r="K76" s="107"/>
      <c r="L76" s="107"/>
      <c r="M76" s="107"/>
      <c r="N76" s="107"/>
      <c r="O76" s="107"/>
      <c r="P76" s="107"/>
      <c r="Q76" s="107"/>
      <c r="R76" s="107"/>
      <c r="S76" s="107"/>
      <c r="T76" s="108"/>
      <c r="U76" s="110"/>
      <c r="V76" s="110"/>
    </row>
    <row r="77" spans="5:22" x14ac:dyDescent="0.2">
      <c r="E77" s="98"/>
      <c r="F77" s="155"/>
      <c r="G77" s="109"/>
      <c r="H77" s="112"/>
      <c r="I77" s="107"/>
      <c r="J77" s="107"/>
      <c r="K77" s="112"/>
      <c r="L77" s="112"/>
      <c r="M77" s="112"/>
      <c r="N77" s="107"/>
      <c r="O77" s="107"/>
      <c r="P77" s="107"/>
      <c r="Q77" s="107"/>
      <c r="R77" s="107"/>
      <c r="S77" s="107"/>
      <c r="T77" s="108"/>
      <c r="U77" s="110"/>
      <c r="V77" s="110"/>
    </row>
    <row r="78" spans="5:22" x14ac:dyDescent="0.2">
      <c r="E78" s="98"/>
      <c r="F78" s="155"/>
      <c r="G78" s="109"/>
      <c r="H78" s="107"/>
      <c r="I78" s="107"/>
      <c r="J78" s="107"/>
      <c r="K78" s="107"/>
      <c r="L78" s="107"/>
      <c r="M78" s="107"/>
      <c r="N78" s="107"/>
      <c r="O78" s="107"/>
      <c r="P78" s="107"/>
      <c r="Q78" s="107"/>
      <c r="R78" s="107"/>
      <c r="S78" s="107"/>
      <c r="T78" s="108"/>
      <c r="U78" s="110"/>
      <c r="V78" s="110"/>
    </row>
    <row r="79" spans="5:22" x14ac:dyDescent="0.2">
      <c r="E79" s="98"/>
      <c r="F79" s="155"/>
      <c r="G79" s="109"/>
      <c r="H79" s="107"/>
      <c r="I79" s="107"/>
      <c r="J79" s="107"/>
      <c r="K79" s="107"/>
      <c r="L79" s="107"/>
      <c r="M79" s="107"/>
      <c r="N79" s="107"/>
      <c r="O79" s="107"/>
      <c r="P79" s="107"/>
      <c r="Q79" s="107"/>
      <c r="R79" s="107"/>
      <c r="S79" s="107"/>
      <c r="T79" s="108"/>
      <c r="U79" s="110"/>
      <c r="V79" s="110"/>
    </row>
    <row r="80" spans="5:22" x14ac:dyDescent="0.2">
      <c r="E80" s="98"/>
      <c r="F80" s="155"/>
      <c r="G80" s="109"/>
      <c r="H80" s="107"/>
      <c r="I80" s="107"/>
      <c r="J80" s="107"/>
      <c r="K80" s="107"/>
      <c r="L80" s="107"/>
      <c r="M80" s="107"/>
      <c r="N80" s="107"/>
      <c r="O80" s="107"/>
      <c r="P80" s="107"/>
      <c r="Q80" s="107"/>
      <c r="R80" s="107"/>
      <c r="S80" s="107"/>
      <c r="T80" s="108"/>
      <c r="U80" s="110"/>
      <c r="V80" s="110"/>
    </row>
    <row r="81" spans="5:22" x14ac:dyDescent="0.2">
      <c r="E81" s="98"/>
      <c r="F81" s="155"/>
      <c r="G81" s="109"/>
      <c r="H81" s="107"/>
      <c r="I81" s="107"/>
      <c r="J81" s="107"/>
      <c r="K81" s="107"/>
      <c r="L81" s="107"/>
      <c r="M81" s="107"/>
      <c r="N81" s="107"/>
      <c r="O81" s="107"/>
      <c r="P81" s="107"/>
      <c r="Q81" s="107"/>
      <c r="R81" s="107"/>
      <c r="S81" s="107"/>
      <c r="T81" s="108"/>
      <c r="U81" s="110"/>
      <c r="V81" s="110"/>
    </row>
    <row r="82" spans="5:22" x14ac:dyDescent="0.2">
      <c r="E82" s="98"/>
      <c r="F82" s="156"/>
      <c r="G82" s="113"/>
      <c r="H82" s="107"/>
      <c r="I82" s="107"/>
      <c r="J82" s="107"/>
      <c r="K82" s="107"/>
      <c r="L82" s="107"/>
      <c r="M82" s="107"/>
      <c r="N82" s="107"/>
      <c r="O82" s="107"/>
      <c r="P82" s="107"/>
      <c r="Q82" s="107"/>
      <c r="R82" s="107"/>
      <c r="S82" s="107"/>
      <c r="T82" s="108"/>
      <c r="U82" s="114"/>
      <c r="V82" s="114"/>
    </row>
    <row r="83" spans="5:22" x14ac:dyDescent="0.2">
      <c r="H83" s="91"/>
      <c r="I83" s="91"/>
      <c r="J83" s="91"/>
      <c r="K83" s="91"/>
      <c r="L83" s="91"/>
      <c r="M83" s="91"/>
      <c r="N83" s="91"/>
      <c r="O83" s="91"/>
      <c r="P83" s="91"/>
      <c r="Q83" s="91"/>
      <c r="R83" s="91"/>
      <c r="S83" s="91"/>
    </row>
    <row r="84" spans="5:22" x14ac:dyDescent="0.2">
      <c r="H84" s="107">
        <v>1</v>
      </c>
      <c r="I84" s="107"/>
      <c r="J84" s="107"/>
      <c r="K84" s="107"/>
      <c r="L84" s="107"/>
      <c r="M84" s="107"/>
      <c r="N84" s="107"/>
      <c r="O84" s="107"/>
      <c r="P84" s="107"/>
      <c r="Q84" s="107"/>
      <c r="R84" s="107"/>
      <c r="S84" s="107"/>
    </row>
    <row r="85" spans="5:22" x14ac:dyDescent="0.2">
      <c r="H85" s="107"/>
      <c r="I85" s="107">
        <v>1</v>
      </c>
      <c r="J85" s="107"/>
      <c r="K85" s="107"/>
      <c r="L85" s="107"/>
      <c r="M85" s="107"/>
      <c r="N85" s="107"/>
      <c r="O85" s="107"/>
      <c r="P85" s="107"/>
      <c r="Q85" s="107"/>
      <c r="R85" s="107"/>
      <c r="S85" s="107"/>
    </row>
    <row r="86" spans="5:22" x14ac:dyDescent="0.2">
      <c r="H86" s="107"/>
      <c r="I86" s="107"/>
      <c r="J86" s="107">
        <v>1</v>
      </c>
      <c r="K86" s="107"/>
      <c r="L86" s="107"/>
      <c r="M86" s="107"/>
      <c r="N86" s="107"/>
      <c r="O86" s="107"/>
      <c r="P86" s="107"/>
      <c r="Q86" s="107"/>
      <c r="R86" s="107"/>
      <c r="S86" s="107"/>
    </row>
    <row r="87" spans="5:22" x14ac:dyDescent="0.2">
      <c r="H87" s="111"/>
      <c r="I87" s="111"/>
      <c r="J87" s="111"/>
      <c r="K87" s="111">
        <v>1</v>
      </c>
      <c r="L87" s="111"/>
      <c r="M87" s="111"/>
      <c r="N87" s="111"/>
      <c r="O87" s="111"/>
      <c r="P87" s="111"/>
      <c r="Q87" s="111"/>
      <c r="R87" s="111"/>
      <c r="S87" s="107"/>
    </row>
    <row r="88" spans="5:22" x14ac:dyDescent="0.2">
      <c r="H88" s="107"/>
      <c r="I88" s="107"/>
      <c r="J88" s="107"/>
      <c r="K88" s="107"/>
      <c r="L88" s="107">
        <v>1</v>
      </c>
      <c r="M88" s="107"/>
      <c r="N88" s="107"/>
      <c r="O88" s="107"/>
      <c r="P88" s="107"/>
      <c r="Q88" s="107"/>
      <c r="R88" s="107"/>
      <c r="S88" s="107"/>
    </row>
    <row r="89" spans="5:22" x14ac:dyDescent="0.2">
      <c r="H89" s="107"/>
      <c r="I89" s="107"/>
      <c r="J89" s="107"/>
      <c r="K89" s="107"/>
      <c r="L89" s="107"/>
      <c r="M89" s="107">
        <v>1</v>
      </c>
      <c r="N89" s="107"/>
      <c r="O89" s="107"/>
      <c r="P89" s="107"/>
      <c r="Q89" s="107"/>
      <c r="R89" s="107"/>
      <c r="S89" s="107"/>
    </row>
    <row r="90" spans="5:22" x14ac:dyDescent="0.2">
      <c r="H90" s="107"/>
      <c r="I90" s="107"/>
      <c r="J90" s="107"/>
      <c r="K90" s="107"/>
      <c r="L90" s="107"/>
      <c r="M90" s="107"/>
      <c r="N90" s="107"/>
      <c r="O90" s="107"/>
      <c r="P90" s="107"/>
      <c r="Q90" s="107"/>
      <c r="R90" s="107"/>
      <c r="S90" s="107"/>
    </row>
    <row r="91" spans="5:22" x14ac:dyDescent="0.2">
      <c r="H91" s="107">
        <v>1</v>
      </c>
      <c r="I91" s="107">
        <v>1</v>
      </c>
      <c r="J91" s="107">
        <v>1</v>
      </c>
      <c r="K91" s="107">
        <v>1</v>
      </c>
      <c r="L91" s="107">
        <v>1</v>
      </c>
      <c r="M91" s="107">
        <v>1</v>
      </c>
      <c r="N91" s="107"/>
      <c r="O91" s="107"/>
      <c r="P91" s="107"/>
      <c r="Q91" s="107"/>
      <c r="R91" s="107"/>
      <c r="S91" s="107"/>
    </row>
    <row r="92" spans="5:22" x14ac:dyDescent="0.2">
      <c r="H92" s="107"/>
      <c r="I92" s="107"/>
      <c r="J92" s="107"/>
      <c r="K92" s="107"/>
      <c r="L92" s="107"/>
      <c r="M92" s="107"/>
      <c r="N92" s="107"/>
      <c r="O92" s="107"/>
      <c r="P92" s="107"/>
      <c r="Q92" s="107"/>
      <c r="R92" s="107"/>
      <c r="S92" s="107"/>
    </row>
    <row r="93" spans="5:22" x14ac:dyDescent="0.2">
      <c r="H93" s="107">
        <v>1</v>
      </c>
      <c r="I93" s="107">
        <v>1</v>
      </c>
      <c r="J93" s="107">
        <v>1</v>
      </c>
      <c r="K93" s="107"/>
      <c r="L93" s="107"/>
      <c r="M93" s="107"/>
      <c r="N93" s="107"/>
      <c r="O93" s="107"/>
      <c r="P93" s="107"/>
      <c r="Q93" s="107"/>
      <c r="R93" s="107"/>
      <c r="S93" s="107"/>
    </row>
    <row r="94" spans="5:22" x14ac:dyDescent="0.2">
      <c r="H94" s="107"/>
      <c r="I94" s="107"/>
      <c r="J94" s="107"/>
      <c r="K94" s="107"/>
      <c r="L94" s="107"/>
      <c r="M94" s="107"/>
      <c r="N94" s="107"/>
      <c r="O94" s="107"/>
      <c r="P94" s="107"/>
      <c r="Q94" s="107"/>
      <c r="R94" s="107"/>
      <c r="S94" s="107"/>
    </row>
    <row r="95" spans="5:22" x14ac:dyDescent="0.2">
      <c r="H95" s="112"/>
      <c r="N95" s="107"/>
      <c r="O95" s="107"/>
      <c r="P95" s="107"/>
      <c r="Q95" s="107"/>
      <c r="R95" s="107"/>
      <c r="S95" s="107"/>
    </row>
    <row r="96" spans="5:22" x14ac:dyDescent="0.2">
      <c r="H96" s="107"/>
      <c r="K96" s="107"/>
      <c r="L96" s="107"/>
      <c r="M96" s="107"/>
      <c r="N96" s="107"/>
      <c r="O96" s="107"/>
      <c r="P96" s="107"/>
      <c r="Q96" s="107"/>
      <c r="R96" s="107"/>
      <c r="S96" s="107"/>
    </row>
    <row r="97" spans="8:19" x14ac:dyDescent="0.2">
      <c r="H97" s="107"/>
      <c r="I97" s="112"/>
      <c r="J97" s="107"/>
      <c r="K97" s="107"/>
      <c r="L97" s="107"/>
      <c r="M97" s="107"/>
      <c r="N97" s="107"/>
      <c r="O97" s="107"/>
      <c r="P97" s="107"/>
      <c r="Q97" s="107"/>
      <c r="R97" s="107"/>
      <c r="S97" s="107"/>
    </row>
    <row r="98" spans="8:19" x14ac:dyDescent="0.2">
      <c r="H98" s="112"/>
      <c r="I98" s="107"/>
      <c r="J98" s="107"/>
      <c r="K98" s="112"/>
      <c r="L98" s="112"/>
      <c r="M98" s="112"/>
      <c r="N98" s="107"/>
      <c r="O98" s="107"/>
      <c r="P98" s="107"/>
      <c r="Q98" s="107"/>
      <c r="R98" s="107"/>
      <c r="S98" s="107"/>
    </row>
    <row r="99" spans="8:19" x14ac:dyDescent="0.2">
      <c r="H99" s="107"/>
      <c r="I99" s="107"/>
      <c r="J99" s="107"/>
      <c r="K99" s="107"/>
      <c r="L99" s="107"/>
      <c r="M99" s="107"/>
      <c r="N99" s="107"/>
      <c r="O99" s="107"/>
      <c r="P99" s="107"/>
      <c r="Q99" s="107"/>
      <c r="R99" s="107"/>
      <c r="S99" s="107"/>
    </row>
    <row r="100" spans="8:19" x14ac:dyDescent="0.2">
      <c r="H100" s="107"/>
      <c r="I100" s="107"/>
      <c r="J100" s="107"/>
      <c r="K100" s="107"/>
      <c r="L100" s="107"/>
      <c r="M100" s="107"/>
      <c r="N100" s="107"/>
      <c r="O100" s="107"/>
      <c r="P100" s="107"/>
      <c r="Q100" s="107"/>
      <c r="R100" s="107"/>
      <c r="S100" s="107"/>
    </row>
    <row r="101" spans="8:19" x14ac:dyDescent="0.2">
      <c r="H101" s="107"/>
      <c r="I101" s="107"/>
      <c r="J101" s="107"/>
      <c r="K101" s="107"/>
      <c r="L101" s="107"/>
      <c r="M101" s="107"/>
      <c r="N101" s="107"/>
      <c r="O101" s="107"/>
      <c r="P101" s="107"/>
      <c r="Q101" s="107"/>
      <c r="R101" s="107"/>
      <c r="S101" s="107"/>
    </row>
    <row r="102" spans="8:19" x14ac:dyDescent="0.2">
      <c r="H102" s="107"/>
      <c r="I102" s="107"/>
      <c r="J102" s="107"/>
      <c r="K102" s="107"/>
      <c r="L102" s="107"/>
      <c r="M102" s="107"/>
      <c r="N102" s="107"/>
      <c r="O102" s="107"/>
      <c r="P102" s="107"/>
      <c r="Q102" s="107"/>
      <c r="R102" s="107"/>
      <c r="S102" s="107"/>
    </row>
    <row r="103" spans="8:19" x14ac:dyDescent="0.2">
      <c r="H103" s="107"/>
      <c r="I103" s="107"/>
      <c r="J103" s="107"/>
      <c r="K103" s="107"/>
      <c r="L103" s="107"/>
      <c r="M103" s="107"/>
      <c r="N103" s="107"/>
      <c r="O103" s="107"/>
      <c r="P103" s="107"/>
      <c r="Q103" s="107"/>
      <c r="R103" s="107"/>
      <c r="S103" s="107"/>
    </row>
  </sheetData>
  <dataConsolidate/>
  <mergeCells count="4">
    <mergeCell ref="F63:F82"/>
    <mergeCell ref="H61:S61"/>
    <mergeCell ref="U61:W61"/>
    <mergeCell ref="AF56:AG56"/>
  </mergeCells>
  <dataValidations count="1">
    <dataValidation type="list" allowBlank="1" showInputMessage="1" showErrorMessage="1" sqref="G59">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caleTheCharts">
                <anchor moveWithCells="1" sizeWithCells="1">
                  <from>
                    <xdr:col>0</xdr:col>
                    <xdr:colOff>161925</xdr:colOff>
                    <xdr:row>57</xdr:row>
                    <xdr:rowOff>9525</xdr:rowOff>
                  </from>
                  <to>
                    <xdr:col>4</xdr:col>
                    <xdr:colOff>457200</xdr:colOff>
                    <xdr:row>59</xdr:row>
                    <xdr:rowOff>28575</xdr:rowOff>
                  </to>
                </anchor>
              </controlPr>
            </control>
          </mc:Choice>
        </mc:AlternateContent>
        <mc:AlternateContent xmlns:mc="http://schemas.openxmlformats.org/markup-compatibility/2006">
          <mc:Choice Requires="x14">
            <control shapeId="2050" r:id="rId4" name="Button 2">
              <controlPr defaultSize="0" print="0" autoFill="0" autoPict="0" macro="[0]!UpdateXMLDataout">
                <anchor moveWithCells="1">
                  <from>
                    <xdr:col>0</xdr:col>
                    <xdr:colOff>161925</xdr:colOff>
                    <xdr:row>54</xdr:row>
                    <xdr:rowOff>9525</xdr:rowOff>
                  </from>
                  <to>
                    <xdr:col>4</xdr:col>
                    <xdr:colOff>457200</xdr:colOff>
                    <xdr:row>56</xdr:row>
                    <xdr:rowOff>28575</xdr:rowOff>
                  </to>
                </anchor>
              </controlPr>
            </control>
          </mc:Choice>
        </mc:AlternateContent>
        <mc:AlternateContent xmlns:mc="http://schemas.openxmlformats.org/markup-compatibility/2006">
          <mc:Choice Requires="x14">
            <control shapeId="2052" r:id="rId5" name="Button 4">
              <controlPr defaultSize="0" print="0" autoFill="0" autoPict="0" macro="[0]!UpdateScatterChartsRange">
                <anchor moveWithCells="1" sizeWithCells="1">
                  <from>
                    <xdr:col>0</xdr:col>
                    <xdr:colOff>161925</xdr:colOff>
                    <xdr:row>60</xdr:row>
                    <xdr:rowOff>9525</xdr:rowOff>
                  </from>
                  <to>
                    <xdr:col>4</xdr:col>
                    <xdr:colOff>457200</xdr:colOff>
                    <xdr:row>62</xdr:row>
                    <xdr:rowOff>28575</xdr:rowOff>
                  </to>
                </anchor>
              </controlPr>
            </control>
          </mc:Choice>
        </mc:AlternateContent>
        <mc:AlternateContent xmlns:mc="http://schemas.openxmlformats.org/markup-compatibility/2006">
          <mc:Choice Requires="x14">
            <control shapeId="2056" r:id="rId6" name="Button 8">
              <controlPr defaultSize="0" print="0" autoFill="0" autoPict="0" macro="[0]!FilterChartsVersionCheckWithMsg">
                <anchor moveWithCells="1" sizeWithCells="1">
                  <from>
                    <xdr:col>0</xdr:col>
                    <xdr:colOff>161925</xdr:colOff>
                    <xdr:row>63</xdr:row>
                    <xdr:rowOff>9525</xdr:rowOff>
                  </from>
                  <to>
                    <xdr:col>4</xdr:col>
                    <xdr:colOff>457200</xdr:colOff>
                    <xdr:row>65</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tint="0.499984740745262"/>
  </sheetPr>
  <dimension ref="A1:AU62"/>
  <sheetViews>
    <sheetView topLeftCell="A19" zoomScale="85" zoomScaleNormal="85" workbookViewId="0">
      <selection activeCell="C79" sqref="C79"/>
    </sheetView>
  </sheetViews>
  <sheetFormatPr defaultRowHeight="12.75" x14ac:dyDescent="0.2"/>
  <cols>
    <col min="24" max="24" width="9.140625" customWidth="1"/>
  </cols>
  <sheetData>
    <row r="1" spans="25:47" x14ac:dyDescent="0.2">
      <c r="Y1" s="2"/>
      <c r="Z1" s="12"/>
    </row>
    <row r="2" spans="25:47" x14ac:dyDescent="0.2">
      <c r="AU2" s="2" t="s">
        <v>52</v>
      </c>
    </row>
    <row r="3" spans="25:47" x14ac:dyDescent="0.2">
      <c r="Y3" s="2"/>
      <c r="Z3" s="2"/>
    </row>
    <row r="4" spans="25:47" x14ac:dyDescent="0.2">
      <c r="Y4" s="2"/>
      <c r="Z4" s="2"/>
    </row>
    <row r="5" spans="25:47" x14ac:dyDescent="0.2">
      <c r="Y5" s="2"/>
      <c r="Z5" s="2"/>
    </row>
    <row r="6" spans="25:47" x14ac:dyDescent="0.2">
      <c r="Y6" s="2"/>
      <c r="Z6" s="2"/>
    </row>
    <row r="7" spans="25:47" x14ac:dyDescent="0.2">
      <c r="Y7" s="2"/>
      <c r="Z7" s="2"/>
    </row>
    <row r="8" spans="25:47" x14ac:dyDescent="0.2">
      <c r="Y8" s="2"/>
      <c r="Z8" s="2"/>
    </row>
    <row r="9" spans="25:47" x14ac:dyDescent="0.2">
      <c r="Y9" s="2"/>
      <c r="Z9" s="2"/>
    </row>
    <row r="56" spans="1:7" x14ac:dyDescent="0.2">
      <c r="A56" s="2" t="s">
        <v>42</v>
      </c>
    </row>
    <row r="61" spans="1:7" x14ac:dyDescent="0.2">
      <c r="F61" s="28" t="s">
        <v>17</v>
      </c>
      <c r="G61" s="29">
        <v>0.1</v>
      </c>
    </row>
    <row r="62" spans="1:7" x14ac:dyDescent="0.2">
      <c r="F62" s="28" t="s">
        <v>50</v>
      </c>
      <c r="G62" s="30" t="s">
        <v>49</v>
      </c>
    </row>
  </sheetData>
  <dataValidations count="1">
    <dataValidation type="list" allowBlank="1" showInputMessage="1" showErrorMessage="1" sqref="G62">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ScaleTheCharts">
                <anchor moveWithCells="1" sizeWithCells="1">
                  <from>
                    <xdr:col>0</xdr:col>
                    <xdr:colOff>171450</xdr:colOff>
                    <xdr:row>59</xdr:row>
                    <xdr:rowOff>161925</xdr:rowOff>
                  </from>
                  <to>
                    <xdr:col>4</xdr:col>
                    <xdr:colOff>466725</xdr:colOff>
                    <xdr:row>62</xdr:row>
                    <xdr:rowOff>19050</xdr:rowOff>
                  </to>
                </anchor>
              </controlPr>
            </control>
          </mc:Choice>
        </mc:AlternateContent>
        <mc:AlternateContent xmlns:mc="http://schemas.openxmlformats.org/markup-compatibility/2006">
          <mc:Choice Requires="x14">
            <control shapeId="6149" r:id="rId4" name="Button 5">
              <controlPr defaultSize="0" print="0" autoFill="0" autoPict="0" macro="[0]!UpdateLineChartsRange">
                <anchor moveWithCells="1" sizeWithCells="1">
                  <from>
                    <xdr:col>0</xdr:col>
                    <xdr:colOff>171450</xdr:colOff>
                    <xdr:row>62</xdr:row>
                    <xdr:rowOff>161925</xdr:rowOff>
                  </from>
                  <to>
                    <xdr:col>4</xdr:col>
                    <xdr:colOff>466725</xdr:colOff>
                    <xdr:row>65</xdr:row>
                    <xdr:rowOff>19050</xdr:rowOff>
                  </to>
                </anchor>
              </controlPr>
            </control>
          </mc:Choice>
        </mc:AlternateContent>
        <mc:AlternateContent xmlns:mc="http://schemas.openxmlformats.org/markup-compatibility/2006">
          <mc:Choice Requires="x14">
            <control shapeId="6150" r:id="rId5" name="Button 6">
              <controlPr defaultSize="0" print="0" autoFill="0" autoPict="0" macro="[0]!UpdateXMLDataout">
                <anchor moveWithCells="1">
                  <from>
                    <xdr:col>0</xdr:col>
                    <xdr:colOff>171450</xdr:colOff>
                    <xdr:row>57</xdr:row>
                    <xdr:rowOff>9525</xdr:rowOff>
                  </from>
                  <to>
                    <xdr:col>4</xdr:col>
                    <xdr:colOff>466725</xdr:colOff>
                    <xdr:row>59</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2" tint="-9.9978637043366805E-2"/>
  </sheetPr>
  <dimension ref="B2:K508"/>
  <sheetViews>
    <sheetView topLeftCell="E1" workbookViewId="0">
      <selection activeCell="G7" sqref="G7:G26"/>
    </sheetView>
  </sheetViews>
  <sheetFormatPr defaultRowHeight="12.75" x14ac:dyDescent="0.2"/>
  <cols>
    <col min="1" max="1" width="2.42578125" customWidth="1"/>
    <col min="3" max="3" width="76.5703125" customWidth="1"/>
    <col min="4" max="4" width="2.42578125" customWidth="1"/>
    <col min="5" max="5" width="10.28515625" customWidth="1"/>
    <col min="7" max="7" width="76.5703125" customWidth="1"/>
    <col min="8" max="8" width="10.42578125" customWidth="1"/>
    <col min="11" max="11" width="10.85546875" customWidth="1"/>
  </cols>
  <sheetData>
    <row r="2" spans="2:11" x14ac:dyDescent="0.2">
      <c r="B2" s="164" t="s">
        <v>84</v>
      </c>
      <c r="C2" s="165"/>
      <c r="E2" s="164" t="s">
        <v>85</v>
      </c>
      <c r="F2" s="166"/>
      <c r="G2" s="165"/>
    </row>
    <row r="3" spans="2:11" x14ac:dyDescent="0.2">
      <c r="B3" s="18"/>
      <c r="C3" s="27"/>
      <c r="E3" s="64" t="s">
        <v>45</v>
      </c>
      <c r="F3" s="65" t="str">
        <f>INDEX($H$4:$H$17,$H$3)</f>
        <v>Ym</v>
      </c>
      <c r="G3" s="27"/>
      <c r="H3" s="26">
        <v>2</v>
      </c>
      <c r="I3" s="14" t="s">
        <v>15</v>
      </c>
      <c r="J3" s="14" t="s">
        <v>22</v>
      </c>
      <c r="K3" s="14" t="s">
        <v>43</v>
      </c>
    </row>
    <row r="4" spans="2:11" x14ac:dyDescent="0.2">
      <c r="B4" s="21"/>
      <c r="C4" s="22"/>
      <c r="E4" s="66" t="s">
        <v>46</v>
      </c>
      <c r="F4" s="67">
        <v>-1900</v>
      </c>
      <c r="G4" s="22"/>
      <c r="H4" s="15" t="s">
        <v>0</v>
      </c>
      <c r="I4" s="18">
        <v>50</v>
      </c>
      <c r="J4" s="19">
        <v>34000</v>
      </c>
      <c r="K4" s="20">
        <v>500</v>
      </c>
    </row>
    <row r="5" spans="2:11" x14ac:dyDescent="0.2">
      <c r="B5" s="21"/>
      <c r="C5" s="22"/>
      <c r="E5" s="66" t="s">
        <v>47</v>
      </c>
      <c r="F5" s="67">
        <v>0</v>
      </c>
      <c r="G5" s="22"/>
      <c r="H5" s="13" t="s">
        <v>1</v>
      </c>
      <c r="I5" s="21">
        <v>-1350</v>
      </c>
      <c r="J5" s="6">
        <v>1350</v>
      </c>
      <c r="K5" s="22">
        <v>150</v>
      </c>
    </row>
    <row r="6" spans="2:11" x14ac:dyDescent="0.2">
      <c r="B6" s="23"/>
      <c r="C6" s="25"/>
      <c r="E6" s="68" t="s">
        <v>48</v>
      </c>
      <c r="F6" s="69">
        <v>100</v>
      </c>
      <c r="G6" s="25"/>
      <c r="H6" s="13" t="s">
        <v>38</v>
      </c>
      <c r="I6" s="21">
        <v>0</v>
      </c>
      <c r="J6" s="6">
        <v>-2350</v>
      </c>
      <c r="K6" s="22">
        <v>100</v>
      </c>
    </row>
    <row r="7" spans="2:11" x14ac:dyDescent="0.2">
      <c r="B7" s="63">
        <v>5</v>
      </c>
      <c r="C7" s="1" t="str">
        <f>IF(B7="","","&lt;station loc="""&amp;B7&amp;""" X=""0"" Y=""0"" Z=""0"" rX=""0"" rY=""0"" rZ=""0"" /&gt;")</f>
        <v>&lt;station loc="5" X="0" Y="0" Z="0" rX="0" rY="0" rZ="0" /&gt;</v>
      </c>
      <c r="F7" s="63">
        <f>F4</f>
        <v>-1900</v>
      </c>
      <c r="G7" s="1" t="str">
        <f>IF(F7="","","&lt;station loc="""&amp;F7&amp;""" X=""0"" Y=""0"" Z=""0"" rX=""0"" rY=""0"" rZ=""0"" /&gt;")</f>
        <v>&lt;station loc="-1900" X="0" Y="0" Z="0" rX="0" rY="0" rZ="0" /&gt;</v>
      </c>
      <c r="H7" s="13" t="s">
        <v>2</v>
      </c>
      <c r="I7" s="21">
        <v>-95</v>
      </c>
      <c r="J7" s="6">
        <v>95</v>
      </c>
      <c r="K7" s="22">
        <v>10</v>
      </c>
    </row>
    <row r="8" spans="2:11" x14ac:dyDescent="0.2">
      <c r="B8" s="58">
        <v>10</v>
      </c>
      <c r="C8" s="1" t="str">
        <f>IF(B8="","",IF(B8&lt;B7,"ERROR: Value less than Previous Cell, Invalid for solver","&lt;station loc="""&amp;B8&amp;""" X=""0"" Y=""0"" Z=""0"" rX=""0"" rY=""0"" rZ=""0"" /&gt;"))</f>
        <v>&lt;station loc="10" X="0" Y="0" Z="0" rX="0" rY="0" rZ="0" /&gt;</v>
      </c>
      <c r="F8" s="58">
        <f>IF(OR(F7=$F$5,F7=""),"",IF(F7+$F$6&gt;$F$5,$F$5,F7+$F$6))</f>
        <v>-1800</v>
      </c>
      <c r="G8" s="1" t="str">
        <f>IF(F8="","",IF(F8&lt;F7,"ERROR: Value less than Previous Cell, Invalid for solver","&lt;station loc="""&amp;F8&amp;""" X=""0"" Y=""0"" Z=""0"" rX=""0"" rY=""0"" rZ=""0"" /&gt;"))</f>
        <v>&lt;station loc="-1800" X="0" Y="0" Z="0" rX="0" rY="0" rZ="0" /&gt;</v>
      </c>
      <c r="H8" s="13" t="s">
        <v>3</v>
      </c>
      <c r="I8" s="21">
        <v>-15</v>
      </c>
      <c r="J8" s="6">
        <v>15</v>
      </c>
      <c r="K8" s="22">
        <v>5</v>
      </c>
    </row>
    <row r="9" spans="2:11" x14ac:dyDescent="0.2">
      <c r="B9" s="58"/>
      <c r="C9" s="1" t="str">
        <f t="shared" ref="C9:C72" si="0">IF(B9="","",IF(B9&lt;B8,"ERROR: Value less than Previous Cell, Invalid for solver","&lt;station loc="""&amp;B9&amp;""" X=""0"" Y=""0"" Z=""0"" rX=""0"" rY=""0"" rZ=""0"" /&gt;"))</f>
        <v/>
      </c>
      <c r="F9" s="58">
        <f t="shared" ref="F9:F72" si="1">IF(OR(F8=$F$5,F8=""),"",IF(F8+$F$6&gt;$F$5,$F$5,F8+$F$6))</f>
        <v>-1700</v>
      </c>
      <c r="G9" s="1" t="str">
        <f t="shared" ref="G9:G72" si="2">IF(F9="","",IF(F9&lt;F8,"ERROR: Value less than Previous Cell, Invalid for solver","&lt;station loc="""&amp;F9&amp;""" X=""0"" Y=""0"" Z=""0"" rX=""0"" rY=""0"" rZ=""0"" /&gt;"))</f>
        <v>&lt;station loc="-1700" X="0" Y="0" Z="0" rX="0" rY="0" rZ="0" /&gt;</v>
      </c>
      <c r="H9" s="13" t="s">
        <v>39</v>
      </c>
      <c r="I9" s="21">
        <v>0</v>
      </c>
      <c r="J9" s="6">
        <v>360</v>
      </c>
      <c r="K9" s="22">
        <v>45</v>
      </c>
    </row>
    <row r="10" spans="2:11" x14ac:dyDescent="0.2">
      <c r="B10" s="58"/>
      <c r="C10" s="1" t="str">
        <f t="shared" si="0"/>
        <v/>
      </c>
      <c r="F10" s="58">
        <f t="shared" si="1"/>
        <v>-1600</v>
      </c>
      <c r="G10" s="1" t="str">
        <f t="shared" si="2"/>
        <v>&lt;station loc="-1600" X="0" Y="0" Z="0" rX="0" rY="0" rZ="0" /&gt;</v>
      </c>
      <c r="H10" s="13" t="s">
        <v>40</v>
      </c>
      <c r="I10" s="21">
        <v>0</v>
      </c>
      <c r="J10" s="6">
        <v>180</v>
      </c>
      <c r="K10" s="22">
        <v>180</v>
      </c>
    </row>
    <row r="11" spans="2:11" x14ac:dyDescent="0.2">
      <c r="B11" s="58"/>
      <c r="C11" s="1" t="str">
        <f t="shared" si="0"/>
        <v/>
      </c>
      <c r="F11" s="58">
        <f t="shared" si="1"/>
        <v>-1500</v>
      </c>
      <c r="G11" s="1" t="str">
        <f t="shared" si="2"/>
        <v>&lt;station loc="-1500" X="0" Y="0" Z="0" rX="0" rY="0" rZ="0" /&gt;</v>
      </c>
      <c r="H11" s="16"/>
      <c r="I11" s="21"/>
      <c r="J11" s="6"/>
      <c r="K11" s="22"/>
    </row>
    <row r="12" spans="2:11" x14ac:dyDescent="0.2">
      <c r="B12" s="58"/>
      <c r="C12" s="1" t="str">
        <f t="shared" si="0"/>
        <v/>
      </c>
      <c r="F12" s="58">
        <f t="shared" si="1"/>
        <v>-1400</v>
      </c>
      <c r="G12" s="1" t="str">
        <f t="shared" si="2"/>
        <v>&lt;station loc="-1400" X="0" Y="0" Z="0" rX="0" rY="0" rZ="0" /&gt;</v>
      </c>
      <c r="H12" s="16"/>
      <c r="I12" s="21"/>
      <c r="J12" s="6"/>
      <c r="K12" s="22"/>
    </row>
    <row r="13" spans="2:11" x14ac:dyDescent="0.2">
      <c r="B13" s="58"/>
      <c r="C13" s="1" t="str">
        <f t="shared" si="0"/>
        <v/>
      </c>
      <c r="F13" s="58">
        <f t="shared" si="1"/>
        <v>-1300</v>
      </c>
      <c r="G13" s="1" t="str">
        <f t="shared" si="2"/>
        <v>&lt;station loc="-1300" X="0" Y="0" Z="0" rX="0" rY="0" rZ="0" /&gt;</v>
      </c>
      <c r="H13" s="16"/>
      <c r="I13" s="21"/>
      <c r="J13" s="6"/>
      <c r="K13" s="22"/>
    </row>
    <row r="14" spans="2:11" x14ac:dyDescent="0.2">
      <c r="B14" s="58"/>
      <c r="C14" s="1" t="str">
        <f t="shared" si="0"/>
        <v/>
      </c>
      <c r="F14" s="58">
        <f t="shared" si="1"/>
        <v>-1200</v>
      </c>
      <c r="G14" s="1" t="str">
        <f t="shared" si="2"/>
        <v>&lt;station loc="-1200" X="0" Y="0" Z="0" rX="0" rY="0" rZ="0" /&gt;</v>
      </c>
      <c r="H14" s="16"/>
      <c r="I14" s="21"/>
      <c r="J14" s="6"/>
      <c r="K14" s="22"/>
    </row>
    <row r="15" spans="2:11" x14ac:dyDescent="0.2">
      <c r="B15" s="58"/>
      <c r="C15" s="1" t="str">
        <f t="shared" si="0"/>
        <v/>
      </c>
      <c r="F15" s="58">
        <f t="shared" si="1"/>
        <v>-1100</v>
      </c>
      <c r="G15" s="1" t="str">
        <f t="shared" si="2"/>
        <v>&lt;station loc="-1100" X="0" Y="0" Z="0" rX="0" rY="0" rZ="0" /&gt;</v>
      </c>
      <c r="H15" s="16"/>
      <c r="I15" s="21"/>
      <c r="J15" s="6"/>
      <c r="K15" s="22"/>
    </row>
    <row r="16" spans="2:11" x14ac:dyDescent="0.2">
      <c r="B16" s="58"/>
      <c r="C16" s="1" t="str">
        <f t="shared" si="0"/>
        <v/>
      </c>
      <c r="F16" s="58">
        <f t="shared" si="1"/>
        <v>-1000</v>
      </c>
      <c r="G16" s="1" t="str">
        <f t="shared" si="2"/>
        <v>&lt;station loc="-1000" X="0" Y="0" Z="0" rX="0" rY="0" rZ="0" /&gt;</v>
      </c>
      <c r="H16" s="16"/>
      <c r="I16" s="21"/>
      <c r="J16" s="6"/>
      <c r="K16" s="22"/>
    </row>
    <row r="17" spans="2:11" x14ac:dyDescent="0.2">
      <c r="B17" s="58"/>
      <c r="C17" s="1" t="str">
        <f t="shared" si="0"/>
        <v/>
      </c>
      <c r="F17" s="58">
        <f t="shared" si="1"/>
        <v>-900</v>
      </c>
      <c r="G17" s="1" t="str">
        <f t="shared" si="2"/>
        <v>&lt;station loc="-900" X="0" Y="0" Z="0" rX="0" rY="0" rZ="0" /&gt;</v>
      </c>
      <c r="H17" s="17"/>
      <c r="I17" s="23"/>
      <c r="J17" s="24"/>
      <c r="K17" s="25"/>
    </row>
    <row r="18" spans="2:11" x14ac:dyDescent="0.2">
      <c r="B18" s="58"/>
      <c r="C18" s="1" t="str">
        <f t="shared" si="0"/>
        <v/>
      </c>
      <c r="F18" s="58">
        <f t="shared" si="1"/>
        <v>-800</v>
      </c>
      <c r="G18" s="1" t="str">
        <f t="shared" si="2"/>
        <v>&lt;station loc="-800" X="0" Y="0" Z="0" rX="0" rY="0" rZ="0" /&gt;</v>
      </c>
    </row>
    <row r="19" spans="2:11" x14ac:dyDescent="0.2">
      <c r="B19" s="58"/>
      <c r="C19" s="1" t="str">
        <f t="shared" si="0"/>
        <v/>
      </c>
      <c r="F19" s="58">
        <f t="shared" si="1"/>
        <v>-700</v>
      </c>
      <c r="G19" s="1" t="str">
        <f t="shared" si="2"/>
        <v>&lt;station loc="-700" X="0" Y="0" Z="0" rX="0" rY="0" rZ="0" /&gt;</v>
      </c>
    </row>
    <row r="20" spans="2:11" x14ac:dyDescent="0.2">
      <c r="B20" s="58"/>
      <c r="C20" s="1" t="str">
        <f t="shared" si="0"/>
        <v/>
      </c>
      <c r="F20" s="58">
        <f t="shared" si="1"/>
        <v>-600</v>
      </c>
      <c r="G20" s="1" t="str">
        <f t="shared" si="2"/>
        <v>&lt;station loc="-600" X="0" Y="0" Z="0" rX="0" rY="0" rZ="0" /&gt;</v>
      </c>
    </row>
    <row r="21" spans="2:11" x14ac:dyDescent="0.2">
      <c r="B21" s="58"/>
      <c r="C21" s="1" t="str">
        <f t="shared" si="0"/>
        <v/>
      </c>
      <c r="F21" s="58">
        <f t="shared" si="1"/>
        <v>-500</v>
      </c>
      <c r="G21" s="1" t="str">
        <f t="shared" si="2"/>
        <v>&lt;station loc="-500" X="0" Y="0" Z="0" rX="0" rY="0" rZ="0" /&gt;</v>
      </c>
    </row>
    <row r="22" spans="2:11" x14ac:dyDescent="0.2">
      <c r="B22" s="58"/>
      <c r="C22" s="1" t="str">
        <f t="shared" si="0"/>
        <v/>
      </c>
      <c r="F22" s="58">
        <f t="shared" si="1"/>
        <v>-400</v>
      </c>
      <c r="G22" s="1" t="str">
        <f t="shared" si="2"/>
        <v>&lt;station loc="-400" X="0" Y="0" Z="0" rX="0" rY="0" rZ="0" /&gt;</v>
      </c>
    </row>
    <row r="23" spans="2:11" x14ac:dyDescent="0.2">
      <c r="B23" s="58"/>
      <c r="C23" s="1" t="str">
        <f t="shared" si="0"/>
        <v/>
      </c>
      <c r="F23" s="58">
        <f t="shared" si="1"/>
        <v>-300</v>
      </c>
      <c r="G23" s="1" t="str">
        <f t="shared" si="2"/>
        <v>&lt;station loc="-300" X="0" Y="0" Z="0" rX="0" rY="0" rZ="0" /&gt;</v>
      </c>
    </row>
    <row r="24" spans="2:11" x14ac:dyDescent="0.2">
      <c r="B24" s="58"/>
      <c r="C24" s="1" t="str">
        <f t="shared" si="0"/>
        <v/>
      </c>
      <c r="F24" s="58">
        <f t="shared" si="1"/>
        <v>-200</v>
      </c>
      <c r="G24" s="1" t="str">
        <f t="shared" si="2"/>
        <v>&lt;station loc="-200" X="0" Y="0" Z="0" rX="0" rY="0" rZ="0" /&gt;</v>
      </c>
    </row>
    <row r="25" spans="2:11" x14ac:dyDescent="0.2">
      <c r="B25" s="58"/>
      <c r="C25" s="1" t="str">
        <f t="shared" si="0"/>
        <v/>
      </c>
      <c r="F25" s="58">
        <f t="shared" si="1"/>
        <v>-100</v>
      </c>
      <c r="G25" s="1" t="str">
        <f t="shared" si="2"/>
        <v>&lt;station loc="-100" X="0" Y="0" Z="0" rX="0" rY="0" rZ="0" /&gt;</v>
      </c>
    </row>
    <row r="26" spans="2:11" x14ac:dyDescent="0.2">
      <c r="B26" s="58"/>
      <c r="C26" s="1" t="str">
        <f t="shared" si="0"/>
        <v/>
      </c>
      <c r="F26" s="58">
        <f t="shared" si="1"/>
        <v>0</v>
      </c>
      <c r="G26" s="1" t="str">
        <f t="shared" si="2"/>
        <v>&lt;station loc="0" X="0" Y="0" Z="0" rX="0" rY="0" rZ="0" /&gt;</v>
      </c>
    </row>
    <row r="27" spans="2:11" x14ac:dyDescent="0.2">
      <c r="B27" s="58"/>
      <c r="C27" s="1" t="str">
        <f t="shared" si="0"/>
        <v/>
      </c>
      <c r="F27" s="58" t="str">
        <f t="shared" si="1"/>
        <v/>
      </c>
      <c r="G27" s="1" t="str">
        <f t="shared" si="2"/>
        <v/>
      </c>
    </row>
    <row r="28" spans="2:11" x14ac:dyDescent="0.2">
      <c r="B28" s="58"/>
      <c r="C28" s="1" t="str">
        <f t="shared" si="0"/>
        <v/>
      </c>
      <c r="F28" s="58" t="str">
        <f t="shared" si="1"/>
        <v/>
      </c>
      <c r="G28" s="1" t="str">
        <f t="shared" si="2"/>
        <v/>
      </c>
    </row>
    <row r="29" spans="2:11" x14ac:dyDescent="0.2">
      <c r="B29" s="58"/>
      <c r="C29" s="1" t="str">
        <f t="shared" si="0"/>
        <v/>
      </c>
      <c r="F29" s="58" t="str">
        <f t="shared" si="1"/>
        <v/>
      </c>
      <c r="G29" s="1" t="str">
        <f t="shared" si="2"/>
        <v/>
      </c>
    </row>
    <row r="30" spans="2:11" x14ac:dyDescent="0.2">
      <c r="B30" s="58"/>
      <c r="C30" s="1" t="str">
        <f t="shared" si="0"/>
        <v/>
      </c>
      <c r="F30" s="58" t="str">
        <f t="shared" si="1"/>
        <v/>
      </c>
      <c r="G30" s="1" t="str">
        <f t="shared" si="2"/>
        <v/>
      </c>
    </row>
    <row r="31" spans="2:11" x14ac:dyDescent="0.2">
      <c r="B31" s="58"/>
      <c r="C31" s="1" t="str">
        <f t="shared" si="0"/>
        <v/>
      </c>
      <c r="F31" s="58" t="str">
        <f t="shared" si="1"/>
        <v/>
      </c>
      <c r="G31" s="1" t="str">
        <f t="shared" si="2"/>
        <v/>
      </c>
    </row>
    <row r="32" spans="2:11" x14ac:dyDescent="0.2">
      <c r="B32" s="58"/>
      <c r="C32" s="1" t="str">
        <f t="shared" si="0"/>
        <v/>
      </c>
      <c r="F32" s="58" t="str">
        <f t="shared" si="1"/>
        <v/>
      </c>
      <c r="G32" s="1" t="str">
        <f t="shared" si="2"/>
        <v/>
      </c>
    </row>
    <row r="33" spans="2:7" x14ac:dyDescent="0.2">
      <c r="B33" s="58"/>
      <c r="C33" s="1" t="str">
        <f t="shared" si="0"/>
        <v/>
      </c>
      <c r="F33" s="58" t="str">
        <f t="shared" si="1"/>
        <v/>
      </c>
      <c r="G33" s="1" t="str">
        <f t="shared" si="2"/>
        <v/>
      </c>
    </row>
    <row r="34" spans="2:7" x14ac:dyDescent="0.2">
      <c r="B34" s="58"/>
      <c r="C34" s="1" t="str">
        <f t="shared" si="0"/>
        <v/>
      </c>
      <c r="F34" s="58" t="str">
        <f t="shared" si="1"/>
        <v/>
      </c>
      <c r="G34" s="1" t="str">
        <f t="shared" si="2"/>
        <v/>
      </c>
    </row>
    <row r="35" spans="2:7" x14ac:dyDescent="0.2">
      <c r="B35" s="58"/>
      <c r="C35" s="1" t="str">
        <f t="shared" si="0"/>
        <v/>
      </c>
      <c r="F35" s="58" t="str">
        <f t="shared" si="1"/>
        <v/>
      </c>
      <c r="G35" s="1" t="str">
        <f t="shared" si="2"/>
        <v/>
      </c>
    </row>
    <row r="36" spans="2:7" x14ac:dyDescent="0.2">
      <c r="B36" s="58"/>
      <c r="C36" s="1" t="str">
        <f t="shared" si="0"/>
        <v/>
      </c>
      <c r="F36" s="58" t="str">
        <f t="shared" si="1"/>
        <v/>
      </c>
      <c r="G36" s="1" t="str">
        <f t="shared" si="2"/>
        <v/>
      </c>
    </row>
    <row r="37" spans="2:7" x14ac:dyDescent="0.2">
      <c r="B37" s="58"/>
      <c r="C37" s="1" t="str">
        <f t="shared" si="0"/>
        <v/>
      </c>
      <c r="F37" s="58" t="str">
        <f t="shared" si="1"/>
        <v/>
      </c>
      <c r="G37" s="1" t="str">
        <f t="shared" si="2"/>
        <v/>
      </c>
    </row>
    <row r="38" spans="2:7" x14ac:dyDescent="0.2">
      <c r="B38" s="58"/>
      <c r="C38" s="1" t="str">
        <f t="shared" si="0"/>
        <v/>
      </c>
      <c r="F38" s="58" t="str">
        <f t="shared" si="1"/>
        <v/>
      </c>
      <c r="G38" s="1" t="str">
        <f t="shared" si="2"/>
        <v/>
      </c>
    </row>
    <row r="39" spans="2:7" x14ac:dyDescent="0.2">
      <c r="B39" s="58"/>
      <c r="C39" s="1" t="str">
        <f t="shared" si="0"/>
        <v/>
      </c>
      <c r="F39" s="58" t="str">
        <f t="shared" si="1"/>
        <v/>
      </c>
      <c r="G39" s="1" t="str">
        <f t="shared" si="2"/>
        <v/>
      </c>
    </row>
    <row r="40" spans="2:7" x14ac:dyDescent="0.2">
      <c r="B40" s="58"/>
      <c r="C40" s="1" t="str">
        <f t="shared" si="0"/>
        <v/>
      </c>
      <c r="F40" s="58" t="str">
        <f t="shared" si="1"/>
        <v/>
      </c>
      <c r="G40" s="1" t="str">
        <f t="shared" si="2"/>
        <v/>
      </c>
    </row>
    <row r="41" spans="2:7" x14ac:dyDescent="0.2">
      <c r="B41" s="58"/>
      <c r="C41" s="1" t="str">
        <f t="shared" si="0"/>
        <v/>
      </c>
      <c r="F41" s="58" t="str">
        <f t="shared" si="1"/>
        <v/>
      </c>
      <c r="G41" s="1" t="str">
        <f t="shared" si="2"/>
        <v/>
      </c>
    </row>
    <row r="42" spans="2:7" x14ac:dyDescent="0.2">
      <c r="B42" s="58"/>
      <c r="C42" s="1" t="str">
        <f t="shared" si="0"/>
        <v/>
      </c>
      <c r="F42" s="58" t="str">
        <f t="shared" si="1"/>
        <v/>
      </c>
      <c r="G42" s="1" t="str">
        <f t="shared" si="2"/>
        <v/>
      </c>
    </row>
    <row r="43" spans="2:7" x14ac:dyDescent="0.2">
      <c r="B43" s="58"/>
      <c r="C43" s="1" t="str">
        <f t="shared" si="0"/>
        <v/>
      </c>
      <c r="F43" s="58" t="str">
        <f t="shared" si="1"/>
        <v/>
      </c>
      <c r="G43" s="1" t="str">
        <f t="shared" si="2"/>
        <v/>
      </c>
    </row>
    <row r="44" spans="2:7" x14ac:dyDescent="0.2">
      <c r="B44" s="58"/>
      <c r="C44" s="1" t="str">
        <f t="shared" si="0"/>
        <v/>
      </c>
      <c r="F44" s="58" t="str">
        <f t="shared" si="1"/>
        <v/>
      </c>
      <c r="G44" s="1" t="str">
        <f t="shared" si="2"/>
        <v/>
      </c>
    </row>
    <row r="45" spans="2:7" x14ac:dyDescent="0.2">
      <c r="B45" s="58"/>
      <c r="C45" s="1" t="str">
        <f t="shared" si="0"/>
        <v/>
      </c>
      <c r="F45" s="58" t="str">
        <f t="shared" si="1"/>
        <v/>
      </c>
      <c r="G45" s="1" t="str">
        <f t="shared" si="2"/>
        <v/>
      </c>
    </row>
    <row r="46" spans="2:7" x14ac:dyDescent="0.2">
      <c r="B46" s="58"/>
      <c r="C46" s="1" t="str">
        <f t="shared" si="0"/>
        <v/>
      </c>
      <c r="F46" s="58" t="str">
        <f t="shared" si="1"/>
        <v/>
      </c>
      <c r="G46" s="1" t="str">
        <f t="shared" si="2"/>
        <v/>
      </c>
    </row>
    <row r="47" spans="2:7" x14ac:dyDescent="0.2">
      <c r="B47" s="58"/>
      <c r="C47" s="1" t="str">
        <f t="shared" si="0"/>
        <v/>
      </c>
      <c r="F47" s="58" t="str">
        <f t="shared" si="1"/>
        <v/>
      </c>
      <c r="G47" s="1" t="str">
        <f t="shared" si="2"/>
        <v/>
      </c>
    </row>
    <row r="48" spans="2:7" x14ac:dyDescent="0.2">
      <c r="B48" s="58"/>
      <c r="C48" s="1" t="str">
        <f t="shared" si="0"/>
        <v/>
      </c>
      <c r="F48" s="58" t="str">
        <f t="shared" si="1"/>
        <v/>
      </c>
      <c r="G48" s="1" t="str">
        <f t="shared" si="2"/>
        <v/>
      </c>
    </row>
    <row r="49" spans="2:7" x14ac:dyDescent="0.2">
      <c r="B49" s="58"/>
      <c r="C49" s="1" t="str">
        <f t="shared" si="0"/>
        <v/>
      </c>
      <c r="F49" s="58" t="str">
        <f t="shared" si="1"/>
        <v/>
      </c>
      <c r="G49" s="1" t="str">
        <f t="shared" si="2"/>
        <v/>
      </c>
    </row>
    <row r="50" spans="2:7" x14ac:dyDescent="0.2">
      <c r="B50" s="58"/>
      <c r="C50" s="1" t="str">
        <f t="shared" si="0"/>
        <v/>
      </c>
      <c r="F50" s="58" t="str">
        <f t="shared" si="1"/>
        <v/>
      </c>
      <c r="G50" s="1" t="str">
        <f t="shared" si="2"/>
        <v/>
      </c>
    </row>
    <row r="51" spans="2:7" x14ac:dyDescent="0.2">
      <c r="B51" s="58"/>
      <c r="C51" s="1" t="str">
        <f t="shared" si="0"/>
        <v/>
      </c>
      <c r="F51" s="58" t="str">
        <f t="shared" si="1"/>
        <v/>
      </c>
      <c r="G51" s="1" t="str">
        <f t="shared" si="2"/>
        <v/>
      </c>
    </row>
    <row r="52" spans="2:7" x14ac:dyDescent="0.2">
      <c r="B52" s="58"/>
      <c r="C52" s="1" t="str">
        <f t="shared" si="0"/>
        <v/>
      </c>
      <c r="F52" s="58" t="str">
        <f t="shared" si="1"/>
        <v/>
      </c>
      <c r="G52" s="1" t="str">
        <f t="shared" si="2"/>
        <v/>
      </c>
    </row>
    <row r="53" spans="2:7" x14ac:dyDescent="0.2">
      <c r="B53" s="58"/>
      <c r="C53" s="1" t="str">
        <f t="shared" si="0"/>
        <v/>
      </c>
      <c r="F53" s="58" t="str">
        <f t="shared" si="1"/>
        <v/>
      </c>
      <c r="G53" s="1" t="str">
        <f t="shared" si="2"/>
        <v/>
      </c>
    </row>
    <row r="54" spans="2:7" x14ac:dyDescent="0.2">
      <c r="B54" s="58"/>
      <c r="C54" s="1" t="str">
        <f t="shared" si="0"/>
        <v/>
      </c>
      <c r="F54" s="58" t="str">
        <f t="shared" si="1"/>
        <v/>
      </c>
      <c r="G54" s="1" t="str">
        <f t="shared" si="2"/>
        <v/>
      </c>
    </row>
    <row r="55" spans="2:7" x14ac:dyDescent="0.2">
      <c r="B55" s="58"/>
      <c r="C55" s="1" t="str">
        <f t="shared" si="0"/>
        <v/>
      </c>
      <c r="F55" s="58" t="str">
        <f t="shared" si="1"/>
        <v/>
      </c>
      <c r="G55" s="1" t="str">
        <f t="shared" si="2"/>
        <v/>
      </c>
    </row>
    <row r="56" spans="2:7" x14ac:dyDescent="0.2">
      <c r="B56" s="58"/>
      <c r="C56" s="1" t="str">
        <f t="shared" si="0"/>
        <v/>
      </c>
      <c r="F56" s="58" t="str">
        <f t="shared" si="1"/>
        <v/>
      </c>
      <c r="G56" s="1" t="str">
        <f t="shared" si="2"/>
        <v/>
      </c>
    </row>
    <row r="57" spans="2:7" x14ac:dyDescent="0.2">
      <c r="B57" s="58"/>
      <c r="C57" s="1" t="str">
        <f t="shared" si="0"/>
        <v/>
      </c>
      <c r="F57" s="58" t="str">
        <f t="shared" si="1"/>
        <v/>
      </c>
      <c r="G57" s="1" t="str">
        <f t="shared" si="2"/>
        <v/>
      </c>
    </row>
    <row r="58" spans="2:7" x14ac:dyDescent="0.2">
      <c r="B58" s="58"/>
      <c r="C58" s="1" t="str">
        <f t="shared" si="0"/>
        <v/>
      </c>
      <c r="F58" s="58" t="str">
        <f t="shared" si="1"/>
        <v/>
      </c>
      <c r="G58" s="1" t="str">
        <f t="shared" si="2"/>
        <v/>
      </c>
    </row>
    <row r="59" spans="2:7" x14ac:dyDescent="0.2">
      <c r="B59" s="58"/>
      <c r="C59" s="1" t="str">
        <f t="shared" si="0"/>
        <v/>
      </c>
      <c r="F59" s="58" t="str">
        <f t="shared" si="1"/>
        <v/>
      </c>
      <c r="G59" s="1" t="str">
        <f t="shared" si="2"/>
        <v/>
      </c>
    </row>
    <row r="60" spans="2:7" x14ac:dyDescent="0.2">
      <c r="B60" s="58"/>
      <c r="C60" s="1" t="str">
        <f t="shared" si="0"/>
        <v/>
      </c>
      <c r="F60" s="58" t="str">
        <f t="shared" si="1"/>
        <v/>
      </c>
      <c r="G60" s="1" t="str">
        <f t="shared" si="2"/>
        <v/>
      </c>
    </row>
    <row r="61" spans="2:7" x14ac:dyDescent="0.2">
      <c r="B61" s="58"/>
      <c r="C61" s="1" t="str">
        <f t="shared" si="0"/>
        <v/>
      </c>
      <c r="F61" s="58" t="str">
        <f t="shared" si="1"/>
        <v/>
      </c>
      <c r="G61" s="1" t="str">
        <f t="shared" si="2"/>
        <v/>
      </c>
    </row>
    <row r="62" spans="2:7" x14ac:dyDescent="0.2">
      <c r="B62" s="58"/>
      <c r="C62" s="1" t="str">
        <f t="shared" si="0"/>
        <v/>
      </c>
      <c r="F62" s="58" t="str">
        <f t="shared" si="1"/>
        <v/>
      </c>
      <c r="G62" s="1" t="str">
        <f t="shared" si="2"/>
        <v/>
      </c>
    </row>
    <row r="63" spans="2:7" x14ac:dyDescent="0.2">
      <c r="B63" s="58"/>
      <c r="C63" s="1" t="str">
        <f t="shared" si="0"/>
        <v/>
      </c>
      <c r="F63" s="58" t="str">
        <f t="shared" si="1"/>
        <v/>
      </c>
      <c r="G63" s="1" t="str">
        <f t="shared" si="2"/>
        <v/>
      </c>
    </row>
    <row r="64" spans="2:7" x14ac:dyDescent="0.2">
      <c r="B64" s="58"/>
      <c r="C64" s="1" t="str">
        <f t="shared" si="0"/>
        <v/>
      </c>
      <c r="F64" s="58" t="str">
        <f t="shared" si="1"/>
        <v/>
      </c>
      <c r="G64" s="1" t="str">
        <f t="shared" si="2"/>
        <v/>
      </c>
    </row>
    <row r="65" spans="2:7" x14ac:dyDescent="0.2">
      <c r="B65" s="58"/>
      <c r="C65" s="1" t="str">
        <f t="shared" si="0"/>
        <v/>
      </c>
      <c r="F65" s="58" t="str">
        <f t="shared" si="1"/>
        <v/>
      </c>
      <c r="G65" s="1" t="str">
        <f t="shared" si="2"/>
        <v/>
      </c>
    </row>
    <row r="66" spans="2:7" x14ac:dyDescent="0.2">
      <c r="B66" s="58"/>
      <c r="C66" s="1" t="str">
        <f t="shared" si="0"/>
        <v/>
      </c>
      <c r="F66" s="58" t="str">
        <f t="shared" si="1"/>
        <v/>
      </c>
      <c r="G66" s="1" t="str">
        <f t="shared" si="2"/>
        <v/>
      </c>
    </row>
    <row r="67" spans="2:7" x14ac:dyDescent="0.2">
      <c r="B67" s="58"/>
      <c r="C67" s="1" t="str">
        <f t="shared" si="0"/>
        <v/>
      </c>
      <c r="F67" s="58" t="str">
        <f t="shared" si="1"/>
        <v/>
      </c>
      <c r="G67" s="1" t="str">
        <f t="shared" si="2"/>
        <v/>
      </c>
    </row>
    <row r="68" spans="2:7" x14ac:dyDescent="0.2">
      <c r="B68" s="58"/>
      <c r="C68" s="1" t="str">
        <f t="shared" si="0"/>
        <v/>
      </c>
      <c r="F68" s="58" t="str">
        <f t="shared" si="1"/>
        <v/>
      </c>
      <c r="G68" s="1" t="str">
        <f t="shared" si="2"/>
        <v/>
      </c>
    </row>
    <row r="69" spans="2:7" x14ac:dyDescent="0.2">
      <c r="B69" s="58"/>
      <c r="C69" s="1" t="str">
        <f t="shared" si="0"/>
        <v/>
      </c>
      <c r="F69" s="58" t="str">
        <f t="shared" si="1"/>
        <v/>
      </c>
      <c r="G69" s="1" t="str">
        <f t="shared" si="2"/>
        <v/>
      </c>
    </row>
    <row r="70" spans="2:7" x14ac:dyDescent="0.2">
      <c r="B70" s="58"/>
      <c r="C70" s="1" t="str">
        <f t="shared" si="0"/>
        <v/>
      </c>
      <c r="F70" s="58" t="str">
        <f t="shared" si="1"/>
        <v/>
      </c>
      <c r="G70" s="1" t="str">
        <f t="shared" si="2"/>
        <v/>
      </c>
    </row>
    <row r="71" spans="2:7" x14ac:dyDescent="0.2">
      <c r="B71" s="58"/>
      <c r="C71" s="1" t="str">
        <f t="shared" si="0"/>
        <v/>
      </c>
      <c r="F71" s="58" t="str">
        <f t="shared" si="1"/>
        <v/>
      </c>
      <c r="G71" s="1" t="str">
        <f t="shared" si="2"/>
        <v/>
      </c>
    </row>
    <row r="72" spans="2:7" x14ac:dyDescent="0.2">
      <c r="B72" s="58"/>
      <c r="C72" s="1" t="str">
        <f t="shared" si="0"/>
        <v/>
      </c>
      <c r="F72" s="58" t="str">
        <f t="shared" si="1"/>
        <v/>
      </c>
      <c r="G72" s="1" t="str">
        <f t="shared" si="2"/>
        <v/>
      </c>
    </row>
    <row r="73" spans="2:7" x14ac:dyDescent="0.2">
      <c r="B73" s="58"/>
      <c r="C73" s="1" t="str">
        <f t="shared" ref="C73:C136" si="3">IF(B73="","",IF(B73&lt;B72,"ERROR: Value less than Previous Cell, Invalid for solver","&lt;station loc="""&amp;B73&amp;""" X=""0"" Y=""0"" Z=""0"" rX=""0"" rY=""0"" rZ=""0"" /&gt;"))</f>
        <v/>
      </c>
      <c r="F73" s="58" t="str">
        <f t="shared" ref="F73:F87" si="4">IF(OR(F72=$F$5,F72=""),"",IF(F72+$F$6&gt;$F$5,$F$5,F72+$F$6))</f>
        <v/>
      </c>
      <c r="G73" s="1" t="str">
        <f t="shared" ref="G73:G136" si="5">IF(F73="","",IF(F73&lt;F72,"ERROR: Value less than Previous Cell, Invalid for solver","&lt;station loc="""&amp;F73&amp;""" X=""0"" Y=""0"" Z=""0"" rX=""0"" rY=""0"" rZ=""0"" /&gt;"))</f>
        <v/>
      </c>
    </row>
    <row r="74" spans="2:7" x14ac:dyDescent="0.2">
      <c r="B74" s="58"/>
      <c r="C74" s="1" t="str">
        <f t="shared" si="3"/>
        <v/>
      </c>
      <c r="F74" s="58" t="str">
        <f t="shared" si="4"/>
        <v/>
      </c>
      <c r="G74" s="1" t="str">
        <f t="shared" si="5"/>
        <v/>
      </c>
    </row>
    <row r="75" spans="2:7" x14ac:dyDescent="0.2">
      <c r="B75" s="58"/>
      <c r="C75" s="1" t="str">
        <f t="shared" si="3"/>
        <v/>
      </c>
      <c r="F75" s="58" t="str">
        <f t="shared" si="4"/>
        <v/>
      </c>
      <c r="G75" s="1" t="str">
        <f t="shared" si="5"/>
        <v/>
      </c>
    </row>
    <row r="76" spans="2:7" x14ac:dyDescent="0.2">
      <c r="B76" s="58"/>
      <c r="C76" s="1" t="str">
        <f t="shared" si="3"/>
        <v/>
      </c>
      <c r="F76" s="58" t="str">
        <f t="shared" si="4"/>
        <v/>
      </c>
      <c r="G76" s="1" t="str">
        <f t="shared" si="5"/>
        <v/>
      </c>
    </row>
    <row r="77" spans="2:7" x14ac:dyDescent="0.2">
      <c r="B77" s="58"/>
      <c r="C77" s="1" t="str">
        <f t="shared" si="3"/>
        <v/>
      </c>
      <c r="F77" s="58" t="str">
        <f t="shared" si="4"/>
        <v/>
      </c>
      <c r="G77" s="1" t="str">
        <f t="shared" si="5"/>
        <v/>
      </c>
    </row>
    <row r="78" spans="2:7" x14ac:dyDescent="0.2">
      <c r="B78" s="58"/>
      <c r="C78" s="1" t="str">
        <f t="shared" si="3"/>
        <v/>
      </c>
      <c r="F78" s="58" t="str">
        <f t="shared" si="4"/>
        <v/>
      </c>
      <c r="G78" s="1" t="str">
        <f t="shared" si="5"/>
        <v/>
      </c>
    </row>
    <row r="79" spans="2:7" x14ac:dyDescent="0.2">
      <c r="B79" s="58"/>
      <c r="C79" s="1" t="str">
        <f t="shared" si="3"/>
        <v/>
      </c>
      <c r="F79" s="58" t="str">
        <f t="shared" si="4"/>
        <v/>
      </c>
      <c r="G79" s="1" t="str">
        <f t="shared" si="5"/>
        <v/>
      </c>
    </row>
    <row r="80" spans="2:7" x14ac:dyDescent="0.2">
      <c r="B80" s="58"/>
      <c r="C80" s="1" t="str">
        <f t="shared" si="3"/>
        <v/>
      </c>
      <c r="F80" s="58" t="str">
        <f t="shared" si="4"/>
        <v/>
      </c>
      <c r="G80" s="1" t="str">
        <f t="shared" si="5"/>
        <v/>
      </c>
    </row>
    <row r="81" spans="2:7" x14ac:dyDescent="0.2">
      <c r="B81" s="58"/>
      <c r="C81" s="1" t="str">
        <f t="shared" si="3"/>
        <v/>
      </c>
      <c r="F81" s="58" t="str">
        <f t="shared" si="4"/>
        <v/>
      </c>
      <c r="G81" s="1" t="str">
        <f t="shared" si="5"/>
        <v/>
      </c>
    </row>
    <row r="82" spans="2:7" x14ac:dyDescent="0.2">
      <c r="B82" s="58"/>
      <c r="C82" s="1" t="str">
        <f t="shared" si="3"/>
        <v/>
      </c>
      <c r="F82" s="58" t="str">
        <f t="shared" si="4"/>
        <v/>
      </c>
      <c r="G82" s="1" t="str">
        <f t="shared" si="5"/>
        <v/>
      </c>
    </row>
    <row r="83" spans="2:7" x14ac:dyDescent="0.2">
      <c r="B83" s="58"/>
      <c r="C83" s="1" t="str">
        <f t="shared" si="3"/>
        <v/>
      </c>
      <c r="F83" s="58" t="str">
        <f t="shared" si="4"/>
        <v/>
      </c>
      <c r="G83" s="1" t="str">
        <f t="shared" si="5"/>
        <v/>
      </c>
    </row>
    <row r="84" spans="2:7" x14ac:dyDescent="0.2">
      <c r="B84" s="58"/>
      <c r="C84" s="1" t="str">
        <f t="shared" si="3"/>
        <v/>
      </c>
      <c r="F84" s="58" t="str">
        <f t="shared" si="4"/>
        <v/>
      </c>
      <c r="G84" s="1" t="str">
        <f t="shared" si="5"/>
        <v/>
      </c>
    </row>
    <row r="85" spans="2:7" x14ac:dyDescent="0.2">
      <c r="B85" s="58"/>
      <c r="C85" s="1" t="str">
        <f t="shared" si="3"/>
        <v/>
      </c>
      <c r="F85" s="58" t="str">
        <f t="shared" si="4"/>
        <v/>
      </c>
      <c r="G85" s="1" t="str">
        <f t="shared" si="5"/>
        <v/>
      </c>
    </row>
    <row r="86" spans="2:7" x14ac:dyDescent="0.2">
      <c r="B86" s="58"/>
      <c r="C86" s="1" t="str">
        <f t="shared" si="3"/>
        <v/>
      </c>
      <c r="F86" s="58" t="str">
        <f t="shared" si="4"/>
        <v/>
      </c>
      <c r="G86" s="1" t="str">
        <f t="shared" si="5"/>
        <v/>
      </c>
    </row>
    <row r="87" spans="2:7" x14ac:dyDescent="0.2">
      <c r="B87" s="58"/>
      <c r="C87" s="1" t="str">
        <f t="shared" si="3"/>
        <v/>
      </c>
      <c r="F87" s="58" t="str">
        <f t="shared" si="4"/>
        <v/>
      </c>
      <c r="G87" s="1" t="str">
        <f t="shared" si="5"/>
        <v/>
      </c>
    </row>
    <row r="88" spans="2:7" x14ac:dyDescent="0.2">
      <c r="B88" s="58"/>
      <c r="C88" s="1" t="str">
        <f t="shared" si="3"/>
        <v/>
      </c>
      <c r="F88" s="58" t="str">
        <f t="shared" ref="F88:F119" si="6">IF(OR(F87=$F$5,F87=""),"",IF(F87+$F$6&gt;$F$5,$F$5,F87+$F$6))</f>
        <v/>
      </c>
      <c r="G88" s="1" t="str">
        <f t="shared" si="5"/>
        <v/>
      </c>
    </row>
    <row r="89" spans="2:7" x14ac:dyDescent="0.2">
      <c r="B89" s="58"/>
      <c r="C89" s="1" t="str">
        <f t="shared" si="3"/>
        <v/>
      </c>
      <c r="F89" s="58" t="str">
        <f t="shared" si="6"/>
        <v/>
      </c>
      <c r="G89" s="1" t="str">
        <f t="shared" si="5"/>
        <v/>
      </c>
    </row>
    <row r="90" spans="2:7" x14ac:dyDescent="0.2">
      <c r="B90" s="58"/>
      <c r="C90" s="1" t="str">
        <f t="shared" si="3"/>
        <v/>
      </c>
      <c r="F90" s="58" t="str">
        <f t="shared" si="6"/>
        <v/>
      </c>
      <c r="G90" s="1" t="str">
        <f t="shared" si="5"/>
        <v/>
      </c>
    </row>
    <row r="91" spans="2:7" x14ac:dyDescent="0.2">
      <c r="B91" s="58"/>
      <c r="C91" s="1" t="str">
        <f t="shared" si="3"/>
        <v/>
      </c>
      <c r="F91" s="58" t="str">
        <f t="shared" si="6"/>
        <v/>
      </c>
      <c r="G91" s="1" t="str">
        <f t="shared" si="5"/>
        <v/>
      </c>
    </row>
    <row r="92" spans="2:7" x14ac:dyDescent="0.2">
      <c r="B92" s="58"/>
      <c r="C92" s="1" t="str">
        <f t="shared" si="3"/>
        <v/>
      </c>
      <c r="F92" s="58" t="str">
        <f t="shared" si="6"/>
        <v/>
      </c>
      <c r="G92" s="1" t="str">
        <f t="shared" si="5"/>
        <v/>
      </c>
    </row>
    <row r="93" spans="2:7" x14ac:dyDescent="0.2">
      <c r="B93" s="58"/>
      <c r="C93" s="1" t="str">
        <f t="shared" si="3"/>
        <v/>
      </c>
      <c r="F93" s="58" t="str">
        <f t="shared" si="6"/>
        <v/>
      </c>
      <c r="G93" s="1" t="str">
        <f t="shared" si="5"/>
        <v/>
      </c>
    </row>
    <row r="94" spans="2:7" x14ac:dyDescent="0.2">
      <c r="B94" s="58"/>
      <c r="C94" s="1" t="str">
        <f t="shared" si="3"/>
        <v/>
      </c>
      <c r="F94" s="58" t="str">
        <f t="shared" si="6"/>
        <v/>
      </c>
      <c r="G94" s="1" t="str">
        <f t="shared" si="5"/>
        <v/>
      </c>
    </row>
    <row r="95" spans="2:7" x14ac:dyDescent="0.2">
      <c r="B95" s="58"/>
      <c r="C95" s="1" t="str">
        <f t="shared" si="3"/>
        <v/>
      </c>
      <c r="F95" s="58" t="str">
        <f t="shared" si="6"/>
        <v/>
      </c>
      <c r="G95" s="1" t="str">
        <f t="shared" si="5"/>
        <v/>
      </c>
    </row>
    <row r="96" spans="2:7" x14ac:dyDescent="0.2">
      <c r="B96" s="58"/>
      <c r="C96" s="1" t="str">
        <f t="shared" si="3"/>
        <v/>
      </c>
      <c r="F96" s="58" t="str">
        <f t="shared" si="6"/>
        <v/>
      </c>
      <c r="G96" s="1" t="str">
        <f t="shared" si="5"/>
        <v/>
      </c>
    </row>
    <row r="97" spans="2:7" x14ac:dyDescent="0.2">
      <c r="B97" s="58"/>
      <c r="C97" s="1" t="str">
        <f t="shared" si="3"/>
        <v/>
      </c>
      <c r="F97" s="58" t="str">
        <f t="shared" si="6"/>
        <v/>
      </c>
      <c r="G97" s="1" t="str">
        <f t="shared" si="5"/>
        <v/>
      </c>
    </row>
    <row r="98" spans="2:7" x14ac:dyDescent="0.2">
      <c r="B98" s="58"/>
      <c r="C98" s="1" t="str">
        <f t="shared" si="3"/>
        <v/>
      </c>
      <c r="F98" s="58" t="str">
        <f t="shared" si="6"/>
        <v/>
      </c>
      <c r="G98" s="1" t="str">
        <f t="shared" si="5"/>
        <v/>
      </c>
    </row>
    <row r="99" spans="2:7" x14ac:dyDescent="0.2">
      <c r="B99" s="58"/>
      <c r="C99" s="1" t="str">
        <f t="shared" si="3"/>
        <v/>
      </c>
      <c r="F99" s="58" t="str">
        <f t="shared" si="6"/>
        <v/>
      </c>
      <c r="G99" s="1" t="str">
        <f t="shared" si="5"/>
        <v/>
      </c>
    </row>
    <row r="100" spans="2:7" x14ac:dyDescent="0.2">
      <c r="B100" s="58"/>
      <c r="C100" s="1" t="str">
        <f t="shared" si="3"/>
        <v/>
      </c>
      <c r="F100" s="58" t="str">
        <f t="shared" si="6"/>
        <v/>
      </c>
      <c r="G100" s="1" t="str">
        <f t="shared" si="5"/>
        <v/>
      </c>
    </row>
    <row r="101" spans="2:7" x14ac:dyDescent="0.2">
      <c r="B101" s="58"/>
      <c r="C101" s="1" t="str">
        <f t="shared" si="3"/>
        <v/>
      </c>
      <c r="F101" s="58" t="str">
        <f t="shared" si="6"/>
        <v/>
      </c>
      <c r="G101" s="1" t="str">
        <f t="shared" si="5"/>
        <v/>
      </c>
    </row>
    <row r="102" spans="2:7" x14ac:dyDescent="0.2">
      <c r="B102" s="58"/>
      <c r="C102" s="1" t="str">
        <f t="shared" si="3"/>
        <v/>
      </c>
      <c r="F102" s="58" t="str">
        <f t="shared" si="6"/>
        <v/>
      </c>
      <c r="G102" s="1" t="str">
        <f t="shared" si="5"/>
        <v/>
      </c>
    </row>
    <row r="103" spans="2:7" x14ac:dyDescent="0.2">
      <c r="B103" s="58"/>
      <c r="C103" s="1" t="str">
        <f t="shared" si="3"/>
        <v/>
      </c>
      <c r="F103" s="58" t="str">
        <f t="shared" si="6"/>
        <v/>
      </c>
      <c r="G103" s="1" t="str">
        <f t="shared" si="5"/>
        <v/>
      </c>
    </row>
    <row r="104" spans="2:7" x14ac:dyDescent="0.2">
      <c r="B104" s="58"/>
      <c r="C104" s="1" t="str">
        <f t="shared" si="3"/>
        <v/>
      </c>
      <c r="F104" s="58" t="str">
        <f t="shared" si="6"/>
        <v/>
      </c>
      <c r="G104" s="1" t="str">
        <f t="shared" si="5"/>
        <v/>
      </c>
    </row>
    <row r="105" spans="2:7" x14ac:dyDescent="0.2">
      <c r="B105" s="58"/>
      <c r="C105" s="1" t="str">
        <f t="shared" si="3"/>
        <v/>
      </c>
      <c r="F105" s="58" t="str">
        <f t="shared" si="6"/>
        <v/>
      </c>
      <c r="G105" s="1" t="str">
        <f t="shared" si="5"/>
        <v/>
      </c>
    </row>
    <row r="106" spans="2:7" x14ac:dyDescent="0.2">
      <c r="B106" s="58"/>
      <c r="C106" s="1" t="str">
        <f t="shared" si="3"/>
        <v/>
      </c>
      <c r="F106" s="58" t="str">
        <f t="shared" si="6"/>
        <v/>
      </c>
      <c r="G106" s="1" t="str">
        <f t="shared" si="5"/>
        <v/>
      </c>
    </row>
    <row r="107" spans="2:7" x14ac:dyDescent="0.2">
      <c r="B107" s="58"/>
      <c r="C107" s="1" t="str">
        <f t="shared" si="3"/>
        <v/>
      </c>
      <c r="F107" s="58" t="str">
        <f t="shared" si="6"/>
        <v/>
      </c>
      <c r="G107" s="1" t="str">
        <f t="shared" si="5"/>
        <v/>
      </c>
    </row>
    <row r="108" spans="2:7" x14ac:dyDescent="0.2">
      <c r="B108" s="58"/>
      <c r="C108" s="1" t="str">
        <f t="shared" si="3"/>
        <v/>
      </c>
      <c r="F108" s="58" t="str">
        <f t="shared" si="6"/>
        <v/>
      </c>
      <c r="G108" s="1" t="str">
        <f t="shared" si="5"/>
        <v/>
      </c>
    </row>
    <row r="109" spans="2:7" x14ac:dyDescent="0.2">
      <c r="B109" s="58"/>
      <c r="C109" s="1" t="str">
        <f t="shared" si="3"/>
        <v/>
      </c>
      <c r="F109" s="58" t="str">
        <f t="shared" si="6"/>
        <v/>
      </c>
      <c r="G109" s="1" t="str">
        <f t="shared" si="5"/>
        <v/>
      </c>
    </row>
    <row r="110" spans="2:7" x14ac:dyDescent="0.2">
      <c r="B110" s="58"/>
      <c r="C110" s="1" t="str">
        <f t="shared" si="3"/>
        <v/>
      </c>
      <c r="F110" s="58" t="str">
        <f t="shared" si="6"/>
        <v/>
      </c>
      <c r="G110" s="1" t="str">
        <f t="shared" si="5"/>
        <v/>
      </c>
    </row>
    <row r="111" spans="2:7" x14ac:dyDescent="0.2">
      <c r="B111" s="58"/>
      <c r="C111" s="1" t="str">
        <f t="shared" si="3"/>
        <v/>
      </c>
      <c r="F111" s="58" t="str">
        <f t="shared" si="6"/>
        <v/>
      </c>
      <c r="G111" s="1" t="str">
        <f t="shared" si="5"/>
        <v/>
      </c>
    </row>
    <row r="112" spans="2:7" x14ac:dyDescent="0.2">
      <c r="B112" s="58"/>
      <c r="C112" s="1" t="str">
        <f t="shared" si="3"/>
        <v/>
      </c>
      <c r="F112" s="58" t="str">
        <f t="shared" si="6"/>
        <v/>
      </c>
      <c r="G112" s="1" t="str">
        <f t="shared" si="5"/>
        <v/>
      </c>
    </row>
    <row r="113" spans="2:7" x14ac:dyDescent="0.2">
      <c r="B113" s="58"/>
      <c r="C113" s="1" t="str">
        <f t="shared" si="3"/>
        <v/>
      </c>
      <c r="F113" s="58" t="str">
        <f t="shared" si="6"/>
        <v/>
      </c>
      <c r="G113" s="1" t="str">
        <f t="shared" si="5"/>
        <v/>
      </c>
    </row>
    <row r="114" spans="2:7" x14ac:dyDescent="0.2">
      <c r="B114" s="58"/>
      <c r="C114" s="1" t="str">
        <f t="shared" si="3"/>
        <v/>
      </c>
      <c r="F114" s="58" t="str">
        <f t="shared" si="6"/>
        <v/>
      </c>
      <c r="G114" s="1" t="str">
        <f t="shared" si="5"/>
        <v/>
      </c>
    </row>
    <row r="115" spans="2:7" x14ac:dyDescent="0.2">
      <c r="B115" s="58"/>
      <c r="C115" s="1" t="str">
        <f t="shared" si="3"/>
        <v/>
      </c>
      <c r="F115" s="58" t="str">
        <f t="shared" si="6"/>
        <v/>
      </c>
      <c r="G115" s="1" t="str">
        <f t="shared" si="5"/>
        <v/>
      </c>
    </row>
    <row r="116" spans="2:7" x14ac:dyDescent="0.2">
      <c r="B116" s="58"/>
      <c r="C116" s="1" t="str">
        <f t="shared" si="3"/>
        <v/>
      </c>
      <c r="F116" s="58" t="str">
        <f t="shared" si="6"/>
        <v/>
      </c>
      <c r="G116" s="1" t="str">
        <f t="shared" si="5"/>
        <v/>
      </c>
    </row>
    <row r="117" spans="2:7" x14ac:dyDescent="0.2">
      <c r="B117" s="58"/>
      <c r="C117" s="1" t="str">
        <f t="shared" si="3"/>
        <v/>
      </c>
      <c r="F117" s="58" t="str">
        <f t="shared" si="6"/>
        <v/>
      </c>
      <c r="G117" s="1" t="str">
        <f t="shared" si="5"/>
        <v/>
      </c>
    </row>
    <row r="118" spans="2:7" x14ac:dyDescent="0.2">
      <c r="B118" s="58"/>
      <c r="C118" s="1" t="str">
        <f t="shared" si="3"/>
        <v/>
      </c>
      <c r="F118" s="58" t="str">
        <f t="shared" si="6"/>
        <v/>
      </c>
      <c r="G118" s="1" t="str">
        <f t="shared" si="5"/>
        <v/>
      </c>
    </row>
    <row r="119" spans="2:7" x14ac:dyDescent="0.2">
      <c r="B119" s="58"/>
      <c r="C119" s="1" t="str">
        <f t="shared" si="3"/>
        <v/>
      </c>
      <c r="F119" s="58" t="str">
        <f t="shared" si="6"/>
        <v/>
      </c>
      <c r="G119" s="1" t="str">
        <f t="shared" si="5"/>
        <v/>
      </c>
    </row>
    <row r="120" spans="2:7" x14ac:dyDescent="0.2">
      <c r="B120" s="58"/>
      <c r="C120" s="1" t="str">
        <f t="shared" si="3"/>
        <v/>
      </c>
      <c r="F120" s="58" t="str">
        <f t="shared" ref="F120:F152" si="7">IF(OR(F119=$F$5,F119=""),"",IF(F119+$F$6&gt;$F$5,$F$5,F119+$F$6))</f>
        <v/>
      </c>
      <c r="G120" s="1" t="str">
        <f t="shared" si="5"/>
        <v/>
      </c>
    </row>
    <row r="121" spans="2:7" x14ac:dyDescent="0.2">
      <c r="B121" s="58"/>
      <c r="C121" s="1" t="str">
        <f t="shared" si="3"/>
        <v/>
      </c>
      <c r="F121" s="58" t="str">
        <f t="shared" si="7"/>
        <v/>
      </c>
      <c r="G121" s="1" t="str">
        <f t="shared" si="5"/>
        <v/>
      </c>
    </row>
    <row r="122" spans="2:7" x14ac:dyDescent="0.2">
      <c r="B122" s="58"/>
      <c r="C122" s="1" t="str">
        <f t="shared" si="3"/>
        <v/>
      </c>
      <c r="F122" s="58" t="str">
        <f t="shared" si="7"/>
        <v/>
      </c>
      <c r="G122" s="1" t="str">
        <f t="shared" si="5"/>
        <v/>
      </c>
    </row>
    <row r="123" spans="2:7" x14ac:dyDescent="0.2">
      <c r="B123" s="58"/>
      <c r="C123" s="1" t="str">
        <f t="shared" si="3"/>
        <v/>
      </c>
      <c r="F123" s="58" t="str">
        <f t="shared" si="7"/>
        <v/>
      </c>
      <c r="G123" s="1" t="str">
        <f t="shared" si="5"/>
        <v/>
      </c>
    </row>
    <row r="124" spans="2:7" x14ac:dyDescent="0.2">
      <c r="B124" s="58"/>
      <c r="C124" s="1" t="str">
        <f t="shared" si="3"/>
        <v/>
      </c>
      <c r="F124" s="58" t="str">
        <f t="shared" si="7"/>
        <v/>
      </c>
      <c r="G124" s="1" t="str">
        <f t="shared" si="5"/>
        <v/>
      </c>
    </row>
    <row r="125" spans="2:7" x14ac:dyDescent="0.2">
      <c r="B125" s="58"/>
      <c r="C125" s="1" t="str">
        <f t="shared" si="3"/>
        <v/>
      </c>
      <c r="F125" s="58" t="str">
        <f t="shared" si="7"/>
        <v/>
      </c>
      <c r="G125" s="1" t="str">
        <f t="shared" si="5"/>
        <v/>
      </c>
    </row>
    <row r="126" spans="2:7" x14ac:dyDescent="0.2">
      <c r="B126" s="58"/>
      <c r="C126" s="1" t="str">
        <f t="shared" si="3"/>
        <v/>
      </c>
      <c r="F126" s="58" t="str">
        <f t="shared" si="7"/>
        <v/>
      </c>
      <c r="G126" s="1" t="str">
        <f t="shared" si="5"/>
        <v/>
      </c>
    </row>
    <row r="127" spans="2:7" x14ac:dyDescent="0.2">
      <c r="B127" s="58"/>
      <c r="C127" s="1" t="str">
        <f t="shared" si="3"/>
        <v/>
      </c>
      <c r="F127" s="58" t="str">
        <f t="shared" si="7"/>
        <v/>
      </c>
      <c r="G127" s="1" t="str">
        <f t="shared" si="5"/>
        <v/>
      </c>
    </row>
    <row r="128" spans="2:7" x14ac:dyDescent="0.2">
      <c r="B128" s="58"/>
      <c r="C128" s="1" t="str">
        <f t="shared" si="3"/>
        <v/>
      </c>
      <c r="F128" s="58" t="str">
        <f t="shared" si="7"/>
        <v/>
      </c>
      <c r="G128" s="1" t="str">
        <f t="shared" si="5"/>
        <v/>
      </c>
    </row>
    <row r="129" spans="2:7" x14ac:dyDescent="0.2">
      <c r="B129" s="58"/>
      <c r="C129" s="1" t="str">
        <f t="shared" si="3"/>
        <v/>
      </c>
      <c r="F129" s="58" t="str">
        <f t="shared" si="7"/>
        <v/>
      </c>
      <c r="G129" s="1" t="str">
        <f t="shared" si="5"/>
        <v/>
      </c>
    </row>
    <row r="130" spans="2:7" x14ac:dyDescent="0.2">
      <c r="B130" s="58"/>
      <c r="C130" s="1" t="str">
        <f t="shared" si="3"/>
        <v/>
      </c>
      <c r="F130" s="58" t="str">
        <f t="shared" si="7"/>
        <v/>
      </c>
      <c r="G130" s="1" t="str">
        <f t="shared" si="5"/>
        <v/>
      </c>
    </row>
    <row r="131" spans="2:7" x14ac:dyDescent="0.2">
      <c r="B131" s="58"/>
      <c r="C131" s="1" t="str">
        <f t="shared" si="3"/>
        <v/>
      </c>
      <c r="F131" s="58" t="str">
        <f t="shared" si="7"/>
        <v/>
      </c>
      <c r="G131" s="1" t="str">
        <f t="shared" si="5"/>
        <v/>
      </c>
    </row>
    <row r="132" spans="2:7" x14ac:dyDescent="0.2">
      <c r="B132" s="58"/>
      <c r="C132" s="1" t="str">
        <f t="shared" si="3"/>
        <v/>
      </c>
      <c r="F132" s="58" t="str">
        <f t="shared" si="7"/>
        <v/>
      </c>
      <c r="G132" s="1" t="str">
        <f t="shared" si="5"/>
        <v/>
      </c>
    </row>
    <row r="133" spans="2:7" x14ac:dyDescent="0.2">
      <c r="B133" s="58"/>
      <c r="C133" s="1" t="str">
        <f t="shared" si="3"/>
        <v/>
      </c>
      <c r="F133" s="58" t="str">
        <f t="shared" si="7"/>
        <v/>
      </c>
      <c r="G133" s="1" t="str">
        <f t="shared" si="5"/>
        <v/>
      </c>
    </row>
    <row r="134" spans="2:7" x14ac:dyDescent="0.2">
      <c r="B134" s="58"/>
      <c r="C134" s="1" t="str">
        <f t="shared" si="3"/>
        <v/>
      </c>
      <c r="F134" s="58" t="str">
        <f t="shared" si="7"/>
        <v/>
      </c>
      <c r="G134" s="1" t="str">
        <f t="shared" si="5"/>
        <v/>
      </c>
    </row>
    <row r="135" spans="2:7" x14ac:dyDescent="0.2">
      <c r="B135" s="58"/>
      <c r="C135" s="1" t="str">
        <f t="shared" si="3"/>
        <v/>
      </c>
      <c r="F135" s="58" t="str">
        <f t="shared" si="7"/>
        <v/>
      </c>
      <c r="G135" s="1" t="str">
        <f t="shared" si="5"/>
        <v/>
      </c>
    </row>
    <row r="136" spans="2:7" x14ac:dyDescent="0.2">
      <c r="B136" s="58"/>
      <c r="C136" s="1" t="str">
        <f t="shared" si="3"/>
        <v/>
      </c>
      <c r="F136" s="58" t="str">
        <f t="shared" si="7"/>
        <v/>
      </c>
      <c r="G136" s="1" t="str">
        <f t="shared" si="5"/>
        <v/>
      </c>
    </row>
    <row r="137" spans="2:7" x14ac:dyDescent="0.2">
      <c r="B137" s="58"/>
      <c r="C137" s="1" t="str">
        <f t="shared" ref="C137:C200" si="8">IF(B137="","",IF(B137&lt;B136,"ERROR: Value less than Previous Cell, Invalid for solver","&lt;station loc="""&amp;B137&amp;""" X=""0"" Y=""0"" Z=""0"" rX=""0"" rY=""0"" rZ=""0"" /&gt;"))</f>
        <v/>
      </c>
      <c r="F137" s="58" t="str">
        <f t="shared" si="7"/>
        <v/>
      </c>
      <c r="G137" s="1" t="str">
        <f t="shared" ref="G137:G200" si="9">IF(F137="","",IF(F137&lt;F136,"ERROR: Value less than Previous Cell, Invalid for solver","&lt;station loc="""&amp;F137&amp;""" X=""0"" Y=""0"" Z=""0"" rX=""0"" rY=""0"" rZ=""0"" /&gt;"))</f>
        <v/>
      </c>
    </row>
    <row r="138" spans="2:7" x14ac:dyDescent="0.2">
      <c r="B138" s="58"/>
      <c r="C138" s="1" t="str">
        <f t="shared" si="8"/>
        <v/>
      </c>
      <c r="F138" s="58" t="str">
        <f t="shared" si="7"/>
        <v/>
      </c>
      <c r="G138" s="1" t="str">
        <f t="shared" si="9"/>
        <v/>
      </c>
    </row>
    <row r="139" spans="2:7" x14ac:dyDescent="0.2">
      <c r="B139" s="58"/>
      <c r="C139" s="1" t="str">
        <f t="shared" si="8"/>
        <v/>
      </c>
      <c r="F139" s="58" t="str">
        <f t="shared" si="7"/>
        <v/>
      </c>
      <c r="G139" s="1" t="str">
        <f t="shared" si="9"/>
        <v/>
      </c>
    </row>
    <row r="140" spans="2:7" x14ac:dyDescent="0.2">
      <c r="B140" s="58"/>
      <c r="C140" s="1" t="str">
        <f t="shared" si="8"/>
        <v/>
      </c>
      <c r="F140" s="58" t="str">
        <f t="shared" si="7"/>
        <v/>
      </c>
      <c r="G140" s="1" t="str">
        <f t="shared" si="9"/>
        <v/>
      </c>
    </row>
    <row r="141" spans="2:7" x14ac:dyDescent="0.2">
      <c r="B141" s="58"/>
      <c r="C141" s="1" t="str">
        <f t="shared" si="8"/>
        <v/>
      </c>
      <c r="F141" s="58" t="str">
        <f t="shared" si="7"/>
        <v/>
      </c>
      <c r="G141" s="1" t="str">
        <f t="shared" si="9"/>
        <v/>
      </c>
    </row>
    <row r="142" spans="2:7" x14ac:dyDescent="0.2">
      <c r="B142" s="58"/>
      <c r="C142" s="1" t="str">
        <f t="shared" si="8"/>
        <v/>
      </c>
      <c r="F142" s="58" t="str">
        <f t="shared" si="7"/>
        <v/>
      </c>
      <c r="G142" s="1" t="str">
        <f t="shared" si="9"/>
        <v/>
      </c>
    </row>
    <row r="143" spans="2:7" x14ac:dyDescent="0.2">
      <c r="B143" s="58"/>
      <c r="C143" s="1" t="str">
        <f t="shared" si="8"/>
        <v/>
      </c>
      <c r="F143" s="58" t="str">
        <f t="shared" si="7"/>
        <v/>
      </c>
      <c r="G143" s="1" t="str">
        <f t="shared" si="9"/>
        <v/>
      </c>
    </row>
    <row r="144" spans="2:7" x14ac:dyDescent="0.2">
      <c r="B144" s="58"/>
      <c r="C144" s="1" t="str">
        <f t="shared" si="8"/>
        <v/>
      </c>
      <c r="F144" s="58" t="str">
        <f t="shared" si="7"/>
        <v/>
      </c>
      <c r="G144" s="1" t="str">
        <f t="shared" si="9"/>
        <v/>
      </c>
    </row>
    <row r="145" spans="2:7" x14ac:dyDescent="0.2">
      <c r="B145" s="58"/>
      <c r="C145" s="1" t="str">
        <f t="shared" si="8"/>
        <v/>
      </c>
      <c r="F145" s="58" t="str">
        <f t="shared" si="7"/>
        <v/>
      </c>
      <c r="G145" s="1" t="str">
        <f t="shared" si="9"/>
        <v/>
      </c>
    </row>
    <row r="146" spans="2:7" x14ac:dyDescent="0.2">
      <c r="B146" s="58"/>
      <c r="C146" s="1" t="str">
        <f t="shared" si="8"/>
        <v/>
      </c>
      <c r="F146" s="58" t="str">
        <f t="shared" si="7"/>
        <v/>
      </c>
      <c r="G146" s="1" t="str">
        <f t="shared" si="9"/>
        <v/>
      </c>
    </row>
    <row r="147" spans="2:7" x14ac:dyDescent="0.2">
      <c r="B147" s="58"/>
      <c r="C147" s="1" t="str">
        <f t="shared" si="8"/>
        <v/>
      </c>
      <c r="F147" s="58" t="str">
        <f t="shared" si="7"/>
        <v/>
      </c>
      <c r="G147" s="1" t="str">
        <f t="shared" si="9"/>
        <v/>
      </c>
    </row>
    <row r="148" spans="2:7" x14ac:dyDescent="0.2">
      <c r="B148" s="58"/>
      <c r="C148" s="1" t="str">
        <f t="shared" si="8"/>
        <v/>
      </c>
      <c r="F148" s="58" t="str">
        <f t="shared" si="7"/>
        <v/>
      </c>
      <c r="G148" s="1" t="str">
        <f t="shared" si="9"/>
        <v/>
      </c>
    </row>
    <row r="149" spans="2:7" x14ac:dyDescent="0.2">
      <c r="B149" s="58"/>
      <c r="C149" s="1" t="str">
        <f t="shared" si="8"/>
        <v/>
      </c>
      <c r="F149" s="58" t="str">
        <f t="shared" si="7"/>
        <v/>
      </c>
      <c r="G149" s="1" t="str">
        <f t="shared" si="9"/>
        <v/>
      </c>
    </row>
    <row r="150" spans="2:7" x14ac:dyDescent="0.2">
      <c r="B150" s="58"/>
      <c r="C150" s="1" t="str">
        <f t="shared" si="8"/>
        <v/>
      </c>
      <c r="F150" s="58" t="str">
        <f t="shared" si="7"/>
        <v/>
      </c>
      <c r="G150" s="1" t="str">
        <f t="shared" si="9"/>
        <v/>
      </c>
    </row>
    <row r="151" spans="2:7" x14ac:dyDescent="0.2">
      <c r="B151" s="58"/>
      <c r="C151" s="1" t="str">
        <f t="shared" si="8"/>
        <v/>
      </c>
      <c r="F151" s="62" t="str">
        <f t="shared" si="7"/>
        <v/>
      </c>
      <c r="G151" s="1" t="str">
        <f t="shared" si="9"/>
        <v/>
      </c>
    </row>
    <row r="152" spans="2:7" x14ac:dyDescent="0.2">
      <c r="B152" s="58"/>
      <c r="C152" s="1" t="str">
        <f t="shared" si="8"/>
        <v/>
      </c>
      <c r="F152" s="58" t="str">
        <f t="shared" si="7"/>
        <v/>
      </c>
      <c r="G152" s="1" t="str">
        <f t="shared" si="9"/>
        <v/>
      </c>
    </row>
    <row r="153" spans="2:7" x14ac:dyDescent="0.2">
      <c r="B153" s="58"/>
      <c r="C153" s="1" t="str">
        <f t="shared" si="8"/>
        <v/>
      </c>
      <c r="F153" s="62" t="str">
        <f t="shared" ref="F153:F216" si="10">IF(OR(F152=$F$5,F152=""),"",IF(F152+$F$6&gt;$F$5,$F$5,F152+$F$6))</f>
        <v/>
      </c>
      <c r="G153" s="1" t="str">
        <f t="shared" si="9"/>
        <v/>
      </c>
    </row>
    <row r="154" spans="2:7" x14ac:dyDescent="0.2">
      <c r="B154" s="58"/>
      <c r="C154" s="1" t="str">
        <f t="shared" si="8"/>
        <v/>
      </c>
      <c r="F154" s="58" t="str">
        <f t="shared" si="10"/>
        <v/>
      </c>
      <c r="G154" s="1" t="str">
        <f t="shared" si="9"/>
        <v/>
      </c>
    </row>
    <row r="155" spans="2:7" x14ac:dyDescent="0.2">
      <c r="B155" s="58"/>
      <c r="C155" s="1" t="str">
        <f t="shared" si="8"/>
        <v/>
      </c>
      <c r="F155" s="62" t="str">
        <f t="shared" si="10"/>
        <v/>
      </c>
      <c r="G155" s="1" t="str">
        <f t="shared" si="9"/>
        <v/>
      </c>
    </row>
    <row r="156" spans="2:7" x14ac:dyDescent="0.2">
      <c r="B156" s="58"/>
      <c r="C156" s="1" t="str">
        <f t="shared" si="8"/>
        <v/>
      </c>
      <c r="F156" s="58" t="str">
        <f t="shared" si="10"/>
        <v/>
      </c>
      <c r="G156" s="1" t="str">
        <f t="shared" si="9"/>
        <v/>
      </c>
    </row>
    <row r="157" spans="2:7" x14ac:dyDescent="0.2">
      <c r="B157" s="58"/>
      <c r="C157" s="1" t="str">
        <f t="shared" si="8"/>
        <v/>
      </c>
      <c r="F157" s="62" t="str">
        <f t="shared" si="10"/>
        <v/>
      </c>
      <c r="G157" s="1" t="str">
        <f t="shared" si="9"/>
        <v/>
      </c>
    </row>
    <row r="158" spans="2:7" x14ac:dyDescent="0.2">
      <c r="B158" s="58"/>
      <c r="C158" s="1" t="str">
        <f t="shared" si="8"/>
        <v/>
      </c>
      <c r="F158" s="58" t="str">
        <f t="shared" si="10"/>
        <v/>
      </c>
      <c r="G158" s="1" t="str">
        <f t="shared" si="9"/>
        <v/>
      </c>
    </row>
    <row r="159" spans="2:7" x14ac:dyDescent="0.2">
      <c r="B159" s="58"/>
      <c r="C159" s="1" t="str">
        <f t="shared" si="8"/>
        <v/>
      </c>
      <c r="F159" s="62" t="str">
        <f t="shared" si="10"/>
        <v/>
      </c>
      <c r="G159" s="1" t="str">
        <f t="shared" si="9"/>
        <v/>
      </c>
    </row>
    <row r="160" spans="2:7" x14ac:dyDescent="0.2">
      <c r="B160" s="58"/>
      <c r="C160" s="1" t="str">
        <f t="shared" si="8"/>
        <v/>
      </c>
      <c r="F160" s="58" t="str">
        <f t="shared" si="10"/>
        <v/>
      </c>
      <c r="G160" s="1" t="str">
        <f t="shared" si="9"/>
        <v/>
      </c>
    </row>
    <row r="161" spans="2:7" x14ac:dyDescent="0.2">
      <c r="B161" s="58"/>
      <c r="C161" s="1" t="str">
        <f t="shared" si="8"/>
        <v/>
      </c>
      <c r="F161" s="62" t="str">
        <f t="shared" si="10"/>
        <v/>
      </c>
      <c r="G161" s="1" t="str">
        <f t="shared" si="9"/>
        <v/>
      </c>
    </row>
    <row r="162" spans="2:7" x14ac:dyDescent="0.2">
      <c r="B162" s="58"/>
      <c r="C162" s="1" t="str">
        <f t="shared" si="8"/>
        <v/>
      </c>
      <c r="F162" s="58" t="str">
        <f t="shared" si="10"/>
        <v/>
      </c>
      <c r="G162" s="1" t="str">
        <f t="shared" si="9"/>
        <v/>
      </c>
    </row>
    <row r="163" spans="2:7" x14ac:dyDescent="0.2">
      <c r="B163" s="58"/>
      <c r="C163" s="1" t="str">
        <f t="shared" si="8"/>
        <v/>
      </c>
      <c r="F163" s="62" t="str">
        <f t="shared" si="10"/>
        <v/>
      </c>
      <c r="G163" s="1" t="str">
        <f t="shared" si="9"/>
        <v/>
      </c>
    </row>
    <row r="164" spans="2:7" x14ac:dyDescent="0.2">
      <c r="B164" s="58"/>
      <c r="C164" s="1" t="str">
        <f t="shared" si="8"/>
        <v/>
      </c>
      <c r="F164" s="58" t="str">
        <f t="shared" si="10"/>
        <v/>
      </c>
      <c r="G164" s="1" t="str">
        <f t="shared" si="9"/>
        <v/>
      </c>
    </row>
    <row r="165" spans="2:7" x14ac:dyDescent="0.2">
      <c r="B165" s="58"/>
      <c r="C165" s="1" t="str">
        <f t="shared" si="8"/>
        <v/>
      </c>
      <c r="F165" s="62" t="str">
        <f t="shared" si="10"/>
        <v/>
      </c>
      <c r="G165" s="1" t="str">
        <f t="shared" si="9"/>
        <v/>
      </c>
    </row>
    <row r="166" spans="2:7" x14ac:dyDescent="0.2">
      <c r="B166" s="58"/>
      <c r="C166" s="1" t="str">
        <f t="shared" si="8"/>
        <v/>
      </c>
      <c r="F166" s="58" t="str">
        <f t="shared" si="10"/>
        <v/>
      </c>
      <c r="G166" s="1" t="str">
        <f t="shared" si="9"/>
        <v/>
      </c>
    </row>
    <row r="167" spans="2:7" x14ac:dyDescent="0.2">
      <c r="B167" s="58"/>
      <c r="C167" s="1" t="str">
        <f t="shared" si="8"/>
        <v/>
      </c>
      <c r="F167" s="62" t="str">
        <f t="shared" si="10"/>
        <v/>
      </c>
      <c r="G167" s="1" t="str">
        <f t="shared" si="9"/>
        <v/>
      </c>
    </row>
    <row r="168" spans="2:7" x14ac:dyDescent="0.2">
      <c r="B168" s="58"/>
      <c r="C168" s="1" t="str">
        <f t="shared" si="8"/>
        <v/>
      </c>
      <c r="F168" s="58" t="str">
        <f t="shared" si="10"/>
        <v/>
      </c>
      <c r="G168" s="1" t="str">
        <f t="shared" si="9"/>
        <v/>
      </c>
    </row>
    <row r="169" spans="2:7" x14ac:dyDescent="0.2">
      <c r="B169" s="58"/>
      <c r="C169" s="1" t="str">
        <f t="shared" si="8"/>
        <v/>
      </c>
      <c r="F169" s="62" t="str">
        <f t="shared" si="10"/>
        <v/>
      </c>
      <c r="G169" s="1" t="str">
        <f t="shared" si="9"/>
        <v/>
      </c>
    </row>
    <row r="170" spans="2:7" x14ac:dyDescent="0.2">
      <c r="B170" s="58"/>
      <c r="C170" s="1" t="str">
        <f t="shared" si="8"/>
        <v/>
      </c>
      <c r="F170" s="58" t="str">
        <f t="shared" si="10"/>
        <v/>
      </c>
      <c r="G170" s="1" t="str">
        <f t="shared" si="9"/>
        <v/>
      </c>
    </row>
    <row r="171" spans="2:7" x14ac:dyDescent="0.2">
      <c r="B171" s="58"/>
      <c r="C171" s="1" t="str">
        <f t="shared" si="8"/>
        <v/>
      </c>
      <c r="F171" s="62" t="str">
        <f t="shared" si="10"/>
        <v/>
      </c>
      <c r="G171" s="1" t="str">
        <f t="shared" si="9"/>
        <v/>
      </c>
    </row>
    <row r="172" spans="2:7" x14ac:dyDescent="0.2">
      <c r="B172" s="58"/>
      <c r="C172" s="1" t="str">
        <f t="shared" si="8"/>
        <v/>
      </c>
      <c r="F172" s="58" t="str">
        <f t="shared" si="10"/>
        <v/>
      </c>
      <c r="G172" s="1" t="str">
        <f t="shared" si="9"/>
        <v/>
      </c>
    </row>
    <row r="173" spans="2:7" x14ac:dyDescent="0.2">
      <c r="B173" s="58"/>
      <c r="C173" s="1" t="str">
        <f t="shared" si="8"/>
        <v/>
      </c>
      <c r="F173" s="62" t="str">
        <f t="shared" si="10"/>
        <v/>
      </c>
      <c r="G173" s="1" t="str">
        <f t="shared" si="9"/>
        <v/>
      </c>
    </row>
    <row r="174" spans="2:7" x14ac:dyDescent="0.2">
      <c r="B174" s="58"/>
      <c r="C174" s="1" t="str">
        <f t="shared" si="8"/>
        <v/>
      </c>
      <c r="F174" s="58" t="str">
        <f t="shared" si="10"/>
        <v/>
      </c>
      <c r="G174" s="1" t="str">
        <f t="shared" si="9"/>
        <v/>
      </c>
    </row>
    <row r="175" spans="2:7" x14ac:dyDescent="0.2">
      <c r="B175" s="58"/>
      <c r="C175" s="1" t="str">
        <f t="shared" si="8"/>
        <v/>
      </c>
      <c r="F175" s="62" t="str">
        <f t="shared" si="10"/>
        <v/>
      </c>
      <c r="G175" s="1" t="str">
        <f t="shared" si="9"/>
        <v/>
      </c>
    </row>
    <row r="176" spans="2:7" x14ac:dyDescent="0.2">
      <c r="B176" s="58"/>
      <c r="C176" s="1" t="str">
        <f t="shared" si="8"/>
        <v/>
      </c>
      <c r="F176" s="58" t="str">
        <f t="shared" si="10"/>
        <v/>
      </c>
      <c r="G176" s="1" t="str">
        <f t="shared" si="9"/>
        <v/>
      </c>
    </row>
    <row r="177" spans="2:7" x14ac:dyDescent="0.2">
      <c r="B177" s="58"/>
      <c r="C177" s="1" t="str">
        <f t="shared" si="8"/>
        <v/>
      </c>
      <c r="F177" s="62" t="str">
        <f t="shared" si="10"/>
        <v/>
      </c>
      <c r="G177" s="1" t="str">
        <f t="shared" si="9"/>
        <v/>
      </c>
    </row>
    <row r="178" spans="2:7" x14ac:dyDescent="0.2">
      <c r="B178" s="58"/>
      <c r="C178" s="1" t="str">
        <f t="shared" si="8"/>
        <v/>
      </c>
      <c r="F178" s="58" t="str">
        <f t="shared" si="10"/>
        <v/>
      </c>
      <c r="G178" s="1" t="str">
        <f t="shared" si="9"/>
        <v/>
      </c>
    </row>
    <row r="179" spans="2:7" x14ac:dyDescent="0.2">
      <c r="B179" s="58"/>
      <c r="C179" s="1" t="str">
        <f t="shared" si="8"/>
        <v/>
      </c>
      <c r="F179" s="62" t="str">
        <f t="shared" si="10"/>
        <v/>
      </c>
      <c r="G179" s="1" t="str">
        <f t="shared" si="9"/>
        <v/>
      </c>
    </row>
    <row r="180" spans="2:7" x14ac:dyDescent="0.2">
      <c r="B180" s="58"/>
      <c r="C180" s="1" t="str">
        <f t="shared" si="8"/>
        <v/>
      </c>
      <c r="F180" s="58" t="str">
        <f t="shared" si="10"/>
        <v/>
      </c>
      <c r="G180" s="1" t="str">
        <f t="shared" si="9"/>
        <v/>
      </c>
    </row>
    <row r="181" spans="2:7" x14ac:dyDescent="0.2">
      <c r="B181" s="58"/>
      <c r="C181" s="1" t="str">
        <f t="shared" si="8"/>
        <v/>
      </c>
      <c r="F181" s="62" t="str">
        <f t="shared" si="10"/>
        <v/>
      </c>
      <c r="G181" s="1" t="str">
        <f t="shared" si="9"/>
        <v/>
      </c>
    </row>
    <row r="182" spans="2:7" x14ac:dyDescent="0.2">
      <c r="B182" s="58"/>
      <c r="C182" s="1" t="str">
        <f t="shared" si="8"/>
        <v/>
      </c>
      <c r="F182" s="58" t="str">
        <f t="shared" si="10"/>
        <v/>
      </c>
      <c r="G182" s="1" t="str">
        <f t="shared" si="9"/>
        <v/>
      </c>
    </row>
    <row r="183" spans="2:7" x14ac:dyDescent="0.2">
      <c r="B183" s="58"/>
      <c r="C183" s="1" t="str">
        <f t="shared" si="8"/>
        <v/>
      </c>
      <c r="F183" s="62" t="str">
        <f t="shared" si="10"/>
        <v/>
      </c>
      <c r="G183" s="1" t="str">
        <f t="shared" si="9"/>
        <v/>
      </c>
    </row>
    <row r="184" spans="2:7" x14ac:dyDescent="0.2">
      <c r="B184" s="58"/>
      <c r="C184" s="1" t="str">
        <f t="shared" si="8"/>
        <v/>
      </c>
      <c r="F184" s="58" t="str">
        <f t="shared" si="10"/>
        <v/>
      </c>
      <c r="G184" s="1" t="str">
        <f t="shared" si="9"/>
        <v/>
      </c>
    </row>
    <row r="185" spans="2:7" x14ac:dyDescent="0.2">
      <c r="B185" s="58"/>
      <c r="C185" s="1" t="str">
        <f t="shared" si="8"/>
        <v/>
      </c>
      <c r="F185" s="62" t="str">
        <f t="shared" si="10"/>
        <v/>
      </c>
      <c r="G185" s="1" t="str">
        <f t="shared" si="9"/>
        <v/>
      </c>
    </row>
    <row r="186" spans="2:7" x14ac:dyDescent="0.2">
      <c r="B186" s="58"/>
      <c r="C186" s="1" t="str">
        <f t="shared" si="8"/>
        <v/>
      </c>
      <c r="F186" s="58" t="str">
        <f t="shared" si="10"/>
        <v/>
      </c>
      <c r="G186" s="1" t="str">
        <f t="shared" si="9"/>
        <v/>
      </c>
    </row>
    <row r="187" spans="2:7" x14ac:dyDescent="0.2">
      <c r="B187" s="58"/>
      <c r="C187" s="1" t="str">
        <f t="shared" si="8"/>
        <v/>
      </c>
      <c r="F187" s="62" t="str">
        <f t="shared" si="10"/>
        <v/>
      </c>
      <c r="G187" s="1" t="str">
        <f t="shared" si="9"/>
        <v/>
      </c>
    </row>
    <row r="188" spans="2:7" x14ac:dyDescent="0.2">
      <c r="B188" s="58"/>
      <c r="C188" s="1" t="str">
        <f t="shared" si="8"/>
        <v/>
      </c>
      <c r="F188" s="58" t="str">
        <f t="shared" si="10"/>
        <v/>
      </c>
      <c r="G188" s="1" t="str">
        <f t="shared" si="9"/>
        <v/>
      </c>
    </row>
    <row r="189" spans="2:7" x14ac:dyDescent="0.2">
      <c r="B189" s="58"/>
      <c r="C189" s="1" t="str">
        <f t="shared" si="8"/>
        <v/>
      </c>
      <c r="F189" s="62" t="str">
        <f t="shared" si="10"/>
        <v/>
      </c>
      <c r="G189" s="1" t="str">
        <f t="shared" si="9"/>
        <v/>
      </c>
    </row>
    <row r="190" spans="2:7" x14ac:dyDescent="0.2">
      <c r="B190" s="58"/>
      <c r="C190" s="1" t="str">
        <f t="shared" si="8"/>
        <v/>
      </c>
      <c r="F190" s="58" t="str">
        <f t="shared" si="10"/>
        <v/>
      </c>
      <c r="G190" s="1" t="str">
        <f t="shared" si="9"/>
        <v/>
      </c>
    </row>
    <row r="191" spans="2:7" x14ac:dyDescent="0.2">
      <c r="B191" s="58"/>
      <c r="C191" s="1" t="str">
        <f t="shared" si="8"/>
        <v/>
      </c>
      <c r="F191" s="62" t="str">
        <f t="shared" si="10"/>
        <v/>
      </c>
      <c r="G191" s="1" t="str">
        <f t="shared" si="9"/>
        <v/>
      </c>
    </row>
    <row r="192" spans="2:7" x14ac:dyDescent="0.2">
      <c r="B192" s="58"/>
      <c r="C192" s="1" t="str">
        <f t="shared" si="8"/>
        <v/>
      </c>
      <c r="F192" s="58" t="str">
        <f t="shared" si="10"/>
        <v/>
      </c>
      <c r="G192" s="1" t="str">
        <f t="shared" si="9"/>
        <v/>
      </c>
    </row>
    <row r="193" spans="2:7" x14ac:dyDescent="0.2">
      <c r="B193" s="58"/>
      <c r="C193" s="1" t="str">
        <f t="shared" si="8"/>
        <v/>
      </c>
      <c r="F193" s="62" t="str">
        <f t="shared" si="10"/>
        <v/>
      </c>
      <c r="G193" s="1" t="str">
        <f t="shared" si="9"/>
        <v/>
      </c>
    </row>
    <row r="194" spans="2:7" x14ac:dyDescent="0.2">
      <c r="B194" s="58"/>
      <c r="C194" s="1" t="str">
        <f t="shared" si="8"/>
        <v/>
      </c>
      <c r="F194" s="58" t="str">
        <f t="shared" si="10"/>
        <v/>
      </c>
      <c r="G194" s="1" t="str">
        <f t="shared" si="9"/>
        <v/>
      </c>
    </row>
    <row r="195" spans="2:7" x14ac:dyDescent="0.2">
      <c r="B195" s="58"/>
      <c r="C195" s="1" t="str">
        <f t="shared" si="8"/>
        <v/>
      </c>
      <c r="F195" s="62" t="str">
        <f t="shared" si="10"/>
        <v/>
      </c>
      <c r="G195" s="1" t="str">
        <f t="shared" si="9"/>
        <v/>
      </c>
    </row>
    <row r="196" spans="2:7" x14ac:dyDescent="0.2">
      <c r="B196" s="58"/>
      <c r="C196" s="1" t="str">
        <f t="shared" si="8"/>
        <v/>
      </c>
      <c r="F196" s="58" t="str">
        <f t="shared" si="10"/>
        <v/>
      </c>
      <c r="G196" s="1" t="str">
        <f t="shared" si="9"/>
        <v/>
      </c>
    </row>
    <row r="197" spans="2:7" x14ac:dyDescent="0.2">
      <c r="B197" s="58"/>
      <c r="C197" s="1" t="str">
        <f t="shared" si="8"/>
        <v/>
      </c>
      <c r="F197" s="62" t="str">
        <f t="shared" si="10"/>
        <v/>
      </c>
      <c r="G197" s="1" t="str">
        <f t="shared" si="9"/>
        <v/>
      </c>
    </row>
    <row r="198" spans="2:7" x14ac:dyDescent="0.2">
      <c r="B198" s="58"/>
      <c r="C198" s="1" t="str">
        <f t="shared" si="8"/>
        <v/>
      </c>
      <c r="F198" s="58" t="str">
        <f t="shared" si="10"/>
        <v/>
      </c>
      <c r="G198" s="1" t="str">
        <f t="shared" si="9"/>
        <v/>
      </c>
    </row>
    <row r="199" spans="2:7" x14ac:dyDescent="0.2">
      <c r="B199" s="58"/>
      <c r="C199" s="1" t="str">
        <f t="shared" si="8"/>
        <v/>
      </c>
      <c r="F199" s="62" t="str">
        <f t="shared" si="10"/>
        <v/>
      </c>
      <c r="G199" s="1" t="str">
        <f t="shared" si="9"/>
        <v/>
      </c>
    </row>
    <row r="200" spans="2:7" x14ac:dyDescent="0.2">
      <c r="B200" s="58"/>
      <c r="C200" s="1" t="str">
        <f t="shared" si="8"/>
        <v/>
      </c>
      <c r="F200" s="58" t="str">
        <f t="shared" si="10"/>
        <v/>
      </c>
      <c r="G200" s="1" t="str">
        <f t="shared" si="9"/>
        <v/>
      </c>
    </row>
    <row r="201" spans="2:7" x14ac:dyDescent="0.2">
      <c r="B201" s="58"/>
      <c r="C201" s="1" t="str">
        <f t="shared" ref="C201:C264" si="11">IF(B201="","",IF(B201&lt;B200,"ERROR: Value less than Previous Cell, Invalid for solver","&lt;station loc="""&amp;B201&amp;""" X=""0"" Y=""0"" Z=""0"" rX=""0"" rY=""0"" rZ=""0"" /&gt;"))</f>
        <v/>
      </c>
      <c r="F201" s="62" t="str">
        <f t="shared" si="10"/>
        <v/>
      </c>
      <c r="G201" s="1" t="str">
        <f t="shared" ref="G201:G264" si="12">IF(F201="","",IF(F201&lt;F200,"ERROR: Value less than Previous Cell, Invalid for solver","&lt;station loc="""&amp;F201&amp;""" X=""0"" Y=""0"" Z=""0"" rX=""0"" rY=""0"" rZ=""0"" /&gt;"))</f>
        <v/>
      </c>
    </row>
    <row r="202" spans="2:7" x14ac:dyDescent="0.2">
      <c r="B202" s="58"/>
      <c r="C202" s="1" t="str">
        <f t="shared" si="11"/>
        <v/>
      </c>
      <c r="F202" s="58" t="str">
        <f t="shared" si="10"/>
        <v/>
      </c>
      <c r="G202" s="1" t="str">
        <f t="shared" si="12"/>
        <v/>
      </c>
    </row>
    <row r="203" spans="2:7" x14ac:dyDescent="0.2">
      <c r="B203" s="58"/>
      <c r="C203" s="1" t="str">
        <f t="shared" si="11"/>
        <v/>
      </c>
      <c r="F203" s="62" t="str">
        <f t="shared" si="10"/>
        <v/>
      </c>
      <c r="G203" s="1" t="str">
        <f t="shared" si="12"/>
        <v/>
      </c>
    </row>
    <row r="204" spans="2:7" x14ac:dyDescent="0.2">
      <c r="B204" s="58"/>
      <c r="C204" s="1" t="str">
        <f t="shared" si="11"/>
        <v/>
      </c>
      <c r="F204" s="58" t="str">
        <f t="shared" si="10"/>
        <v/>
      </c>
      <c r="G204" s="1" t="str">
        <f t="shared" si="12"/>
        <v/>
      </c>
    </row>
    <row r="205" spans="2:7" x14ac:dyDescent="0.2">
      <c r="B205" s="58"/>
      <c r="C205" s="1" t="str">
        <f t="shared" si="11"/>
        <v/>
      </c>
      <c r="F205" s="62" t="str">
        <f t="shared" si="10"/>
        <v/>
      </c>
      <c r="G205" s="1" t="str">
        <f t="shared" si="12"/>
        <v/>
      </c>
    </row>
    <row r="206" spans="2:7" x14ac:dyDescent="0.2">
      <c r="B206" s="58"/>
      <c r="C206" s="1" t="str">
        <f t="shared" si="11"/>
        <v/>
      </c>
      <c r="F206" s="58" t="str">
        <f t="shared" si="10"/>
        <v/>
      </c>
      <c r="G206" s="1" t="str">
        <f t="shared" si="12"/>
        <v/>
      </c>
    </row>
    <row r="207" spans="2:7" x14ac:dyDescent="0.2">
      <c r="B207" s="58"/>
      <c r="C207" s="1" t="str">
        <f t="shared" si="11"/>
        <v/>
      </c>
      <c r="F207" s="62" t="str">
        <f t="shared" si="10"/>
        <v/>
      </c>
      <c r="G207" s="1" t="str">
        <f t="shared" si="12"/>
        <v/>
      </c>
    </row>
    <row r="208" spans="2:7" x14ac:dyDescent="0.2">
      <c r="B208" s="58"/>
      <c r="C208" s="1" t="str">
        <f t="shared" si="11"/>
        <v/>
      </c>
      <c r="F208" s="58" t="str">
        <f t="shared" si="10"/>
        <v/>
      </c>
      <c r="G208" s="1" t="str">
        <f t="shared" si="12"/>
        <v/>
      </c>
    </row>
    <row r="209" spans="2:7" x14ac:dyDescent="0.2">
      <c r="B209" s="58"/>
      <c r="C209" s="1" t="str">
        <f t="shared" si="11"/>
        <v/>
      </c>
      <c r="F209" s="62" t="str">
        <f t="shared" si="10"/>
        <v/>
      </c>
      <c r="G209" s="1" t="str">
        <f t="shared" si="12"/>
        <v/>
      </c>
    </row>
    <row r="210" spans="2:7" x14ac:dyDescent="0.2">
      <c r="B210" s="58"/>
      <c r="C210" s="1" t="str">
        <f t="shared" si="11"/>
        <v/>
      </c>
      <c r="F210" s="58" t="str">
        <f t="shared" si="10"/>
        <v/>
      </c>
      <c r="G210" s="1" t="str">
        <f t="shared" si="12"/>
        <v/>
      </c>
    </row>
    <row r="211" spans="2:7" x14ac:dyDescent="0.2">
      <c r="B211" s="58"/>
      <c r="C211" s="1" t="str">
        <f t="shared" si="11"/>
        <v/>
      </c>
      <c r="F211" s="62" t="str">
        <f t="shared" si="10"/>
        <v/>
      </c>
      <c r="G211" s="1" t="str">
        <f t="shared" si="12"/>
        <v/>
      </c>
    </row>
    <row r="212" spans="2:7" x14ac:dyDescent="0.2">
      <c r="B212" s="58"/>
      <c r="C212" s="1" t="str">
        <f t="shared" si="11"/>
        <v/>
      </c>
      <c r="F212" s="58" t="str">
        <f t="shared" si="10"/>
        <v/>
      </c>
      <c r="G212" s="1" t="str">
        <f t="shared" si="12"/>
        <v/>
      </c>
    </row>
    <row r="213" spans="2:7" x14ac:dyDescent="0.2">
      <c r="B213" s="58"/>
      <c r="C213" s="1" t="str">
        <f t="shared" si="11"/>
        <v/>
      </c>
      <c r="F213" s="62" t="str">
        <f t="shared" si="10"/>
        <v/>
      </c>
      <c r="G213" s="1" t="str">
        <f t="shared" si="12"/>
        <v/>
      </c>
    </row>
    <row r="214" spans="2:7" x14ac:dyDescent="0.2">
      <c r="B214" s="58"/>
      <c r="C214" s="1" t="str">
        <f t="shared" si="11"/>
        <v/>
      </c>
      <c r="F214" s="58" t="str">
        <f t="shared" si="10"/>
        <v/>
      </c>
      <c r="G214" s="1" t="str">
        <f t="shared" si="12"/>
        <v/>
      </c>
    </row>
    <row r="215" spans="2:7" x14ac:dyDescent="0.2">
      <c r="B215" s="58"/>
      <c r="C215" s="1" t="str">
        <f t="shared" si="11"/>
        <v/>
      </c>
      <c r="F215" s="62" t="str">
        <f t="shared" si="10"/>
        <v/>
      </c>
      <c r="G215" s="1" t="str">
        <f t="shared" si="12"/>
        <v/>
      </c>
    </row>
    <row r="216" spans="2:7" x14ac:dyDescent="0.2">
      <c r="B216" s="58"/>
      <c r="C216" s="1" t="str">
        <f t="shared" si="11"/>
        <v/>
      </c>
      <c r="F216" s="58" t="str">
        <f t="shared" si="10"/>
        <v/>
      </c>
      <c r="G216" s="1" t="str">
        <f t="shared" si="12"/>
        <v/>
      </c>
    </row>
    <row r="217" spans="2:7" x14ac:dyDescent="0.2">
      <c r="B217" s="58"/>
      <c r="C217" s="1" t="str">
        <f t="shared" si="11"/>
        <v/>
      </c>
      <c r="F217" s="62" t="str">
        <f t="shared" ref="F217:F280" si="13">IF(OR(F216=$F$5,F216=""),"",IF(F216+$F$6&gt;$F$5,$F$5,F216+$F$6))</f>
        <v/>
      </c>
      <c r="G217" s="1" t="str">
        <f t="shared" si="12"/>
        <v/>
      </c>
    </row>
    <row r="218" spans="2:7" x14ac:dyDescent="0.2">
      <c r="B218" s="58"/>
      <c r="C218" s="1" t="str">
        <f t="shared" si="11"/>
        <v/>
      </c>
      <c r="F218" s="58" t="str">
        <f t="shared" si="13"/>
        <v/>
      </c>
      <c r="G218" s="1" t="str">
        <f t="shared" si="12"/>
        <v/>
      </c>
    </row>
    <row r="219" spans="2:7" x14ac:dyDescent="0.2">
      <c r="B219" s="58"/>
      <c r="C219" s="1" t="str">
        <f t="shared" si="11"/>
        <v/>
      </c>
      <c r="F219" s="62" t="str">
        <f t="shared" si="13"/>
        <v/>
      </c>
      <c r="G219" s="1" t="str">
        <f t="shared" si="12"/>
        <v/>
      </c>
    </row>
    <row r="220" spans="2:7" x14ac:dyDescent="0.2">
      <c r="B220" s="58"/>
      <c r="C220" s="1" t="str">
        <f t="shared" si="11"/>
        <v/>
      </c>
      <c r="F220" s="58" t="str">
        <f t="shared" si="13"/>
        <v/>
      </c>
      <c r="G220" s="1" t="str">
        <f t="shared" si="12"/>
        <v/>
      </c>
    </row>
    <row r="221" spans="2:7" x14ac:dyDescent="0.2">
      <c r="B221" s="58"/>
      <c r="C221" s="1" t="str">
        <f t="shared" si="11"/>
        <v/>
      </c>
      <c r="F221" s="62" t="str">
        <f t="shared" si="13"/>
        <v/>
      </c>
      <c r="G221" s="1" t="str">
        <f t="shared" si="12"/>
        <v/>
      </c>
    </row>
    <row r="222" spans="2:7" x14ac:dyDescent="0.2">
      <c r="B222" s="58"/>
      <c r="C222" s="1" t="str">
        <f t="shared" si="11"/>
        <v/>
      </c>
      <c r="F222" s="58" t="str">
        <f t="shared" si="13"/>
        <v/>
      </c>
      <c r="G222" s="1" t="str">
        <f t="shared" si="12"/>
        <v/>
      </c>
    </row>
    <row r="223" spans="2:7" x14ac:dyDescent="0.2">
      <c r="B223" s="58"/>
      <c r="C223" s="1" t="str">
        <f t="shared" si="11"/>
        <v/>
      </c>
      <c r="F223" s="62" t="str">
        <f t="shared" si="13"/>
        <v/>
      </c>
      <c r="G223" s="1" t="str">
        <f t="shared" si="12"/>
        <v/>
      </c>
    </row>
    <row r="224" spans="2:7" x14ac:dyDescent="0.2">
      <c r="B224" s="58"/>
      <c r="C224" s="1" t="str">
        <f t="shared" si="11"/>
        <v/>
      </c>
      <c r="F224" s="58" t="str">
        <f t="shared" si="13"/>
        <v/>
      </c>
      <c r="G224" s="1" t="str">
        <f t="shared" si="12"/>
        <v/>
      </c>
    </row>
    <row r="225" spans="2:7" x14ac:dyDescent="0.2">
      <c r="B225" s="58"/>
      <c r="C225" s="1" t="str">
        <f t="shared" si="11"/>
        <v/>
      </c>
      <c r="F225" s="62" t="str">
        <f t="shared" si="13"/>
        <v/>
      </c>
      <c r="G225" s="1" t="str">
        <f t="shared" si="12"/>
        <v/>
      </c>
    </row>
    <row r="226" spans="2:7" x14ac:dyDescent="0.2">
      <c r="B226" s="58"/>
      <c r="C226" s="1" t="str">
        <f t="shared" si="11"/>
        <v/>
      </c>
      <c r="F226" s="58" t="str">
        <f t="shared" si="13"/>
        <v/>
      </c>
      <c r="G226" s="1" t="str">
        <f t="shared" si="12"/>
        <v/>
      </c>
    </row>
    <row r="227" spans="2:7" x14ac:dyDescent="0.2">
      <c r="B227" s="58"/>
      <c r="C227" s="1" t="str">
        <f t="shared" si="11"/>
        <v/>
      </c>
      <c r="F227" s="62" t="str">
        <f t="shared" si="13"/>
        <v/>
      </c>
      <c r="G227" s="1" t="str">
        <f t="shared" si="12"/>
        <v/>
      </c>
    </row>
    <row r="228" spans="2:7" x14ac:dyDescent="0.2">
      <c r="B228" s="58"/>
      <c r="C228" s="1" t="str">
        <f t="shared" si="11"/>
        <v/>
      </c>
      <c r="F228" s="58" t="str">
        <f t="shared" si="13"/>
        <v/>
      </c>
      <c r="G228" s="1" t="str">
        <f t="shared" si="12"/>
        <v/>
      </c>
    </row>
    <row r="229" spans="2:7" x14ac:dyDescent="0.2">
      <c r="B229" s="58"/>
      <c r="C229" s="1" t="str">
        <f t="shared" si="11"/>
        <v/>
      </c>
      <c r="F229" s="62" t="str">
        <f t="shared" si="13"/>
        <v/>
      </c>
      <c r="G229" s="1" t="str">
        <f t="shared" si="12"/>
        <v/>
      </c>
    </row>
    <row r="230" spans="2:7" x14ac:dyDescent="0.2">
      <c r="B230" s="58"/>
      <c r="C230" s="1" t="str">
        <f t="shared" si="11"/>
        <v/>
      </c>
      <c r="F230" s="58" t="str">
        <f t="shared" si="13"/>
        <v/>
      </c>
      <c r="G230" s="1" t="str">
        <f t="shared" si="12"/>
        <v/>
      </c>
    </row>
    <row r="231" spans="2:7" x14ac:dyDescent="0.2">
      <c r="B231" s="58"/>
      <c r="C231" s="1" t="str">
        <f t="shared" si="11"/>
        <v/>
      </c>
      <c r="F231" s="62" t="str">
        <f t="shared" si="13"/>
        <v/>
      </c>
      <c r="G231" s="1" t="str">
        <f t="shared" si="12"/>
        <v/>
      </c>
    </row>
    <row r="232" spans="2:7" x14ac:dyDescent="0.2">
      <c r="B232" s="58"/>
      <c r="C232" s="1" t="str">
        <f t="shared" si="11"/>
        <v/>
      </c>
      <c r="F232" s="58" t="str">
        <f t="shared" si="13"/>
        <v/>
      </c>
      <c r="G232" s="1" t="str">
        <f t="shared" si="12"/>
        <v/>
      </c>
    </row>
    <row r="233" spans="2:7" x14ac:dyDescent="0.2">
      <c r="B233" s="58"/>
      <c r="C233" s="1" t="str">
        <f t="shared" si="11"/>
        <v/>
      </c>
      <c r="F233" s="62" t="str">
        <f t="shared" si="13"/>
        <v/>
      </c>
      <c r="G233" s="1" t="str">
        <f t="shared" si="12"/>
        <v/>
      </c>
    </row>
    <row r="234" spans="2:7" x14ac:dyDescent="0.2">
      <c r="B234" s="58"/>
      <c r="C234" s="1" t="str">
        <f t="shared" si="11"/>
        <v/>
      </c>
      <c r="F234" s="58" t="str">
        <f t="shared" si="13"/>
        <v/>
      </c>
      <c r="G234" s="1" t="str">
        <f t="shared" si="12"/>
        <v/>
      </c>
    </row>
    <row r="235" spans="2:7" x14ac:dyDescent="0.2">
      <c r="B235" s="58"/>
      <c r="C235" s="1" t="str">
        <f t="shared" si="11"/>
        <v/>
      </c>
      <c r="F235" s="62" t="str">
        <f t="shared" si="13"/>
        <v/>
      </c>
      <c r="G235" s="1" t="str">
        <f t="shared" si="12"/>
        <v/>
      </c>
    </row>
    <row r="236" spans="2:7" x14ac:dyDescent="0.2">
      <c r="B236" s="58"/>
      <c r="C236" s="1" t="str">
        <f t="shared" si="11"/>
        <v/>
      </c>
      <c r="F236" s="58" t="str">
        <f t="shared" si="13"/>
        <v/>
      </c>
      <c r="G236" s="1" t="str">
        <f t="shared" si="12"/>
        <v/>
      </c>
    </row>
    <row r="237" spans="2:7" x14ac:dyDescent="0.2">
      <c r="B237" s="58"/>
      <c r="C237" s="1" t="str">
        <f t="shared" si="11"/>
        <v/>
      </c>
      <c r="F237" s="62" t="str">
        <f t="shared" si="13"/>
        <v/>
      </c>
      <c r="G237" s="1" t="str">
        <f t="shared" si="12"/>
        <v/>
      </c>
    </row>
    <row r="238" spans="2:7" x14ac:dyDescent="0.2">
      <c r="B238" s="58"/>
      <c r="C238" s="1" t="str">
        <f t="shared" si="11"/>
        <v/>
      </c>
      <c r="F238" s="58" t="str">
        <f t="shared" si="13"/>
        <v/>
      </c>
      <c r="G238" s="1" t="str">
        <f t="shared" si="12"/>
        <v/>
      </c>
    </row>
    <row r="239" spans="2:7" x14ac:dyDescent="0.2">
      <c r="B239" s="58"/>
      <c r="C239" s="1" t="str">
        <f t="shared" si="11"/>
        <v/>
      </c>
      <c r="F239" s="62" t="str">
        <f t="shared" si="13"/>
        <v/>
      </c>
      <c r="G239" s="1" t="str">
        <f t="shared" si="12"/>
        <v/>
      </c>
    </row>
    <row r="240" spans="2:7" x14ac:dyDescent="0.2">
      <c r="B240" s="58"/>
      <c r="C240" s="1" t="str">
        <f t="shared" si="11"/>
        <v/>
      </c>
      <c r="F240" s="58" t="str">
        <f t="shared" si="13"/>
        <v/>
      </c>
      <c r="G240" s="1" t="str">
        <f t="shared" si="12"/>
        <v/>
      </c>
    </row>
    <row r="241" spans="2:7" x14ac:dyDescent="0.2">
      <c r="B241" s="58"/>
      <c r="C241" s="1" t="str">
        <f t="shared" si="11"/>
        <v/>
      </c>
      <c r="F241" s="62" t="str">
        <f t="shared" si="13"/>
        <v/>
      </c>
      <c r="G241" s="1" t="str">
        <f t="shared" si="12"/>
        <v/>
      </c>
    </row>
    <row r="242" spans="2:7" x14ac:dyDescent="0.2">
      <c r="B242" s="58"/>
      <c r="C242" s="1" t="str">
        <f t="shared" si="11"/>
        <v/>
      </c>
      <c r="F242" s="58" t="str">
        <f t="shared" si="13"/>
        <v/>
      </c>
      <c r="G242" s="1" t="str">
        <f t="shared" si="12"/>
        <v/>
      </c>
    </row>
    <row r="243" spans="2:7" x14ac:dyDescent="0.2">
      <c r="B243" s="58"/>
      <c r="C243" s="1" t="str">
        <f t="shared" si="11"/>
        <v/>
      </c>
      <c r="F243" s="62" t="str">
        <f t="shared" si="13"/>
        <v/>
      </c>
      <c r="G243" s="1" t="str">
        <f t="shared" si="12"/>
        <v/>
      </c>
    </row>
    <row r="244" spans="2:7" x14ac:dyDescent="0.2">
      <c r="B244" s="58"/>
      <c r="C244" s="1" t="str">
        <f t="shared" si="11"/>
        <v/>
      </c>
      <c r="F244" s="58" t="str">
        <f t="shared" si="13"/>
        <v/>
      </c>
      <c r="G244" s="1" t="str">
        <f t="shared" si="12"/>
        <v/>
      </c>
    </row>
    <row r="245" spans="2:7" x14ac:dyDescent="0.2">
      <c r="B245" s="58"/>
      <c r="C245" s="1" t="str">
        <f t="shared" si="11"/>
        <v/>
      </c>
      <c r="F245" s="62" t="str">
        <f t="shared" si="13"/>
        <v/>
      </c>
      <c r="G245" s="1" t="str">
        <f t="shared" si="12"/>
        <v/>
      </c>
    </row>
    <row r="246" spans="2:7" x14ac:dyDescent="0.2">
      <c r="B246" s="58"/>
      <c r="C246" s="1" t="str">
        <f t="shared" si="11"/>
        <v/>
      </c>
      <c r="F246" s="58" t="str">
        <f t="shared" si="13"/>
        <v/>
      </c>
      <c r="G246" s="1" t="str">
        <f t="shared" si="12"/>
        <v/>
      </c>
    </row>
    <row r="247" spans="2:7" x14ac:dyDescent="0.2">
      <c r="B247" s="58"/>
      <c r="C247" s="1" t="str">
        <f t="shared" si="11"/>
        <v/>
      </c>
      <c r="F247" s="62" t="str">
        <f t="shared" si="13"/>
        <v/>
      </c>
      <c r="G247" s="1" t="str">
        <f t="shared" si="12"/>
        <v/>
      </c>
    </row>
    <row r="248" spans="2:7" x14ac:dyDescent="0.2">
      <c r="B248" s="58"/>
      <c r="C248" s="1" t="str">
        <f t="shared" si="11"/>
        <v/>
      </c>
      <c r="F248" s="58" t="str">
        <f t="shared" si="13"/>
        <v/>
      </c>
      <c r="G248" s="1" t="str">
        <f t="shared" si="12"/>
        <v/>
      </c>
    </row>
    <row r="249" spans="2:7" x14ac:dyDescent="0.2">
      <c r="B249" s="58"/>
      <c r="C249" s="1" t="str">
        <f t="shared" si="11"/>
        <v/>
      </c>
      <c r="F249" s="62" t="str">
        <f t="shared" si="13"/>
        <v/>
      </c>
      <c r="G249" s="1" t="str">
        <f t="shared" si="12"/>
        <v/>
      </c>
    </row>
    <row r="250" spans="2:7" x14ac:dyDescent="0.2">
      <c r="B250" s="58"/>
      <c r="C250" s="1" t="str">
        <f t="shared" si="11"/>
        <v/>
      </c>
      <c r="F250" s="58" t="str">
        <f t="shared" si="13"/>
        <v/>
      </c>
      <c r="G250" s="1" t="str">
        <f t="shared" si="12"/>
        <v/>
      </c>
    </row>
    <row r="251" spans="2:7" x14ac:dyDescent="0.2">
      <c r="B251" s="58"/>
      <c r="C251" s="1" t="str">
        <f t="shared" si="11"/>
        <v/>
      </c>
      <c r="F251" s="62" t="str">
        <f t="shared" si="13"/>
        <v/>
      </c>
      <c r="G251" s="1" t="str">
        <f t="shared" si="12"/>
        <v/>
      </c>
    </row>
    <row r="252" spans="2:7" x14ac:dyDescent="0.2">
      <c r="B252" s="58"/>
      <c r="C252" s="1" t="str">
        <f t="shared" si="11"/>
        <v/>
      </c>
      <c r="F252" s="58" t="str">
        <f t="shared" si="13"/>
        <v/>
      </c>
      <c r="G252" s="1" t="str">
        <f t="shared" si="12"/>
        <v/>
      </c>
    </row>
    <row r="253" spans="2:7" x14ac:dyDescent="0.2">
      <c r="B253" s="58"/>
      <c r="C253" s="1" t="str">
        <f t="shared" si="11"/>
        <v/>
      </c>
      <c r="F253" s="62" t="str">
        <f t="shared" si="13"/>
        <v/>
      </c>
      <c r="G253" s="1" t="str">
        <f t="shared" si="12"/>
        <v/>
      </c>
    </row>
    <row r="254" spans="2:7" x14ac:dyDescent="0.2">
      <c r="B254" s="58"/>
      <c r="C254" s="1" t="str">
        <f t="shared" si="11"/>
        <v/>
      </c>
      <c r="F254" s="58" t="str">
        <f t="shared" si="13"/>
        <v/>
      </c>
      <c r="G254" s="1" t="str">
        <f t="shared" si="12"/>
        <v/>
      </c>
    </row>
    <row r="255" spans="2:7" x14ac:dyDescent="0.2">
      <c r="B255" s="58"/>
      <c r="C255" s="1" t="str">
        <f t="shared" si="11"/>
        <v/>
      </c>
      <c r="F255" s="62" t="str">
        <f t="shared" si="13"/>
        <v/>
      </c>
      <c r="G255" s="1" t="str">
        <f t="shared" si="12"/>
        <v/>
      </c>
    </row>
    <row r="256" spans="2:7" x14ac:dyDescent="0.2">
      <c r="B256" s="58"/>
      <c r="C256" s="1" t="str">
        <f t="shared" si="11"/>
        <v/>
      </c>
      <c r="F256" s="58" t="str">
        <f t="shared" si="13"/>
        <v/>
      </c>
      <c r="G256" s="1" t="str">
        <f t="shared" si="12"/>
        <v/>
      </c>
    </row>
    <row r="257" spans="2:7" x14ac:dyDescent="0.2">
      <c r="B257" s="58"/>
      <c r="C257" s="1" t="str">
        <f t="shared" si="11"/>
        <v/>
      </c>
      <c r="F257" s="62" t="str">
        <f t="shared" si="13"/>
        <v/>
      </c>
      <c r="G257" s="1" t="str">
        <f t="shared" si="12"/>
        <v/>
      </c>
    </row>
    <row r="258" spans="2:7" x14ac:dyDescent="0.2">
      <c r="B258" s="58"/>
      <c r="C258" s="1" t="str">
        <f t="shared" si="11"/>
        <v/>
      </c>
      <c r="F258" s="58" t="str">
        <f t="shared" si="13"/>
        <v/>
      </c>
      <c r="G258" s="1" t="str">
        <f t="shared" si="12"/>
        <v/>
      </c>
    </row>
    <row r="259" spans="2:7" x14ac:dyDescent="0.2">
      <c r="B259" s="58"/>
      <c r="C259" s="1" t="str">
        <f t="shared" si="11"/>
        <v/>
      </c>
      <c r="F259" s="62" t="str">
        <f t="shared" si="13"/>
        <v/>
      </c>
      <c r="G259" s="1" t="str">
        <f t="shared" si="12"/>
        <v/>
      </c>
    </row>
    <row r="260" spans="2:7" x14ac:dyDescent="0.2">
      <c r="B260" s="58"/>
      <c r="C260" s="1" t="str">
        <f t="shared" si="11"/>
        <v/>
      </c>
      <c r="F260" s="58" t="str">
        <f t="shared" si="13"/>
        <v/>
      </c>
      <c r="G260" s="1" t="str">
        <f t="shared" si="12"/>
        <v/>
      </c>
    </row>
    <row r="261" spans="2:7" x14ac:dyDescent="0.2">
      <c r="B261" s="58"/>
      <c r="C261" s="1" t="str">
        <f t="shared" si="11"/>
        <v/>
      </c>
      <c r="F261" s="62" t="str">
        <f t="shared" si="13"/>
        <v/>
      </c>
      <c r="G261" s="1" t="str">
        <f t="shared" si="12"/>
        <v/>
      </c>
    </row>
    <row r="262" spans="2:7" x14ac:dyDescent="0.2">
      <c r="B262" s="58"/>
      <c r="C262" s="1" t="str">
        <f t="shared" si="11"/>
        <v/>
      </c>
      <c r="F262" s="58" t="str">
        <f t="shared" si="13"/>
        <v/>
      </c>
      <c r="G262" s="1" t="str">
        <f t="shared" si="12"/>
        <v/>
      </c>
    </row>
    <row r="263" spans="2:7" x14ac:dyDescent="0.2">
      <c r="B263" s="58"/>
      <c r="C263" s="1" t="str">
        <f t="shared" si="11"/>
        <v/>
      </c>
      <c r="F263" s="62" t="str">
        <f t="shared" si="13"/>
        <v/>
      </c>
      <c r="G263" s="1" t="str">
        <f t="shared" si="12"/>
        <v/>
      </c>
    </row>
    <row r="264" spans="2:7" x14ac:dyDescent="0.2">
      <c r="B264" s="58"/>
      <c r="C264" s="1" t="str">
        <f t="shared" si="11"/>
        <v/>
      </c>
      <c r="F264" s="58" t="str">
        <f t="shared" si="13"/>
        <v/>
      </c>
      <c r="G264" s="1" t="str">
        <f t="shared" si="12"/>
        <v/>
      </c>
    </row>
    <row r="265" spans="2:7" x14ac:dyDescent="0.2">
      <c r="B265" s="58"/>
      <c r="C265" s="1" t="str">
        <f t="shared" ref="C265:C328" si="14">IF(B265="","",IF(B265&lt;B264,"ERROR: Value less than Previous Cell, Invalid for solver","&lt;station loc="""&amp;B265&amp;""" X=""0"" Y=""0"" Z=""0"" rX=""0"" rY=""0"" rZ=""0"" /&gt;"))</f>
        <v/>
      </c>
      <c r="F265" s="62" t="str">
        <f t="shared" si="13"/>
        <v/>
      </c>
      <c r="G265" s="1" t="str">
        <f t="shared" ref="G265:G328" si="15">IF(F265="","",IF(F265&lt;F264,"ERROR: Value less than Previous Cell, Invalid for solver","&lt;station loc="""&amp;F265&amp;""" X=""0"" Y=""0"" Z=""0"" rX=""0"" rY=""0"" rZ=""0"" /&gt;"))</f>
        <v/>
      </c>
    </row>
    <row r="266" spans="2:7" x14ac:dyDescent="0.2">
      <c r="B266" s="58"/>
      <c r="C266" s="1" t="str">
        <f t="shared" si="14"/>
        <v/>
      </c>
      <c r="F266" s="58" t="str">
        <f t="shared" si="13"/>
        <v/>
      </c>
      <c r="G266" s="1" t="str">
        <f t="shared" si="15"/>
        <v/>
      </c>
    </row>
    <row r="267" spans="2:7" x14ac:dyDescent="0.2">
      <c r="B267" s="58"/>
      <c r="C267" s="1" t="str">
        <f t="shared" si="14"/>
        <v/>
      </c>
      <c r="F267" s="62" t="str">
        <f t="shared" si="13"/>
        <v/>
      </c>
      <c r="G267" s="1" t="str">
        <f t="shared" si="15"/>
        <v/>
      </c>
    </row>
    <row r="268" spans="2:7" x14ac:dyDescent="0.2">
      <c r="B268" s="58"/>
      <c r="C268" s="1" t="str">
        <f t="shared" si="14"/>
        <v/>
      </c>
      <c r="F268" s="58" t="str">
        <f t="shared" si="13"/>
        <v/>
      </c>
      <c r="G268" s="1" t="str">
        <f t="shared" si="15"/>
        <v/>
      </c>
    </row>
    <row r="269" spans="2:7" x14ac:dyDescent="0.2">
      <c r="B269" s="58"/>
      <c r="C269" s="1" t="str">
        <f t="shared" si="14"/>
        <v/>
      </c>
      <c r="F269" s="62" t="str">
        <f t="shared" si="13"/>
        <v/>
      </c>
      <c r="G269" s="1" t="str">
        <f t="shared" si="15"/>
        <v/>
      </c>
    </row>
    <row r="270" spans="2:7" x14ac:dyDescent="0.2">
      <c r="B270" s="58"/>
      <c r="C270" s="1" t="str">
        <f t="shared" si="14"/>
        <v/>
      </c>
      <c r="F270" s="58" t="str">
        <f t="shared" si="13"/>
        <v/>
      </c>
      <c r="G270" s="1" t="str">
        <f t="shared" si="15"/>
        <v/>
      </c>
    </row>
    <row r="271" spans="2:7" x14ac:dyDescent="0.2">
      <c r="B271" s="58"/>
      <c r="C271" s="1" t="str">
        <f t="shared" si="14"/>
        <v/>
      </c>
      <c r="F271" s="62" t="str">
        <f t="shared" si="13"/>
        <v/>
      </c>
      <c r="G271" s="1" t="str">
        <f t="shared" si="15"/>
        <v/>
      </c>
    </row>
    <row r="272" spans="2:7" x14ac:dyDescent="0.2">
      <c r="B272" s="58"/>
      <c r="C272" s="1" t="str">
        <f t="shared" si="14"/>
        <v/>
      </c>
      <c r="F272" s="58" t="str">
        <f t="shared" si="13"/>
        <v/>
      </c>
      <c r="G272" s="1" t="str">
        <f t="shared" si="15"/>
        <v/>
      </c>
    </row>
    <row r="273" spans="2:7" x14ac:dyDescent="0.2">
      <c r="B273" s="58"/>
      <c r="C273" s="1" t="str">
        <f t="shared" si="14"/>
        <v/>
      </c>
      <c r="F273" s="62" t="str">
        <f t="shared" si="13"/>
        <v/>
      </c>
      <c r="G273" s="1" t="str">
        <f t="shared" si="15"/>
        <v/>
      </c>
    </row>
    <row r="274" spans="2:7" x14ac:dyDescent="0.2">
      <c r="B274" s="58"/>
      <c r="C274" s="1" t="str">
        <f t="shared" si="14"/>
        <v/>
      </c>
      <c r="F274" s="58" t="str">
        <f t="shared" si="13"/>
        <v/>
      </c>
      <c r="G274" s="1" t="str">
        <f t="shared" si="15"/>
        <v/>
      </c>
    </row>
    <row r="275" spans="2:7" x14ac:dyDescent="0.2">
      <c r="B275" s="58"/>
      <c r="C275" s="1" t="str">
        <f t="shared" si="14"/>
        <v/>
      </c>
      <c r="F275" s="62" t="str">
        <f t="shared" si="13"/>
        <v/>
      </c>
      <c r="G275" s="1" t="str">
        <f t="shared" si="15"/>
        <v/>
      </c>
    </row>
    <row r="276" spans="2:7" x14ac:dyDescent="0.2">
      <c r="B276" s="58"/>
      <c r="C276" s="1" t="str">
        <f t="shared" si="14"/>
        <v/>
      </c>
      <c r="F276" s="58" t="str">
        <f t="shared" si="13"/>
        <v/>
      </c>
      <c r="G276" s="1" t="str">
        <f t="shared" si="15"/>
        <v/>
      </c>
    </row>
    <row r="277" spans="2:7" x14ac:dyDescent="0.2">
      <c r="B277" s="58"/>
      <c r="C277" s="1" t="str">
        <f t="shared" si="14"/>
        <v/>
      </c>
      <c r="F277" s="62" t="str">
        <f t="shared" si="13"/>
        <v/>
      </c>
      <c r="G277" s="1" t="str">
        <f t="shared" si="15"/>
        <v/>
      </c>
    </row>
    <row r="278" spans="2:7" x14ac:dyDescent="0.2">
      <c r="B278" s="58"/>
      <c r="C278" s="1" t="str">
        <f t="shared" si="14"/>
        <v/>
      </c>
      <c r="F278" s="58" t="str">
        <f t="shared" si="13"/>
        <v/>
      </c>
      <c r="G278" s="1" t="str">
        <f t="shared" si="15"/>
        <v/>
      </c>
    </row>
    <row r="279" spans="2:7" x14ac:dyDescent="0.2">
      <c r="B279" s="58"/>
      <c r="C279" s="1" t="str">
        <f t="shared" si="14"/>
        <v/>
      </c>
      <c r="F279" s="62" t="str">
        <f t="shared" si="13"/>
        <v/>
      </c>
      <c r="G279" s="1" t="str">
        <f t="shared" si="15"/>
        <v/>
      </c>
    </row>
    <row r="280" spans="2:7" x14ac:dyDescent="0.2">
      <c r="B280" s="58"/>
      <c r="C280" s="1" t="str">
        <f t="shared" si="14"/>
        <v/>
      </c>
      <c r="F280" s="58" t="str">
        <f t="shared" si="13"/>
        <v/>
      </c>
      <c r="G280" s="1" t="str">
        <f t="shared" si="15"/>
        <v/>
      </c>
    </row>
    <row r="281" spans="2:7" x14ac:dyDescent="0.2">
      <c r="B281" s="58"/>
      <c r="C281" s="1" t="str">
        <f t="shared" si="14"/>
        <v/>
      </c>
      <c r="F281" s="62" t="str">
        <f t="shared" ref="F281:F344" si="16">IF(OR(F280=$F$5,F280=""),"",IF(F280+$F$6&gt;$F$5,$F$5,F280+$F$6))</f>
        <v/>
      </c>
      <c r="G281" s="1" t="str">
        <f t="shared" si="15"/>
        <v/>
      </c>
    </row>
    <row r="282" spans="2:7" x14ac:dyDescent="0.2">
      <c r="B282" s="58"/>
      <c r="C282" s="1" t="str">
        <f t="shared" si="14"/>
        <v/>
      </c>
      <c r="F282" s="58" t="str">
        <f t="shared" si="16"/>
        <v/>
      </c>
      <c r="G282" s="1" t="str">
        <f t="shared" si="15"/>
        <v/>
      </c>
    </row>
    <row r="283" spans="2:7" x14ac:dyDescent="0.2">
      <c r="B283" s="58"/>
      <c r="C283" s="1" t="str">
        <f t="shared" si="14"/>
        <v/>
      </c>
      <c r="F283" s="62" t="str">
        <f t="shared" si="16"/>
        <v/>
      </c>
      <c r="G283" s="1" t="str">
        <f t="shared" si="15"/>
        <v/>
      </c>
    </row>
    <row r="284" spans="2:7" x14ac:dyDescent="0.2">
      <c r="B284" s="58"/>
      <c r="C284" s="1" t="str">
        <f t="shared" si="14"/>
        <v/>
      </c>
      <c r="F284" s="58" t="str">
        <f t="shared" si="16"/>
        <v/>
      </c>
      <c r="G284" s="1" t="str">
        <f t="shared" si="15"/>
        <v/>
      </c>
    </row>
    <row r="285" spans="2:7" x14ac:dyDescent="0.2">
      <c r="B285" s="58"/>
      <c r="C285" s="1" t="str">
        <f t="shared" si="14"/>
        <v/>
      </c>
      <c r="F285" s="62" t="str">
        <f t="shared" si="16"/>
        <v/>
      </c>
      <c r="G285" s="1" t="str">
        <f t="shared" si="15"/>
        <v/>
      </c>
    </row>
    <row r="286" spans="2:7" x14ac:dyDescent="0.2">
      <c r="B286" s="58"/>
      <c r="C286" s="1" t="str">
        <f t="shared" si="14"/>
        <v/>
      </c>
      <c r="F286" s="58" t="str">
        <f t="shared" si="16"/>
        <v/>
      </c>
      <c r="G286" s="1" t="str">
        <f t="shared" si="15"/>
        <v/>
      </c>
    </row>
    <row r="287" spans="2:7" x14ac:dyDescent="0.2">
      <c r="B287" s="58"/>
      <c r="C287" s="1" t="str">
        <f t="shared" si="14"/>
        <v/>
      </c>
      <c r="F287" s="62" t="str">
        <f t="shared" si="16"/>
        <v/>
      </c>
      <c r="G287" s="1" t="str">
        <f t="shared" si="15"/>
        <v/>
      </c>
    </row>
    <row r="288" spans="2:7" x14ac:dyDescent="0.2">
      <c r="B288" s="58"/>
      <c r="C288" s="1" t="str">
        <f t="shared" si="14"/>
        <v/>
      </c>
      <c r="F288" s="58" t="str">
        <f t="shared" si="16"/>
        <v/>
      </c>
      <c r="G288" s="1" t="str">
        <f t="shared" si="15"/>
        <v/>
      </c>
    </row>
    <row r="289" spans="2:7" x14ac:dyDescent="0.2">
      <c r="B289" s="58"/>
      <c r="C289" s="1" t="str">
        <f t="shared" si="14"/>
        <v/>
      </c>
      <c r="F289" s="62" t="str">
        <f t="shared" si="16"/>
        <v/>
      </c>
      <c r="G289" s="1" t="str">
        <f t="shared" si="15"/>
        <v/>
      </c>
    </row>
    <row r="290" spans="2:7" x14ac:dyDescent="0.2">
      <c r="B290" s="58"/>
      <c r="C290" s="1" t="str">
        <f t="shared" si="14"/>
        <v/>
      </c>
      <c r="F290" s="58" t="str">
        <f t="shared" si="16"/>
        <v/>
      </c>
      <c r="G290" s="1" t="str">
        <f t="shared" si="15"/>
        <v/>
      </c>
    </row>
    <row r="291" spans="2:7" x14ac:dyDescent="0.2">
      <c r="B291" s="58"/>
      <c r="C291" s="1" t="str">
        <f t="shared" si="14"/>
        <v/>
      </c>
      <c r="F291" s="62" t="str">
        <f t="shared" si="16"/>
        <v/>
      </c>
      <c r="G291" s="1" t="str">
        <f t="shared" si="15"/>
        <v/>
      </c>
    </row>
    <row r="292" spans="2:7" x14ac:dyDescent="0.2">
      <c r="B292" s="58"/>
      <c r="C292" s="1" t="str">
        <f t="shared" si="14"/>
        <v/>
      </c>
      <c r="F292" s="58" t="str">
        <f t="shared" si="16"/>
        <v/>
      </c>
      <c r="G292" s="1" t="str">
        <f t="shared" si="15"/>
        <v/>
      </c>
    </row>
    <row r="293" spans="2:7" x14ac:dyDescent="0.2">
      <c r="B293" s="58"/>
      <c r="C293" s="1" t="str">
        <f t="shared" si="14"/>
        <v/>
      </c>
      <c r="F293" s="62" t="str">
        <f t="shared" si="16"/>
        <v/>
      </c>
      <c r="G293" s="1" t="str">
        <f t="shared" si="15"/>
        <v/>
      </c>
    </row>
    <row r="294" spans="2:7" x14ac:dyDescent="0.2">
      <c r="B294" s="58"/>
      <c r="C294" s="1" t="str">
        <f t="shared" si="14"/>
        <v/>
      </c>
      <c r="F294" s="58" t="str">
        <f t="shared" si="16"/>
        <v/>
      </c>
      <c r="G294" s="1" t="str">
        <f t="shared" si="15"/>
        <v/>
      </c>
    </row>
    <row r="295" spans="2:7" x14ac:dyDescent="0.2">
      <c r="B295" s="58"/>
      <c r="C295" s="1" t="str">
        <f t="shared" si="14"/>
        <v/>
      </c>
      <c r="F295" s="62" t="str">
        <f t="shared" si="16"/>
        <v/>
      </c>
      <c r="G295" s="1" t="str">
        <f t="shared" si="15"/>
        <v/>
      </c>
    </row>
    <row r="296" spans="2:7" x14ac:dyDescent="0.2">
      <c r="B296" s="58"/>
      <c r="C296" s="1" t="str">
        <f t="shared" si="14"/>
        <v/>
      </c>
      <c r="F296" s="58" t="str">
        <f t="shared" si="16"/>
        <v/>
      </c>
      <c r="G296" s="1" t="str">
        <f t="shared" si="15"/>
        <v/>
      </c>
    </row>
    <row r="297" spans="2:7" x14ac:dyDescent="0.2">
      <c r="B297" s="58"/>
      <c r="C297" s="1" t="str">
        <f t="shared" si="14"/>
        <v/>
      </c>
      <c r="F297" s="62" t="str">
        <f t="shared" si="16"/>
        <v/>
      </c>
      <c r="G297" s="1" t="str">
        <f t="shared" si="15"/>
        <v/>
      </c>
    </row>
    <row r="298" spans="2:7" x14ac:dyDescent="0.2">
      <c r="B298" s="58"/>
      <c r="C298" s="1" t="str">
        <f t="shared" si="14"/>
        <v/>
      </c>
      <c r="F298" s="58" t="str">
        <f t="shared" si="16"/>
        <v/>
      </c>
      <c r="G298" s="1" t="str">
        <f t="shared" si="15"/>
        <v/>
      </c>
    </row>
    <row r="299" spans="2:7" x14ac:dyDescent="0.2">
      <c r="B299" s="58"/>
      <c r="C299" s="1" t="str">
        <f t="shared" si="14"/>
        <v/>
      </c>
      <c r="F299" s="62" t="str">
        <f t="shared" si="16"/>
        <v/>
      </c>
      <c r="G299" s="1" t="str">
        <f t="shared" si="15"/>
        <v/>
      </c>
    </row>
    <row r="300" spans="2:7" x14ac:dyDescent="0.2">
      <c r="B300" s="58"/>
      <c r="C300" s="1" t="str">
        <f t="shared" si="14"/>
        <v/>
      </c>
      <c r="F300" s="58" t="str">
        <f t="shared" si="16"/>
        <v/>
      </c>
      <c r="G300" s="1" t="str">
        <f t="shared" si="15"/>
        <v/>
      </c>
    </row>
    <row r="301" spans="2:7" x14ac:dyDescent="0.2">
      <c r="B301" s="58"/>
      <c r="C301" s="1" t="str">
        <f t="shared" si="14"/>
        <v/>
      </c>
      <c r="F301" s="62" t="str">
        <f t="shared" si="16"/>
        <v/>
      </c>
      <c r="G301" s="1" t="str">
        <f t="shared" si="15"/>
        <v/>
      </c>
    </row>
    <row r="302" spans="2:7" x14ac:dyDescent="0.2">
      <c r="B302" s="58"/>
      <c r="C302" s="1" t="str">
        <f t="shared" si="14"/>
        <v/>
      </c>
      <c r="F302" s="58" t="str">
        <f t="shared" si="16"/>
        <v/>
      </c>
      <c r="G302" s="1" t="str">
        <f t="shared" si="15"/>
        <v/>
      </c>
    </row>
    <row r="303" spans="2:7" x14ac:dyDescent="0.2">
      <c r="B303" s="58"/>
      <c r="C303" s="1" t="str">
        <f t="shared" si="14"/>
        <v/>
      </c>
      <c r="F303" s="62" t="str">
        <f t="shared" si="16"/>
        <v/>
      </c>
      <c r="G303" s="1" t="str">
        <f t="shared" si="15"/>
        <v/>
      </c>
    </row>
    <row r="304" spans="2:7" x14ac:dyDescent="0.2">
      <c r="B304" s="58"/>
      <c r="C304" s="1" t="str">
        <f t="shared" si="14"/>
        <v/>
      </c>
      <c r="F304" s="58" t="str">
        <f t="shared" si="16"/>
        <v/>
      </c>
      <c r="G304" s="1" t="str">
        <f t="shared" si="15"/>
        <v/>
      </c>
    </row>
    <row r="305" spans="2:7" x14ac:dyDescent="0.2">
      <c r="B305" s="58"/>
      <c r="C305" s="1" t="str">
        <f t="shared" si="14"/>
        <v/>
      </c>
      <c r="F305" s="62" t="str">
        <f t="shared" si="16"/>
        <v/>
      </c>
      <c r="G305" s="1" t="str">
        <f t="shared" si="15"/>
        <v/>
      </c>
    </row>
    <row r="306" spans="2:7" x14ac:dyDescent="0.2">
      <c r="B306" s="58"/>
      <c r="C306" s="1" t="str">
        <f t="shared" si="14"/>
        <v/>
      </c>
      <c r="F306" s="58" t="str">
        <f t="shared" si="16"/>
        <v/>
      </c>
      <c r="G306" s="1" t="str">
        <f t="shared" si="15"/>
        <v/>
      </c>
    </row>
    <row r="307" spans="2:7" x14ac:dyDescent="0.2">
      <c r="B307" s="58"/>
      <c r="C307" s="1" t="str">
        <f t="shared" si="14"/>
        <v/>
      </c>
      <c r="F307" s="62" t="str">
        <f t="shared" si="16"/>
        <v/>
      </c>
      <c r="G307" s="1" t="str">
        <f t="shared" si="15"/>
        <v/>
      </c>
    </row>
    <row r="308" spans="2:7" x14ac:dyDescent="0.2">
      <c r="B308" s="58"/>
      <c r="C308" s="1" t="str">
        <f t="shared" si="14"/>
        <v/>
      </c>
      <c r="F308" s="58" t="str">
        <f t="shared" si="16"/>
        <v/>
      </c>
      <c r="G308" s="1" t="str">
        <f t="shared" si="15"/>
        <v/>
      </c>
    </row>
    <row r="309" spans="2:7" x14ac:dyDescent="0.2">
      <c r="B309" s="58"/>
      <c r="C309" s="1" t="str">
        <f t="shared" si="14"/>
        <v/>
      </c>
      <c r="F309" s="62" t="str">
        <f t="shared" si="16"/>
        <v/>
      </c>
      <c r="G309" s="1" t="str">
        <f t="shared" si="15"/>
        <v/>
      </c>
    </row>
    <row r="310" spans="2:7" x14ac:dyDescent="0.2">
      <c r="B310" s="58"/>
      <c r="C310" s="1" t="str">
        <f t="shared" si="14"/>
        <v/>
      </c>
      <c r="F310" s="58" t="str">
        <f t="shared" si="16"/>
        <v/>
      </c>
      <c r="G310" s="1" t="str">
        <f t="shared" si="15"/>
        <v/>
      </c>
    </row>
    <row r="311" spans="2:7" x14ac:dyDescent="0.2">
      <c r="B311" s="58"/>
      <c r="C311" s="1" t="str">
        <f t="shared" si="14"/>
        <v/>
      </c>
      <c r="F311" s="62" t="str">
        <f t="shared" si="16"/>
        <v/>
      </c>
      <c r="G311" s="1" t="str">
        <f t="shared" si="15"/>
        <v/>
      </c>
    </row>
    <row r="312" spans="2:7" x14ac:dyDescent="0.2">
      <c r="B312" s="58"/>
      <c r="C312" s="1" t="str">
        <f t="shared" si="14"/>
        <v/>
      </c>
      <c r="F312" s="58" t="str">
        <f t="shared" si="16"/>
        <v/>
      </c>
      <c r="G312" s="1" t="str">
        <f t="shared" si="15"/>
        <v/>
      </c>
    </row>
    <row r="313" spans="2:7" x14ac:dyDescent="0.2">
      <c r="B313" s="58"/>
      <c r="C313" s="1" t="str">
        <f t="shared" si="14"/>
        <v/>
      </c>
      <c r="F313" s="62" t="str">
        <f t="shared" si="16"/>
        <v/>
      </c>
      <c r="G313" s="1" t="str">
        <f t="shared" si="15"/>
        <v/>
      </c>
    </row>
    <row r="314" spans="2:7" x14ac:dyDescent="0.2">
      <c r="B314" s="58"/>
      <c r="C314" s="1" t="str">
        <f t="shared" si="14"/>
        <v/>
      </c>
      <c r="F314" s="58" t="str">
        <f t="shared" si="16"/>
        <v/>
      </c>
      <c r="G314" s="1" t="str">
        <f t="shared" si="15"/>
        <v/>
      </c>
    </row>
    <row r="315" spans="2:7" x14ac:dyDescent="0.2">
      <c r="B315" s="58"/>
      <c r="C315" s="1" t="str">
        <f t="shared" si="14"/>
        <v/>
      </c>
      <c r="F315" s="62" t="str">
        <f t="shared" si="16"/>
        <v/>
      </c>
      <c r="G315" s="1" t="str">
        <f t="shared" si="15"/>
        <v/>
      </c>
    </row>
    <row r="316" spans="2:7" x14ac:dyDescent="0.2">
      <c r="B316" s="58"/>
      <c r="C316" s="1" t="str">
        <f t="shared" si="14"/>
        <v/>
      </c>
      <c r="F316" s="58" t="str">
        <f t="shared" si="16"/>
        <v/>
      </c>
      <c r="G316" s="1" t="str">
        <f t="shared" si="15"/>
        <v/>
      </c>
    </row>
    <row r="317" spans="2:7" x14ac:dyDescent="0.2">
      <c r="B317" s="58"/>
      <c r="C317" s="1" t="str">
        <f t="shared" si="14"/>
        <v/>
      </c>
      <c r="F317" s="62" t="str">
        <f t="shared" si="16"/>
        <v/>
      </c>
      <c r="G317" s="1" t="str">
        <f t="shared" si="15"/>
        <v/>
      </c>
    </row>
    <row r="318" spans="2:7" x14ac:dyDescent="0.2">
      <c r="B318" s="58"/>
      <c r="C318" s="1" t="str">
        <f t="shared" si="14"/>
        <v/>
      </c>
      <c r="F318" s="58" t="str">
        <f t="shared" si="16"/>
        <v/>
      </c>
      <c r="G318" s="1" t="str">
        <f t="shared" si="15"/>
        <v/>
      </c>
    </row>
    <row r="319" spans="2:7" x14ac:dyDescent="0.2">
      <c r="B319" s="58"/>
      <c r="C319" s="1" t="str">
        <f t="shared" si="14"/>
        <v/>
      </c>
      <c r="F319" s="62" t="str">
        <f t="shared" si="16"/>
        <v/>
      </c>
      <c r="G319" s="1" t="str">
        <f t="shared" si="15"/>
        <v/>
      </c>
    </row>
    <row r="320" spans="2:7" x14ac:dyDescent="0.2">
      <c r="B320" s="58"/>
      <c r="C320" s="1" t="str">
        <f t="shared" si="14"/>
        <v/>
      </c>
      <c r="F320" s="58" t="str">
        <f t="shared" si="16"/>
        <v/>
      </c>
      <c r="G320" s="1" t="str">
        <f t="shared" si="15"/>
        <v/>
      </c>
    </row>
    <row r="321" spans="2:7" x14ac:dyDescent="0.2">
      <c r="B321" s="58"/>
      <c r="C321" s="1" t="str">
        <f t="shared" si="14"/>
        <v/>
      </c>
      <c r="F321" s="62" t="str">
        <f t="shared" si="16"/>
        <v/>
      </c>
      <c r="G321" s="1" t="str">
        <f t="shared" si="15"/>
        <v/>
      </c>
    </row>
    <row r="322" spans="2:7" x14ac:dyDescent="0.2">
      <c r="B322" s="58"/>
      <c r="C322" s="1" t="str">
        <f t="shared" si="14"/>
        <v/>
      </c>
      <c r="F322" s="58" t="str">
        <f t="shared" si="16"/>
        <v/>
      </c>
      <c r="G322" s="1" t="str">
        <f t="shared" si="15"/>
        <v/>
      </c>
    </row>
    <row r="323" spans="2:7" x14ac:dyDescent="0.2">
      <c r="B323" s="58"/>
      <c r="C323" s="1" t="str">
        <f t="shared" si="14"/>
        <v/>
      </c>
      <c r="F323" s="62" t="str">
        <f t="shared" si="16"/>
        <v/>
      </c>
      <c r="G323" s="1" t="str">
        <f t="shared" si="15"/>
        <v/>
      </c>
    </row>
    <row r="324" spans="2:7" x14ac:dyDescent="0.2">
      <c r="B324" s="58"/>
      <c r="C324" s="1" t="str">
        <f t="shared" si="14"/>
        <v/>
      </c>
      <c r="F324" s="58" t="str">
        <f t="shared" si="16"/>
        <v/>
      </c>
      <c r="G324" s="1" t="str">
        <f t="shared" si="15"/>
        <v/>
      </c>
    </row>
    <row r="325" spans="2:7" x14ac:dyDescent="0.2">
      <c r="B325" s="58"/>
      <c r="C325" s="1" t="str">
        <f t="shared" si="14"/>
        <v/>
      </c>
      <c r="F325" s="62" t="str">
        <f t="shared" si="16"/>
        <v/>
      </c>
      <c r="G325" s="1" t="str">
        <f t="shared" si="15"/>
        <v/>
      </c>
    </row>
    <row r="326" spans="2:7" x14ac:dyDescent="0.2">
      <c r="B326" s="58"/>
      <c r="C326" s="1" t="str">
        <f t="shared" si="14"/>
        <v/>
      </c>
      <c r="F326" s="58" t="str">
        <f t="shared" si="16"/>
        <v/>
      </c>
      <c r="G326" s="1" t="str">
        <f t="shared" si="15"/>
        <v/>
      </c>
    </row>
    <row r="327" spans="2:7" x14ac:dyDescent="0.2">
      <c r="B327" s="58"/>
      <c r="C327" s="1" t="str">
        <f t="shared" si="14"/>
        <v/>
      </c>
      <c r="F327" s="62" t="str">
        <f t="shared" si="16"/>
        <v/>
      </c>
      <c r="G327" s="1" t="str">
        <f t="shared" si="15"/>
        <v/>
      </c>
    </row>
    <row r="328" spans="2:7" x14ac:dyDescent="0.2">
      <c r="B328" s="58"/>
      <c r="C328" s="1" t="str">
        <f t="shared" si="14"/>
        <v/>
      </c>
      <c r="F328" s="58" t="str">
        <f t="shared" si="16"/>
        <v/>
      </c>
      <c r="G328" s="1" t="str">
        <f t="shared" si="15"/>
        <v/>
      </c>
    </row>
    <row r="329" spans="2:7" x14ac:dyDescent="0.2">
      <c r="B329" s="58"/>
      <c r="C329" s="1" t="str">
        <f t="shared" ref="C329:C392" si="17">IF(B329="","",IF(B329&lt;B328,"ERROR: Value less than Previous Cell, Invalid for solver","&lt;station loc="""&amp;B329&amp;""" X=""0"" Y=""0"" Z=""0"" rX=""0"" rY=""0"" rZ=""0"" /&gt;"))</f>
        <v/>
      </c>
      <c r="F329" s="62" t="str">
        <f t="shared" si="16"/>
        <v/>
      </c>
      <c r="G329" s="1" t="str">
        <f t="shared" ref="G329:G392" si="18">IF(F329="","",IF(F329&lt;F328,"ERROR: Value less than Previous Cell, Invalid for solver","&lt;station loc="""&amp;F329&amp;""" X=""0"" Y=""0"" Z=""0"" rX=""0"" rY=""0"" rZ=""0"" /&gt;"))</f>
        <v/>
      </c>
    </row>
    <row r="330" spans="2:7" x14ac:dyDescent="0.2">
      <c r="B330" s="58"/>
      <c r="C330" s="1" t="str">
        <f t="shared" si="17"/>
        <v/>
      </c>
      <c r="F330" s="58" t="str">
        <f t="shared" si="16"/>
        <v/>
      </c>
      <c r="G330" s="1" t="str">
        <f t="shared" si="18"/>
        <v/>
      </c>
    </row>
    <row r="331" spans="2:7" x14ac:dyDescent="0.2">
      <c r="B331" s="58"/>
      <c r="C331" s="1" t="str">
        <f t="shared" si="17"/>
        <v/>
      </c>
      <c r="F331" s="62" t="str">
        <f t="shared" si="16"/>
        <v/>
      </c>
      <c r="G331" s="1" t="str">
        <f t="shared" si="18"/>
        <v/>
      </c>
    </row>
    <row r="332" spans="2:7" x14ac:dyDescent="0.2">
      <c r="B332" s="58"/>
      <c r="C332" s="1" t="str">
        <f t="shared" si="17"/>
        <v/>
      </c>
      <c r="F332" s="58" t="str">
        <f t="shared" si="16"/>
        <v/>
      </c>
      <c r="G332" s="1" t="str">
        <f t="shared" si="18"/>
        <v/>
      </c>
    </row>
    <row r="333" spans="2:7" x14ac:dyDescent="0.2">
      <c r="B333" s="58"/>
      <c r="C333" s="1" t="str">
        <f t="shared" si="17"/>
        <v/>
      </c>
      <c r="F333" s="62" t="str">
        <f t="shared" si="16"/>
        <v/>
      </c>
      <c r="G333" s="1" t="str">
        <f t="shared" si="18"/>
        <v/>
      </c>
    </row>
    <row r="334" spans="2:7" x14ac:dyDescent="0.2">
      <c r="B334" s="58"/>
      <c r="C334" s="1" t="str">
        <f t="shared" si="17"/>
        <v/>
      </c>
      <c r="F334" s="58" t="str">
        <f t="shared" si="16"/>
        <v/>
      </c>
      <c r="G334" s="1" t="str">
        <f t="shared" si="18"/>
        <v/>
      </c>
    </row>
    <row r="335" spans="2:7" x14ac:dyDescent="0.2">
      <c r="B335" s="58"/>
      <c r="C335" s="1" t="str">
        <f t="shared" si="17"/>
        <v/>
      </c>
      <c r="F335" s="62" t="str">
        <f t="shared" si="16"/>
        <v/>
      </c>
      <c r="G335" s="1" t="str">
        <f t="shared" si="18"/>
        <v/>
      </c>
    </row>
    <row r="336" spans="2:7" x14ac:dyDescent="0.2">
      <c r="B336" s="58"/>
      <c r="C336" s="1" t="str">
        <f t="shared" si="17"/>
        <v/>
      </c>
      <c r="F336" s="58" t="str">
        <f t="shared" si="16"/>
        <v/>
      </c>
      <c r="G336" s="1" t="str">
        <f t="shared" si="18"/>
        <v/>
      </c>
    </row>
    <row r="337" spans="2:7" x14ac:dyDescent="0.2">
      <c r="B337" s="58"/>
      <c r="C337" s="1" t="str">
        <f t="shared" si="17"/>
        <v/>
      </c>
      <c r="F337" s="62" t="str">
        <f t="shared" si="16"/>
        <v/>
      </c>
      <c r="G337" s="1" t="str">
        <f t="shared" si="18"/>
        <v/>
      </c>
    </row>
    <row r="338" spans="2:7" x14ac:dyDescent="0.2">
      <c r="B338" s="58"/>
      <c r="C338" s="1" t="str">
        <f t="shared" si="17"/>
        <v/>
      </c>
      <c r="F338" s="58" t="str">
        <f t="shared" si="16"/>
        <v/>
      </c>
      <c r="G338" s="1" t="str">
        <f t="shared" si="18"/>
        <v/>
      </c>
    </row>
    <row r="339" spans="2:7" x14ac:dyDescent="0.2">
      <c r="B339" s="58"/>
      <c r="C339" s="1" t="str">
        <f t="shared" si="17"/>
        <v/>
      </c>
      <c r="F339" s="62" t="str">
        <f t="shared" si="16"/>
        <v/>
      </c>
      <c r="G339" s="1" t="str">
        <f t="shared" si="18"/>
        <v/>
      </c>
    </row>
    <row r="340" spans="2:7" x14ac:dyDescent="0.2">
      <c r="B340" s="58"/>
      <c r="C340" s="1" t="str">
        <f t="shared" si="17"/>
        <v/>
      </c>
      <c r="F340" s="58" t="str">
        <f t="shared" si="16"/>
        <v/>
      </c>
      <c r="G340" s="1" t="str">
        <f t="shared" si="18"/>
        <v/>
      </c>
    </row>
    <row r="341" spans="2:7" x14ac:dyDescent="0.2">
      <c r="B341" s="58"/>
      <c r="C341" s="1" t="str">
        <f t="shared" si="17"/>
        <v/>
      </c>
      <c r="F341" s="62" t="str">
        <f t="shared" si="16"/>
        <v/>
      </c>
      <c r="G341" s="1" t="str">
        <f t="shared" si="18"/>
        <v/>
      </c>
    </row>
    <row r="342" spans="2:7" x14ac:dyDescent="0.2">
      <c r="B342" s="58"/>
      <c r="C342" s="1" t="str">
        <f t="shared" si="17"/>
        <v/>
      </c>
      <c r="F342" s="58" t="str">
        <f t="shared" si="16"/>
        <v/>
      </c>
      <c r="G342" s="1" t="str">
        <f t="shared" si="18"/>
        <v/>
      </c>
    </row>
    <row r="343" spans="2:7" x14ac:dyDescent="0.2">
      <c r="B343" s="58"/>
      <c r="C343" s="1" t="str">
        <f t="shared" si="17"/>
        <v/>
      </c>
      <c r="F343" s="62" t="str">
        <f t="shared" si="16"/>
        <v/>
      </c>
      <c r="G343" s="1" t="str">
        <f t="shared" si="18"/>
        <v/>
      </c>
    </row>
    <row r="344" spans="2:7" x14ac:dyDescent="0.2">
      <c r="B344" s="58"/>
      <c r="C344" s="1" t="str">
        <f t="shared" si="17"/>
        <v/>
      </c>
      <c r="F344" s="58" t="str">
        <f t="shared" si="16"/>
        <v/>
      </c>
      <c r="G344" s="1" t="str">
        <f t="shared" si="18"/>
        <v/>
      </c>
    </row>
    <row r="345" spans="2:7" x14ac:dyDescent="0.2">
      <c r="B345" s="58"/>
      <c r="C345" s="1" t="str">
        <f t="shared" si="17"/>
        <v/>
      </c>
      <c r="F345" s="62" t="str">
        <f t="shared" ref="F345:F408" si="19">IF(OR(F344=$F$5,F344=""),"",IF(F344+$F$6&gt;$F$5,$F$5,F344+$F$6))</f>
        <v/>
      </c>
      <c r="G345" s="1" t="str">
        <f t="shared" si="18"/>
        <v/>
      </c>
    </row>
    <row r="346" spans="2:7" x14ac:dyDescent="0.2">
      <c r="B346" s="58"/>
      <c r="C346" s="1" t="str">
        <f t="shared" si="17"/>
        <v/>
      </c>
      <c r="F346" s="58" t="str">
        <f t="shared" si="19"/>
        <v/>
      </c>
      <c r="G346" s="1" t="str">
        <f t="shared" si="18"/>
        <v/>
      </c>
    </row>
    <row r="347" spans="2:7" x14ac:dyDescent="0.2">
      <c r="B347" s="58"/>
      <c r="C347" s="1" t="str">
        <f t="shared" si="17"/>
        <v/>
      </c>
      <c r="F347" s="62" t="str">
        <f t="shared" si="19"/>
        <v/>
      </c>
      <c r="G347" s="1" t="str">
        <f t="shared" si="18"/>
        <v/>
      </c>
    </row>
    <row r="348" spans="2:7" x14ac:dyDescent="0.2">
      <c r="B348" s="58"/>
      <c r="C348" s="1" t="str">
        <f t="shared" si="17"/>
        <v/>
      </c>
      <c r="F348" s="58" t="str">
        <f t="shared" si="19"/>
        <v/>
      </c>
      <c r="G348" s="1" t="str">
        <f t="shared" si="18"/>
        <v/>
      </c>
    </row>
    <row r="349" spans="2:7" x14ac:dyDescent="0.2">
      <c r="B349" s="58"/>
      <c r="C349" s="1" t="str">
        <f t="shared" si="17"/>
        <v/>
      </c>
      <c r="F349" s="62" t="str">
        <f t="shared" si="19"/>
        <v/>
      </c>
      <c r="G349" s="1" t="str">
        <f t="shared" si="18"/>
        <v/>
      </c>
    </row>
    <row r="350" spans="2:7" x14ac:dyDescent="0.2">
      <c r="B350" s="58"/>
      <c r="C350" s="1" t="str">
        <f t="shared" si="17"/>
        <v/>
      </c>
      <c r="F350" s="58" t="str">
        <f t="shared" si="19"/>
        <v/>
      </c>
      <c r="G350" s="1" t="str">
        <f t="shared" si="18"/>
        <v/>
      </c>
    </row>
    <row r="351" spans="2:7" x14ac:dyDescent="0.2">
      <c r="B351" s="58"/>
      <c r="C351" s="1" t="str">
        <f t="shared" si="17"/>
        <v/>
      </c>
      <c r="F351" s="62" t="str">
        <f t="shared" si="19"/>
        <v/>
      </c>
      <c r="G351" s="1" t="str">
        <f t="shared" si="18"/>
        <v/>
      </c>
    </row>
    <row r="352" spans="2:7" x14ac:dyDescent="0.2">
      <c r="B352" s="58"/>
      <c r="C352" s="1" t="str">
        <f t="shared" si="17"/>
        <v/>
      </c>
      <c r="F352" s="58" t="str">
        <f t="shared" si="19"/>
        <v/>
      </c>
      <c r="G352" s="1" t="str">
        <f t="shared" si="18"/>
        <v/>
      </c>
    </row>
    <row r="353" spans="2:7" x14ac:dyDescent="0.2">
      <c r="B353" s="58"/>
      <c r="C353" s="1" t="str">
        <f t="shared" si="17"/>
        <v/>
      </c>
      <c r="F353" s="62" t="str">
        <f t="shared" si="19"/>
        <v/>
      </c>
      <c r="G353" s="1" t="str">
        <f t="shared" si="18"/>
        <v/>
      </c>
    </row>
    <row r="354" spans="2:7" x14ac:dyDescent="0.2">
      <c r="B354" s="58"/>
      <c r="C354" s="1" t="str">
        <f t="shared" si="17"/>
        <v/>
      </c>
      <c r="F354" s="58" t="str">
        <f t="shared" si="19"/>
        <v/>
      </c>
      <c r="G354" s="1" t="str">
        <f t="shared" si="18"/>
        <v/>
      </c>
    </row>
    <row r="355" spans="2:7" x14ac:dyDescent="0.2">
      <c r="B355" s="58"/>
      <c r="C355" s="1" t="str">
        <f t="shared" si="17"/>
        <v/>
      </c>
      <c r="F355" s="62" t="str">
        <f t="shared" si="19"/>
        <v/>
      </c>
      <c r="G355" s="1" t="str">
        <f t="shared" si="18"/>
        <v/>
      </c>
    </row>
    <row r="356" spans="2:7" x14ac:dyDescent="0.2">
      <c r="B356" s="58"/>
      <c r="C356" s="1" t="str">
        <f t="shared" si="17"/>
        <v/>
      </c>
      <c r="F356" s="58" t="str">
        <f t="shared" si="19"/>
        <v/>
      </c>
      <c r="G356" s="1" t="str">
        <f t="shared" si="18"/>
        <v/>
      </c>
    </row>
    <row r="357" spans="2:7" x14ac:dyDescent="0.2">
      <c r="B357" s="58"/>
      <c r="C357" s="1" t="str">
        <f t="shared" si="17"/>
        <v/>
      </c>
      <c r="F357" s="62" t="str">
        <f t="shared" si="19"/>
        <v/>
      </c>
      <c r="G357" s="1" t="str">
        <f t="shared" si="18"/>
        <v/>
      </c>
    </row>
    <row r="358" spans="2:7" x14ac:dyDescent="0.2">
      <c r="B358" s="58"/>
      <c r="C358" s="1" t="str">
        <f t="shared" si="17"/>
        <v/>
      </c>
      <c r="F358" s="58" t="str">
        <f t="shared" si="19"/>
        <v/>
      </c>
      <c r="G358" s="1" t="str">
        <f t="shared" si="18"/>
        <v/>
      </c>
    </row>
    <row r="359" spans="2:7" x14ac:dyDescent="0.2">
      <c r="B359" s="58"/>
      <c r="C359" s="1" t="str">
        <f t="shared" si="17"/>
        <v/>
      </c>
      <c r="F359" s="62" t="str">
        <f t="shared" si="19"/>
        <v/>
      </c>
      <c r="G359" s="1" t="str">
        <f t="shared" si="18"/>
        <v/>
      </c>
    </row>
    <row r="360" spans="2:7" x14ac:dyDescent="0.2">
      <c r="B360" s="58"/>
      <c r="C360" s="1" t="str">
        <f t="shared" si="17"/>
        <v/>
      </c>
      <c r="F360" s="58" t="str">
        <f t="shared" si="19"/>
        <v/>
      </c>
      <c r="G360" s="1" t="str">
        <f t="shared" si="18"/>
        <v/>
      </c>
    </row>
    <row r="361" spans="2:7" x14ac:dyDescent="0.2">
      <c r="B361" s="58"/>
      <c r="C361" s="1" t="str">
        <f t="shared" si="17"/>
        <v/>
      </c>
      <c r="F361" s="62" t="str">
        <f t="shared" si="19"/>
        <v/>
      </c>
      <c r="G361" s="1" t="str">
        <f t="shared" si="18"/>
        <v/>
      </c>
    </row>
    <row r="362" spans="2:7" x14ac:dyDescent="0.2">
      <c r="B362" s="58"/>
      <c r="C362" s="1" t="str">
        <f t="shared" si="17"/>
        <v/>
      </c>
      <c r="F362" s="58" t="str">
        <f t="shared" si="19"/>
        <v/>
      </c>
      <c r="G362" s="1" t="str">
        <f t="shared" si="18"/>
        <v/>
      </c>
    </row>
    <row r="363" spans="2:7" x14ac:dyDescent="0.2">
      <c r="B363" s="58"/>
      <c r="C363" s="1" t="str">
        <f t="shared" si="17"/>
        <v/>
      </c>
      <c r="F363" s="62" t="str">
        <f t="shared" si="19"/>
        <v/>
      </c>
      <c r="G363" s="1" t="str">
        <f t="shared" si="18"/>
        <v/>
      </c>
    </row>
    <row r="364" spans="2:7" x14ac:dyDescent="0.2">
      <c r="B364" s="58"/>
      <c r="C364" s="1" t="str">
        <f t="shared" si="17"/>
        <v/>
      </c>
      <c r="F364" s="58" t="str">
        <f t="shared" si="19"/>
        <v/>
      </c>
      <c r="G364" s="1" t="str">
        <f t="shared" si="18"/>
        <v/>
      </c>
    </row>
    <row r="365" spans="2:7" x14ac:dyDescent="0.2">
      <c r="B365" s="58"/>
      <c r="C365" s="1" t="str">
        <f t="shared" si="17"/>
        <v/>
      </c>
      <c r="F365" s="62" t="str">
        <f t="shared" si="19"/>
        <v/>
      </c>
      <c r="G365" s="1" t="str">
        <f t="shared" si="18"/>
        <v/>
      </c>
    </row>
    <row r="366" spans="2:7" x14ac:dyDescent="0.2">
      <c r="B366" s="58"/>
      <c r="C366" s="1" t="str">
        <f t="shared" si="17"/>
        <v/>
      </c>
      <c r="F366" s="58" t="str">
        <f t="shared" si="19"/>
        <v/>
      </c>
      <c r="G366" s="1" t="str">
        <f t="shared" si="18"/>
        <v/>
      </c>
    </row>
    <row r="367" spans="2:7" x14ac:dyDescent="0.2">
      <c r="B367" s="58"/>
      <c r="C367" s="1" t="str">
        <f t="shared" si="17"/>
        <v/>
      </c>
      <c r="F367" s="62" t="str">
        <f t="shared" si="19"/>
        <v/>
      </c>
      <c r="G367" s="1" t="str">
        <f t="shared" si="18"/>
        <v/>
      </c>
    </row>
    <row r="368" spans="2:7" x14ac:dyDescent="0.2">
      <c r="B368" s="58"/>
      <c r="C368" s="1" t="str">
        <f t="shared" si="17"/>
        <v/>
      </c>
      <c r="F368" s="58" t="str">
        <f t="shared" si="19"/>
        <v/>
      </c>
      <c r="G368" s="1" t="str">
        <f t="shared" si="18"/>
        <v/>
      </c>
    </row>
    <row r="369" spans="2:7" x14ac:dyDescent="0.2">
      <c r="B369" s="58"/>
      <c r="C369" s="1" t="str">
        <f t="shared" si="17"/>
        <v/>
      </c>
      <c r="F369" s="62" t="str">
        <f t="shared" si="19"/>
        <v/>
      </c>
      <c r="G369" s="1" t="str">
        <f t="shared" si="18"/>
        <v/>
      </c>
    </row>
    <row r="370" spans="2:7" x14ac:dyDescent="0.2">
      <c r="B370" s="58"/>
      <c r="C370" s="1" t="str">
        <f t="shared" si="17"/>
        <v/>
      </c>
      <c r="F370" s="58" t="str">
        <f t="shared" si="19"/>
        <v/>
      </c>
      <c r="G370" s="1" t="str">
        <f t="shared" si="18"/>
        <v/>
      </c>
    </row>
    <row r="371" spans="2:7" x14ac:dyDescent="0.2">
      <c r="B371" s="58"/>
      <c r="C371" s="1" t="str">
        <f t="shared" si="17"/>
        <v/>
      </c>
      <c r="F371" s="62" t="str">
        <f t="shared" si="19"/>
        <v/>
      </c>
      <c r="G371" s="1" t="str">
        <f t="shared" si="18"/>
        <v/>
      </c>
    </row>
    <row r="372" spans="2:7" x14ac:dyDescent="0.2">
      <c r="B372" s="58"/>
      <c r="C372" s="1" t="str">
        <f t="shared" si="17"/>
        <v/>
      </c>
      <c r="F372" s="58" t="str">
        <f t="shared" si="19"/>
        <v/>
      </c>
      <c r="G372" s="1" t="str">
        <f t="shared" si="18"/>
        <v/>
      </c>
    </row>
    <row r="373" spans="2:7" x14ac:dyDescent="0.2">
      <c r="B373" s="58"/>
      <c r="C373" s="1" t="str">
        <f t="shared" si="17"/>
        <v/>
      </c>
      <c r="F373" s="62" t="str">
        <f t="shared" si="19"/>
        <v/>
      </c>
      <c r="G373" s="1" t="str">
        <f t="shared" si="18"/>
        <v/>
      </c>
    </row>
    <row r="374" spans="2:7" x14ac:dyDescent="0.2">
      <c r="B374" s="58"/>
      <c r="C374" s="1" t="str">
        <f t="shared" si="17"/>
        <v/>
      </c>
      <c r="F374" s="58" t="str">
        <f t="shared" si="19"/>
        <v/>
      </c>
      <c r="G374" s="1" t="str">
        <f t="shared" si="18"/>
        <v/>
      </c>
    </row>
    <row r="375" spans="2:7" x14ac:dyDescent="0.2">
      <c r="B375" s="58"/>
      <c r="C375" s="1" t="str">
        <f t="shared" si="17"/>
        <v/>
      </c>
      <c r="F375" s="62" t="str">
        <f t="shared" si="19"/>
        <v/>
      </c>
      <c r="G375" s="1" t="str">
        <f t="shared" si="18"/>
        <v/>
      </c>
    </row>
    <row r="376" spans="2:7" x14ac:dyDescent="0.2">
      <c r="B376" s="58"/>
      <c r="C376" s="1" t="str">
        <f t="shared" si="17"/>
        <v/>
      </c>
      <c r="F376" s="58" t="str">
        <f t="shared" si="19"/>
        <v/>
      </c>
      <c r="G376" s="1" t="str">
        <f t="shared" si="18"/>
        <v/>
      </c>
    </row>
    <row r="377" spans="2:7" x14ac:dyDescent="0.2">
      <c r="B377" s="58"/>
      <c r="C377" s="1" t="str">
        <f t="shared" si="17"/>
        <v/>
      </c>
      <c r="F377" s="62" t="str">
        <f t="shared" si="19"/>
        <v/>
      </c>
      <c r="G377" s="1" t="str">
        <f t="shared" si="18"/>
        <v/>
      </c>
    </row>
    <row r="378" spans="2:7" x14ac:dyDescent="0.2">
      <c r="B378" s="58"/>
      <c r="C378" s="1" t="str">
        <f t="shared" si="17"/>
        <v/>
      </c>
      <c r="F378" s="58" t="str">
        <f t="shared" si="19"/>
        <v/>
      </c>
      <c r="G378" s="1" t="str">
        <f t="shared" si="18"/>
        <v/>
      </c>
    </row>
    <row r="379" spans="2:7" x14ac:dyDescent="0.2">
      <c r="B379" s="58"/>
      <c r="C379" s="1" t="str">
        <f t="shared" si="17"/>
        <v/>
      </c>
      <c r="F379" s="62" t="str">
        <f t="shared" si="19"/>
        <v/>
      </c>
      <c r="G379" s="1" t="str">
        <f t="shared" si="18"/>
        <v/>
      </c>
    </row>
    <row r="380" spans="2:7" x14ac:dyDescent="0.2">
      <c r="B380" s="58"/>
      <c r="C380" s="1" t="str">
        <f t="shared" si="17"/>
        <v/>
      </c>
      <c r="F380" s="58" t="str">
        <f t="shared" si="19"/>
        <v/>
      </c>
      <c r="G380" s="1" t="str">
        <f t="shared" si="18"/>
        <v/>
      </c>
    </row>
    <row r="381" spans="2:7" x14ac:dyDescent="0.2">
      <c r="B381" s="58"/>
      <c r="C381" s="1" t="str">
        <f t="shared" si="17"/>
        <v/>
      </c>
      <c r="F381" s="62" t="str">
        <f t="shared" si="19"/>
        <v/>
      </c>
      <c r="G381" s="1" t="str">
        <f t="shared" si="18"/>
        <v/>
      </c>
    </row>
    <row r="382" spans="2:7" x14ac:dyDescent="0.2">
      <c r="B382" s="58"/>
      <c r="C382" s="1" t="str">
        <f t="shared" si="17"/>
        <v/>
      </c>
      <c r="F382" s="58" t="str">
        <f t="shared" si="19"/>
        <v/>
      </c>
      <c r="G382" s="1" t="str">
        <f t="shared" si="18"/>
        <v/>
      </c>
    </row>
    <row r="383" spans="2:7" x14ac:dyDescent="0.2">
      <c r="B383" s="58"/>
      <c r="C383" s="1" t="str">
        <f t="shared" si="17"/>
        <v/>
      </c>
      <c r="F383" s="62" t="str">
        <f t="shared" si="19"/>
        <v/>
      </c>
      <c r="G383" s="1" t="str">
        <f t="shared" si="18"/>
        <v/>
      </c>
    </row>
    <row r="384" spans="2:7" x14ac:dyDescent="0.2">
      <c r="B384" s="58"/>
      <c r="C384" s="1" t="str">
        <f t="shared" si="17"/>
        <v/>
      </c>
      <c r="F384" s="58" t="str">
        <f t="shared" si="19"/>
        <v/>
      </c>
      <c r="G384" s="1" t="str">
        <f t="shared" si="18"/>
        <v/>
      </c>
    </row>
    <row r="385" spans="2:7" x14ac:dyDescent="0.2">
      <c r="B385" s="58"/>
      <c r="C385" s="1" t="str">
        <f t="shared" si="17"/>
        <v/>
      </c>
      <c r="F385" s="62" t="str">
        <f t="shared" si="19"/>
        <v/>
      </c>
      <c r="G385" s="1" t="str">
        <f t="shared" si="18"/>
        <v/>
      </c>
    </row>
    <row r="386" spans="2:7" x14ac:dyDescent="0.2">
      <c r="B386" s="58"/>
      <c r="C386" s="1" t="str">
        <f t="shared" si="17"/>
        <v/>
      </c>
      <c r="F386" s="58" t="str">
        <f t="shared" si="19"/>
        <v/>
      </c>
      <c r="G386" s="1" t="str">
        <f t="shared" si="18"/>
        <v/>
      </c>
    </row>
    <row r="387" spans="2:7" x14ac:dyDescent="0.2">
      <c r="B387" s="58"/>
      <c r="C387" s="1" t="str">
        <f t="shared" si="17"/>
        <v/>
      </c>
      <c r="F387" s="62" t="str">
        <f t="shared" si="19"/>
        <v/>
      </c>
      <c r="G387" s="1" t="str">
        <f t="shared" si="18"/>
        <v/>
      </c>
    </row>
    <row r="388" spans="2:7" x14ac:dyDescent="0.2">
      <c r="B388" s="58"/>
      <c r="C388" s="1" t="str">
        <f t="shared" si="17"/>
        <v/>
      </c>
      <c r="F388" s="58" t="str">
        <f t="shared" si="19"/>
        <v/>
      </c>
      <c r="G388" s="1" t="str">
        <f t="shared" si="18"/>
        <v/>
      </c>
    </row>
    <row r="389" spans="2:7" x14ac:dyDescent="0.2">
      <c r="B389" s="58"/>
      <c r="C389" s="1" t="str">
        <f t="shared" si="17"/>
        <v/>
      </c>
      <c r="F389" s="62" t="str">
        <f t="shared" si="19"/>
        <v/>
      </c>
      <c r="G389" s="1" t="str">
        <f t="shared" si="18"/>
        <v/>
      </c>
    </row>
    <row r="390" spans="2:7" x14ac:dyDescent="0.2">
      <c r="B390" s="58"/>
      <c r="C390" s="1" t="str">
        <f t="shared" si="17"/>
        <v/>
      </c>
      <c r="F390" s="58" t="str">
        <f t="shared" si="19"/>
        <v/>
      </c>
      <c r="G390" s="1" t="str">
        <f t="shared" si="18"/>
        <v/>
      </c>
    </row>
    <row r="391" spans="2:7" x14ac:dyDescent="0.2">
      <c r="B391" s="58"/>
      <c r="C391" s="1" t="str">
        <f t="shared" si="17"/>
        <v/>
      </c>
      <c r="F391" s="62" t="str">
        <f t="shared" si="19"/>
        <v/>
      </c>
      <c r="G391" s="1" t="str">
        <f t="shared" si="18"/>
        <v/>
      </c>
    </row>
    <row r="392" spans="2:7" x14ac:dyDescent="0.2">
      <c r="B392" s="58"/>
      <c r="C392" s="1" t="str">
        <f t="shared" si="17"/>
        <v/>
      </c>
      <c r="F392" s="58" t="str">
        <f t="shared" si="19"/>
        <v/>
      </c>
      <c r="G392" s="1" t="str">
        <f t="shared" si="18"/>
        <v/>
      </c>
    </row>
    <row r="393" spans="2:7" x14ac:dyDescent="0.2">
      <c r="B393" s="58"/>
      <c r="C393" s="1" t="str">
        <f t="shared" ref="C393:C456" si="20">IF(B393="","",IF(B393&lt;B392,"ERROR: Value less than Previous Cell, Invalid for solver","&lt;station loc="""&amp;B393&amp;""" X=""0"" Y=""0"" Z=""0"" rX=""0"" rY=""0"" rZ=""0"" /&gt;"))</f>
        <v/>
      </c>
      <c r="F393" s="62" t="str">
        <f t="shared" si="19"/>
        <v/>
      </c>
      <c r="G393" s="1" t="str">
        <f t="shared" ref="G393:G456" si="21">IF(F393="","",IF(F393&lt;F392,"ERROR: Value less than Previous Cell, Invalid for solver","&lt;station loc="""&amp;F393&amp;""" X=""0"" Y=""0"" Z=""0"" rX=""0"" rY=""0"" rZ=""0"" /&gt;"))</f>
        <v/>
      </c>
    </row>
    <row r="394" spans="2:7" x14ac:dyDescent="0.2">
      <c r="B394" s="58"/>
      <c r="C394" s="1" t="str">
        <f t="shared" si="20"/>
        <v/>
      </c>
      <c r="F394" s="58" t="str">
        <f t="shared" si="19"/>
        <v/>
      </c>
      <c r="G394" s="1" t="str">
        <f t="shared" si="21"/>
        <v/>
      </c>
    </row>
    <row r="395" spans="2:7" x14ac:dyDescent="0.2">
      <c r="B395" s="58"/>
      <c r="C395" s="1" t="str">
        <f t="shared" si="20"/>
        <v/>
      </c>
      <c r="F395" s="62" t="str">
        <f t="shared" si="19"/>
        <v/>
      </c>
      <c r="G395" s="1" t="str">
        <f t="shared" si="21"/>
        <v/>
      </c>
    </row>
    <row r="396" spans="2:7" x14ac:dyDescent="0.2">
      <c r="B396" s="58"/>
      <c r="C396" s="1" t="str">
        <f t="shared" si="20"/>
        <v/>
      </c>
      <c r="F396" s="58" t="str">
        <f t="shared" si="19"/>
        <v/>
      </c>
      <c r="G396" s="1" t="str">
        <f t="shared" si="21"/>
        <v/>
      </c>
    </row>
    <row r="397" spans="2:7" x14ac:dyDescent="0.2">
      <c r="B397" s="58"/>
      <c r="C397" s="1" t="str">
        <f t="shared" si="20"/>
        <v/>
      </c>
      <c r="F397" s="62" t="str">
        <f t="shared" si="19"/>
        <v/>
      </c>
      <c r="G397" s="1" t="str">
        <f t="shared" si="21"/>
        <v/>
      </c>
    </row>
    <row r="398" spans="2:7" x14ac:dyDescent="0.2">
      <c r="B398" s="58"/>
      <c r="C398" s="1" t="str">
        <f t="shared" si="20"/>
        <v/>
      </c>
      <c r="F398" s="58" t="str">
        <f t="shared" si="19"/>
        <v/>
      </c>
      <c r="G398" s="1" t="str">
        <f t="shared" si="21"/>
        <v/>
      </c>
    </row>
    <row r="399" spans="2:7" x14ac:dyDescent="0.2">
      <c r="B399" s="58"/>
      <c r="C399" s="1" t="str">
        <f t="shared" si="20"/>
        <v/>
      </c>
      <c r="F399" s="62" t="str">
        <f t="shared" si="19"/>
        <v/>
      </c>
      <c r="G399" s="1" t="str">
        <f t="shared" si="21"/>
        <v/>
      </c>
    </row>
    <row r="400" spans="2:7" x14ac:dyDescent="0.2">
      <c r="B400" s="58"/>
      <c r="C400" s="1" t="str">
        <f t="shared" si="20"/>
        <v/>
      </c>
      <c r="F400" s="58" t="str">
        <f t="shared" si="19"/>
        <v/>
      </c>
      <c r="G400" s="1" t="str">
        <f t="shared" si="21"/>
        <v/>
      </c>
    </row>
    <row r="401" spans="2:7" x14ac:dyDescent="0.2">
      <c r="B401" s="58"/>
      <c r="C401" s="1" t="str">
        <f t="shared" si="20"/>
        <v/>
      </c>
      <c r="F401" s="62" t="str">
        <f t="shared" si="19"/>
        <v/>
      </c>
      <c r="G401" s="1" t="str">
        <f t="shared" si="21"/>
        <v/>
      </c>
    </row>
    <row r="402" spans="2:7" x14ac:dyDescent="0.2">
      <c r="B402" s="58"/>
      <c r="C402" s="1" t="str">
        <f t="shared" si="20"/>
        <v/>
      </c>
      <c r="F402" s="58" t="str">
        <f t="shared" si="19"/>
        <v/>
      </c>
      <c r="G402" s="1" t="str">
        <f t="shared" si="21"/>
        <v/>
      </c>
    </row>
    <row r="403" spans="2:7" x14ac:dyDescent="0.2">
      <c r="B403" s="58"/>
      <c r="C403" s="1" t="str">
        <f t="shared" si="20"/>
        <v/>
      </c>
      <c r="F403" s="62" t="str">
        <f t="shared" si="19"/>
        <v/>
      </c>
      <c r="G403" s="1" t="str">
        <f t="shared" si="21"/>
        <v/>
      </c>
    </row>
    <row r="404" spans="2:7" x14ac:dyDescent="0.2">
      <c r="B404" s="58"/>
      <c r="C404" s="1" t="str">
        <f t="shared" si="20"/>
        <v/>
      </c>
      <c r="F404" s="58" t="str">
        <f t="shared" si="19"/>
        <v/>
      </c>
      <c r="G404" s="1" t="str">
        <f t="shared" si="21"/>
        <v/>
      </c>
    </row>
    <row r="405" spans="2:7" x14ac:dyDescent="0.2">
      <c r="B405" s="58"/>
      <c r="C405" s="1" t="str">
        <f t="shared" si="20"/>
        <v/>
      </c>
      <c r="F405" s="62" t="str">
        <f t="shared" si="19"/>
        <v/>
      </c>
      <c r="G405" s="1" t="str">
        <f t="shared" si="21"/>
        <v/>
      </c>
    </row>
    <row r="406" spans="2:7" x14ac:dyDescent="0.2">
      <c r="B406" s="58"/>
      <c r="C406" s="1" t="str">
        <f t="shared" si="20"/>
        <v/>
      </c>
      <c r="F406" s="58" t="str">
        <f t="shared" si="19"/>
        <v/>
      </c>
      <c r="G406" s="1" t="str">
        <f t="shared" si="21"/>
        <v/>
      </c>
    </row>
    <row r="407" spans="2:7" x14ac:dyDescent="0.2">
      <c r="B407" s="58"/>
      <c r="C407" s="1" t="str">
        <f t="shared" si="20"/>
        <v/>
      </c>
      <c r="F407" s="62" t="str">
        <f t="shared" si="19"/>
        <v/>
      </c>
      <c r="G407" s="1" t="str">
        <f t="shared" si="21"/>
        <v/>
      </c>
    </row>
    <row r="408" spans="2:7" x14ac:dyDescent="0.2">
      <c r="B408" s="58"/>
      <c r="C408" s="1" t="str">
        <f t="shared" si="20"/>
        <v/>
      </c>
      <c r="F408" s="58" t="str">
        <f t="shared" si="19"/>
        <v/>
      </c>
      <c r="G408" s="1" t="str">
        <f t="shared" si="21"/>
        <v/>
      </c>
    </row>
    <row r="409" spans="2:7" x14ac:dyDescent="0.2">
      <c r="B409" s="58"/>
      <c r="C409" s="1" t="str">
        <f t="shared" si="20"/>
        <v/>
      </c>
      <c r="F409" s="62" t="str">
        <f t="shared" ref="F409:F472" si="22">IF(OR(F408=$F$5,F408=""),"",IF(F408+$F$6&gt;$F$5,$F$5,F408+$F$6))</f>
        <v/>
      </c>
      <c r="G409" s="1" t="str">
        <f t="shared" si="21"/>
        <v/>
      </c>
    </row>
    <row r="410" spans="2:7" x14ac:dyDescent="0.2">
      <c r="B410" s="58"/>
      <c r="C410" s="1" t="str">
        <f t="shared" si="20"/>
        <v/>
      </c>
      <c r="F410" s="58" t="str">
        <f t="shared" si="22"/>
        <v/>
      </c>
      <c r="G410" s="1" t="str">
        <f t="shared" si="21"/>
        <v/>
      </c>
    </row>
    <row r="411" spans="2:7" x14ac:dyDescent="0.2">
      <c r="B411" s="58"/>
      <c r="C411" s="1" t="str">
        <f t="shared" si="20"/>
        <v/>
      </c>
      <c r="F411" s="62" t="str">
        <f t="shared" si="22"/>
        <v/>
      </c>
      <c r="G411" s="1" t="str">
        <f t="shared" si="21"/>
        <v/>
      </c>
    </row>
    <row r="412" spans="2:7" x14ac:dyDescent="0.2">
      <c r="B412" s="58"/>
      <c r="C412" s="1" t="str">
        <f t="shared" si="20"/>
        <v/>
      </c>
      <c r="F412" s="58" t="str">
        <f t="shared" si="22"/>
        <v/>
      </c>
      <c r="G412" s="1" t="str">
        <f t="shared" si="21"/>
        <v/>
      </c>
    </row>
    <row r="413" spans="2:7" x14ac:dyDescent="0.2">
      <c r="B413" s="58"/>
      <c r="C413" s="1" t="str">
        <f t="shared" si="20"/>
        <v/>
      </c>
      <c r="F413" s="62" t="str">
        <f t="shared" si="22"/>
        <v/>
      </c>
      <c r="G413" s="1" t="str">
        <f t="shared" si="21"/>
        <v/>
      </c>
    </row>
    <row r="414" spans="2:7" x14ac:dyDescent="0.2">
      <c r="B414" s="58"/>
      <c r="C414" s="1" t="str">
        <f t="shared" si="20"/>
        <v/>
      </c>
      <c r="F414" s="58" t="str">
        <f t="shared" si="22"/>
        <v/>
      </c>
      <c r="G414" s="1" t="str">
        <f t="shared" si="21"/>
        <v/>
      </c>
    </row>
    <row r="415" spans="2:7" x14ac:dyDescent="0.2">
      <c r="B415" s="58"/>
      <c r="C415" s="1" t="str">
        <f t="shared" si="20"/>
        <v/>
      </c>
      <c r="F415" s="62" t="str">
        <f t="shared" si="22"/>
        <v/>
      </c>
      <c r="G415" s="1" t="str">
        <f t="shared" si="21"/>
        <v/>
      </c>
    </row>
    <row r="416" spans="2:7" x14ac:dyDescent="0.2">
      <c r="B416" s="58"/>
      <c r="C416" s="1" t="str">
        <f t="shared" si="20"/>
        <v/>
      </c>
      <c r="F416" s="58" t="str">
        <f t="shared" si="22"/>
        <v/>
      </c>
      <c r="G416" s="1" t="str">
        <f t="shared" si="21"/>
        <v/>
      </c>
    </row>
    <row r="417" spans="2:7" x14ac:dyDescent="0.2">
      <c r="B417" s="58"/>
      <c r="C417" s="1" t="str">
        <f t="shared" si="20"/>
        <v/>
      </c>
      <c r="F417" s="62" t="str">
        <f t="shared" si="22"/>
        <v/>
      </c>
      <c r="G417" s="1" t="str">
        <f t="shared" si="21"/>
        <v/>
      </c>
    </row>
    <row r="418" spans="2:7" x14ac:dyDescent="0.2">
      <c r="B418" s="58"/>
      <c r="C418" s="1" t="str">
        <f t="shared" si="20"/>
        <v/>
      </c>
      <c r="F418" s="58" t="str">
        <f t="shared" si="22"/>
        <v/>
      </c>
      <c r="G418" s="1" t="str">
        <f t="shared" si="21"/>
        <v/>
      </c>
    </row>
    <row r="419" spans="2:7" x14ac:dyDescent="0.2">
      <c r="B419" s="58"/>
      <c r="C419" s="1" t="str">
        <f t="shared" si="20"/>
        <v/>
      </c>
      <c r="F419" s="62" t="str">
        <f t="shared" si="22"/>
        <v/>
      </c>
      <c r="G419" s="1" t="str">
        <f t="shared" si="21"/>
        <v/>
      </c>
    </row>
    <row r="420" spans="2:7" x14ac:dyDescent="0.2">
      <c r="B420" s="58"/>
      <c r="C420" s="1" t="str">
        <f t="shared" si="20"/>
        <v/>
      </c>
      <c r="F420" s="58" t="str">
        <f t="shared" si="22"/>
        <v/>
      </c>
      <c r="G420" s="1" t="str">
        <f t="shared" si="21"/>
        <v/>
      </c>
    </row>
    <row r="421" spans="2:7" x14ac:dyDescent="0.2">
      <c r="B421" s="58"/>
      <c r="C421" s="1" t="str">
        <f t="shared" si="20"/>
        <v/>
      </c>
      <c r="F421" s="62" t="str">
        <f t="shared" si="22"/>
        <v/>
      </c>
      <c r="G421" s="1" t="str">
        <f t="shared" si="21"/>
        <v/>
      </c>
    </row>
    <row r="422" spans="2:7" x14ac:dyDescent="0.2">
      <c r="B422" s="58"/>
      <c r="C422" s="1" t="str">
        <f t="shared" si="20"/>
        <v/>
      </c>
      <c r="F422" s="58" t="str">
        <f t="shared" si="22"/>
        <v/>
      </c>
      <c r="G422" s="1" t="str">
        <f t="shared" si="21"/>
        <v/>
      </c>
    </row>
    <row r="423" spans="2:7" x14ac:dyDescent="0.2">
      <c r="B423" s="58"/>
      <c r="C423" s="1" t="str">
        <f t="shared" si="20"/>
        <v/>
      </c>
      <c r="F423" s="62" t="str">
        <f t="shared" si="22"/>
        <v/>
      </c>
      <c r="G423" s="1" t="str">
        <f t="shared" si="21"/>
        <v/>
      </c>
    </row>
    <row r="424" spans="2:7" x14ac:dyDescent="0.2">
      <c r="B424" s="58"/>
      <c r="C424" s="1" t="str">
        <f t="shared" si="20"/>
        <v/>
      </c>
      <c r="F424" s="58" t="str">
        <f t="shared" si="22"/>
        <v/>
      </c>
      <c r="G424" s="1" t="str">
        <f t="shared" si="21"/>
        <v/>
      </c>
    </row>
    <row r="425" spans="2:7" x14ac:dyDescent="0.2">
      <c r="B425" s="58"/>
      <c r="C425" s="1" t="str">
        <f t="shared" si="20"/>
        <v/>
      </c>
      <c r="F425" s="62" t="str">
        <f t="shared" si="22"/>
        <v/>
      </c>
      <c r="G425" s="1" t="str">
        <f t="shared" si="21"/>
        <v/>
      </c>
    </row>
    <row r="426" spans="2:7" x14ac:dyDescent="0.2">
      <c r="B426" s="58"/>
      <c r="C426" s="1" t="str">
        <f t="shared" si="20"/>
        <v/>
      </c>
      <c r="F426" s="58" t="str">
        <f t="shared" si="22"/>
        <v/>
      </c>
      <c r="G426" s="1" t="str">
        <f t="shared" si="21"/>
        <v/>
      </c>
    </row>
    <row r="427" spans="2:7" x14ac:dyDescent="0.2">
      <c r="B427" s="58"/>
      <c r="C427" s="1" t="str">
        <f t="shared" si="20"/>
        <v/>
      </c>
      <c r="F427" s="62" t="str">
        <f t="shared" si="22"/>
        <v/>
      </c>
      <c r="G427" s="1" t="str">
        <f t="shared" si="21"/>
        <v/>
      </c>
    </row>
    <row r="428" spans="2:7" x14ac:dyDescent="0.2">
      <c r="B428" s="58"/>
      <c r="C428" s="1" t="str">
        <f t="shared" si="20"/>
        <v/>
      </c>
      <c r="F428" s="58" t="str">
        <f t="shared" si="22"/>
        <v/>
      </c>
      <c r="G428" s="1" t="str">
        <f t="shared" si="21"/>
        <v/>
      </c>
    </row>
    <row r="429" spans="2:7" x14ac:dyDescent="0.2">
      <c r="B429" s="58"/>
      <c r="C429" s="1" t="str">
        <f t="shared" si="20"/>
        <v/>
      </c>
      <c r="F429" s="62" t="str">
        <f t="shared" si="22"/>
        <v/>
      </c>
      <c r="G429" s="1" t="str">
        <f t="shared" si="21"/>
        <v/>
      </c>
    </row>
    <row r="430" spans="2:7" x14ac:dyDescent="0.2">
      <c r="B430" s="58"/>
      <c r="C430" s="1" t="str">
        <f t="shared" si="20"/>
        <v/>
      </c>
      <c r="F430" s="58" t="str">
        <f t="shared" si="22"/>
        <v/>
      </c>
      <c r="G430" s="1" t="str">
        <f t="shared" si="21"/>
        <v/>
      </c>
    </row>
    <row r="431" spans="2:7" x14ac:dyDescent="0.2">
      <c r="B431" s="58"/>
      <c r="C431" s="1" t="str">
        <f t="shared" si="20"/>
        <v/>
      </c>
      <c r="F431" s="62" t="str">
        <f t="shared" si="22"/>
        <v/>
      </c>
      <c r="G431" s="1" t="str">
        <f t="shared" si="21"/>
        <v/>
      </c>
    </row>
    <row r="432" spans="2:7" x14ac:dyDescent="0.2">
      <c r="B432" s="58"/>
      <c r="C432" s="1" t="str">
        <f t="shared" si="20"/>
        <v/>
      </c>
      <c r="F432" s="58" t="str">
        <f t="shared" si="22"/>
        <v/>
      </c>
      <c r="G432" s="1" t="str">
        <f t="shared" si="21"/>
        <v/>
      </c>
    </row>
    <row r="433" spans="2:7" x14ac:dyDescent="0.2">
      <c r="B433" s="58"/>
      <c r="C433" s="1" t="str">
        <f t="shared" si="20"/>
        <v/>
      </c>
      <c r="F433" s="62" t="str">
        <f t="shared" si="22"/>
        <v/>
      </c>
      <c r="G433" s="1" t="str">
        <f t="shared" si="21"/>
        <v/>
      </c>
    </row>
    <row r="434" spans="2:7" x14ac:dyDescent="0.2">
      <c r="B434" s="58"/>
      <c r="C434" s="1" t="str">
        <f t="shared" si="20"/>
        <v/>
      </c>
      <c r="F434" s="58" t="str">
        <f t="shared" si="22"/>
        <v/>
      </c>
      <c r="G434" s="1" t="str">
        <f t="shared" si="21"/>
        <v/>
      </c>
    </row>
    <row r="435" spans="2:7" x14ac:dyDescent="0.2">
      <c r="B435" s="58"/>
      <c r="C435" s="1" t="str">
        <f t="shared" si="20"/>
        <v/>
      </c>
      <c r="F435" s="62" t="str">
        <f t="shared" si="22"/>
        <v/>
      </c>
      <c r="G435" s="1" t="str">
        <f t="shared" si="21"/>
        <v/>
      </c>
    </row>
    <row r="436" spans="2:7" x14ac:dyDescent="0.2">
      <c r="B436" s="58"/>
      <c r="C436" s="1" t="str">
        <f t="shared" si="20"/>
        <v/>
      </c>
      <c r="F436" s="58" t="str">
        <f t="shared" si="22"/>
        <v/>
      </c>
      <c r="G436" s="1" t="str">
        <f t="shared" si="21"/>
        <v/>
      </c>
    </row>
    <row r="437" spans="2:7" x14ac:dyDescent="0.2">
      <c r="B437" s="58"/>
      <c r="C437" s="1" t="str">
        <f t="shared" si="20"/>
        <v/>
      </c>
      <c r="F437" s="62" t="str">
        <f t="shared" si="22"/>
        <v/>
      </c>
      <c r="G437" s="1" t="str">
        <f t="shared" si="21"/>
        <v/>
      </c>
    </row>
    <row r="438" spans="2:7" x14ac:dyDescent="0.2">
      <c r="B438" s="58"/>
      <c r="C438" s="1" t="str">
        <f t="shared" si="20"/>
        <v/>
      </c>
      <c r="F438" s="58" t="str">
        <f t="shared" si="22"/>
        <v/>
      </c>
      <c r="G438" s="1" t="str">
        <f t="shared" si="21"/>
        <v/>
      </c>
    </row>
    <row r="439" spans="2:7" x14ac:dyDescent="0.2">
      <c r="B439" s="58"/>
      <c r="C439" s="1" t="str">
        <f t="shared" si="20"/>
        <v/>
      </c>
      <c r="F439" s="62" t="str">
        <f t="shared" si="22"/>
        <v/>
      </c>
      <c r="G439" s="1" t="str">
        <f t="shared" si="21"/>
        <v/>
      </c>
    </row>
    <row r="440" spans="2:7" x14ac:dyDescent="0.2">
      <c r="B440" s="58"/>
      <c r="C440" s="1" t="str">
        <f t="shared" si="20"/>
        <v/>
      </c>
      <c r="F440" s="58" t="str">
        <f t="shared" si="22"/>
        <v/>
      </c>
      <c r="G440" s="1" t="str">
        <f t="shared" si="21"/>
        <v/>
      </c>
    </row>
    <row r="441" spans="2:7" x14ac:dyDescent="0.2">
      <c r="B441" s="58"/>
      <c r="C441" s="1" t="str">
        <f t="shared" si="20"/>
        <v/>
      </c>
      <c r="F441" s="62" t="str">
        <f t="shared" si="22"/>
        <v/>
      </c>
      <c r="G441" s="1" t="str">
        <f t="shared" si="21"/>
        <v/>
      </c>
    </row>
    <row r="442" spans="2:7" x14ac:dyDescent="0.2">
      <c r="B442" s="58"/>
      <c r="C442" s="1" t="str">
        <f t="shared" si="20"/>
        <v/>
      </c>
      <c r="F442" s="58" t="str">
        <f t="shared" si="22"/>
        <v/>
      </c>
      <c r="G442" s="1" t="str">
        <f t="shared" si="21"/>
        <v/>
      </c>
    </row>
    <row r="443" spans="2:7" x14ac:dyDescent="0.2">
      <c r="B443" s="58"/>
      <c r="C443" s="1" t="str">
        <f t="shared" si="20"/>
        <v/>
      </c>
      <c r="F443" s="62" t="str">
        <f t="shared" si="22"/>
        <v/>
      </c>
      <c r="G443" s="1" t="str">
        <f t="shared" si="21"/>
        <v/>
      </c>
    </row>
    <row r="444" spans="2:7" x14ac:dyDescent="0.2">
      <c r="B444" s="58"/>
      <c r="C444" s="1" t="str">
        <f t="shared" si="20"/>
        <v/>
      </c>
      <c r="F444" s="58" t="str">
        <f t="shared" si="22"/>
        <v/>
      </c>
      <c r="G444" s="1" t="str">
        <f t="shared" si="21"/>
        <v/>
      </c>
    </row>
    <row r="445" spans="2:7" x14ac:dyDescent="0.2">
      <c r="B445" s="58"/>
      <c r="C445" s="1" t="str">
        <f t="shared" si="20"/>
        <v/>
      </c>
      <c r="F445" s="62" t="str">
        <f t="shared" si="22"/>
        <v/>
      </c>
      <c r="G445" s="1" t="str">
        <f t="shared" si="21"/>
        <v/>
      </c>
    </row>
    <row r="446" spans="2:7" x14ac:dyDescent="0.2">
      <c r="B446" s="58"/>
      <c r="C446" s="1" t="str">
        <f t="shared" si="20"/>
        <v/>
      </c>
      <c r="F446" s="58" t="str">
        <f t="shared" si="22"/>
        <v/>
      </c>
      <c r="G446" s="1" t="str">
        <f t="shared" si="21"/>
        <v/>
      </c>
    </row>
    <row r="447" spans="2:7" x14ac:dyDescent="0.2">
      <c r="B447" s="58"/>
      <c r="C447" s="1" t="str">
        <f t="shared" si="20"/>
        <v/>
      </c>
      <c r="F447" s="62" t="str">
        <f t="shared" si="22"/>
        <v/>
      </c>
      <c r="G447" s="1" t="str">
        <f t="shared" si="21"/>
        <v/>
      </c>
    </row>
    <row r="448" spans="2:7" x14ac:dyDescent="0.2">
      <c r="B448" s="58"/>
      <c r="C448" s="1" t="str">
        <f t="shared" si="20"/>
        <v/>
      </c>
      <c r="F448" s="58" t="str">
        <f t="shared" si="22"/>
        <v/>
      </c>
      <c r="G448" s="1" t="str">
        <f t="shared" si="21"/>
        <v/>
      </c>
    </row>
    <row r="449" spans="2:7" x14ac:dyDescent="0.2">
      <c r="B449" s="58"/>
      <c r="C449" s="1" t="str">
        <f t="shared" si="20"/>
        <v/>
      </c>
      <c r="F449" s="62" t="str">
        <f t="shared" si="22"/>
        <v/>
      </c>
      <c r="G449" s="1" t="str">
        <f t="shared" si="21"/>
        <v/>
      </c>
    </row>
    <row r="450" spans="2:7" x14ac:dyDescent="0.2">
      <c r="B450" s="58"/>
      <c r="C450" s="1" t="str">
        <f t="shared" si="20"/>
        <v/>
      </c>
      <c r="F450" s="58" t="str">
        <f t="shared" si="22"/>
        <v/>
      </c>
      <c r="G450" s="1" t="str">
        <f t="shared" si="21"/>
        <v/>
      </c>
    </row>
    <row r="451" spans="2:7" x14ac:dyDescent="0.2">
      <c r="B451" s="58"/>
      <c r="C451" s="1" t="str">
        <f t="shared" si="20"/>
        <v/>
      </c>
      <c r="F451" s="62" t="str">
        <f t="shared" si="22"/>
        <v/>
      </c>
      <c r="G451" s="1" t="str">
        <f t="shared" si="21"/>
        <v/>
      </c>
    </row>
    <row r="452" spans="2:7" x14ac:dyDescent="0.2">
      <c r="B452" s="58"/>
      <c r="C452" s="1" t="str">
        <f t="shared" si="20"/>
        <v/>
      </c>
      <c r="F452" s="58" t="str">
        <f t="shared" si="22"/>
        <v/>
      </c>
      <c r="G452" s="1" t="str">
        <f t="shared" si="21"/>
        <v/>
      </c>
    </row>
    <row r="453" spans="2:7" x14ac:dyDescent="0.2">
      <c r="B453" s="58"/>
      <c r="C453" s="1" t="str">
        <f t="shared" si="20"/>
        <v/>
      </c>
      <c r="F453" s="62" t="str">
        <f t="shared" si="22"/>
        <v/>
      </c>
      <c r="G453" s="1" t="str">
        <f t="shared" si="21"/>
        <v/>
      </c>
    </row>
    <row r="454" spans="2:7" x14ac:dyDescent="0.2">
      <c r="B454" s="58"/>
      <c r="C454" s="1" t="str">
        <f t="shared" si="20"/>
        <v/>
      </c>
      <c r="F454" s="58" t="str">
        <f t="shared" si="22"/>
        <v/>
      </c>
      <c r="G454" s="1" t="str">
        <f t="shared" si="21"/>
        <v/>
      </c>
    </row>
    <row r="455" spans="2:7" x14ac:dyDescent="0.2">
      <c r="B455" s="58"/>
      <c r="C455" s="1" t="str">
        <f t="shared" si="20"/>
        <v/>
      </c>
      <c r="F455" s="62" t="str">
        <f t="shared" si="22"/>
        <v/>
      </c>
      <c r="G455" s="1" t="str">
        <f t="shared" si="21"/>
        <v/>
      </c>
    </row>
    <row r="456" spans="2:7" x14ac:dyDescent="0.2">
      <c r="B456" s="58"/>
      <c r="C456" s="1" t="str">
        <f t="shared" si="20"/>
        <v/>
      </c>
      <c r="F456" s="58" t="str">
        <f t="shared" si="22"/>
        <v/>
      </c>
      <c r="G456" s="1" t="str">
        <f t="shared" si="21"/>
        <v/>
      </c>
    </row>
    <row r="457" spans="2:7" x14ac:dyDescent="0.2">
      <c r="B457" s="58"/>
      <c r="C457" s="1" t="str">
        <f t="shared" ref="C457:C508" si="23">IF(B457="","",IF(B457&lt;B456,"ERROR: Value less than Previous Cell, Invalid for solver","&lt;station loc="""&amp;B457&amp;""" X=""0"" Y=""0"" Z=""0"" rX=""0"" rY=""0"" rZ=""0"" /&gt;"))</f>
        <v/>
      </c>
      <c r="F457" s="62" t="str">
        <f t="shared" si="22"/>
        <v/>
      </c>
      <c r="G457" s="1" t="str">
        <f t="shared" ref="G457:G508" si="24">IF(F457="","",IF(F457&lt;F456,"ERROR: Value less than Previous Cell, Invalid for solver","&lt;station loc="""&amp;F457&amp;""" X=""0"" Y=""0"" Z=""0"" rX=""0"" rY=""0"" rZ=""0"" /&gt;"))</f>
        <v/>
      </c>
    </row>
    <row r="458" spans="2:7" x14ac:dyDescent="0.2">
      <c r="B458" s="58"/>
      <c r="C458" s="1" t="str">
        <f t="shared" si="23"/>
        <v/>
      </c>
      <c r="F458" s="58" t="str">
        <f t="shared" si="22"/>
        <v/>
      </c>
      <c r="G458" s="1" t="str">
        <f t="shared" si="24"/>
        <v/>
      </c>
    </row>
    <row r="459" spans="2:7" x14ac:dyDescent="0.2">
      <c r="B459" s="58"/>
      <c r="C459" s="1" t="str">
        <f t="shared" si="23"/>
        <v/>
      </c>
      <c r="F459" s="62" t="str">
        <f t="shared" si="22"/>
        <v/>
      </c>
      <c r="G459" s="1" t="str">
        <f t="shared" si="24"/>
        <v/>
      </c>
    </row>
    <row r="460" spans="2:7" x14ac:dyDescent="0.2">
      <c r="B460" s="58"/>
      <c r="C460" s="1" t="str">
        <f t="shared" si="23"/>
        <v/>
      </c>
      <c r="F460" s="58" t="str">
        <f t="shared" si="22"/>
        <v/>
      </c>
      <c r="G460" s="1" t="str">
        <f t="shared" si="24"/>
        <v/>
      </c>
    </row>
    <row r="461" spans="2:7" x14ac:dyDescent="0.2">
      <c r="B461" s="58"/>
      <c r="C461" s="1" t="str">
        <f t="shared" si="23"/>
        <v/>
      </c>
      <c r="F461" s="62" t="str">
        <f t="shared" si="22"/>
        <v/>
      </c>
      <c r="G461" s="1" t="str">
        <f t="shared" si="24"/>
        <v/>
      </c>
    </row>
    <row r="462" spans="2:7" x14ac:dyDescent="0.2">
      <c r="B462" s="58"/>
      <c r="C462" s="1" t="str">
        <f t="shared" si="23"/>
        <v/>
      </c>
      <c r="F462" s="58" t="str">
        <f t="shared" si="22"/>
        <v/>
      </c>
      <c r="G462" s="1" t="str">
        <f t="shared" si="24"/>
        <v/>
      </c>
    </row>
    <row r="463" spans="2:7" x14ac:dyDescent="0.2">
      <c r="B463" s="58"/>
      <c r="C463" s="1" t="str">
        <f t="shared" si="23"/>
        <v/>
      </c>
      <c r="F463" s="62" t="str">
        <f t="shared" si="22"/>
        <v/>
      </c>
      <c r="G463" s="1" t="str">
        <f t="shared" si="24"/>
        <v/>
      </c>
    </row>
    <row r="464" spans="2:7" x14ac:dyDescent="0.2">
      <c r="B464" s="58"/>
      <c r="C464" s="1" t="str">
        <f t="shared" si="23"/>
        <v/>
      </c>
      <c r="F464" s="58" t="str">
        <f t="shared" si="22"/>
        <v/>
      </c>
      <c r="G464" s="1" t="str">
        <f t="shared" si="24"/>
        <v/>
      </c>
    </row>
    <row r="465" spans="2:7" x14ac:dyDescent="0.2">
      <c r="B465" s="58"/>
      <c r="C465" s="1" t="str">
        <f t="shared" si="23"/>
        <v/>
      </c>
      <c r="F465" s="62" t="str">
        <f t="shared" si="22"/>
        <v/>
      </c>
      <c r="G465" s="1" t="str">
        <f t="shared" si="24"/>
        <v/>
      </c>
    </row>
    <row r="466" spans="2:7" x14ac:dyDescent="0.2">
      <c r="B466" s="58"/>
      <c r="C466" s="1" t="str">
        <f t="shared" si="23"/>
        <v/>
      </c>
      <c r="F466" s="58" t="str">
        <f t="shared" si="22"/>
        <v/>
      </c>
      <c r="G466" s="1" t="str">
        <f t="shared" si="24"/>
        <v/>
      </c>
    </row>
    <row r="467" spans="2:7" x14ac:dyDescent="0.2">
      <c r="B467" s="58"/>
      <c r="C467" s="1" t="str">
        <f t="shared" si="23"/>
        <v/>
      </c>
      <c r="F467" s="62" t="str">
        <f t="shared" si="22"/>
        <v/>
      </c>
      <c r="G467" s="1" t="str">
        <f t="shared" si="24"/>
        <v/>
      </c>
    </row>
    <row r="468" spans="2:7" x14ac:dyDescent="0.2">
      <c r="B468" s="58"/>
      <c r="C468" s="1" t="str">
        <f t="shared" si="23"/>
        <v/>
      </c>
      <c r="F468" s="58" t="str">
        <f t="shared" si="22"/>
        <v/>
      </c>
      <c r="G468" s="1" t="str">
        <f t="shared" si="24"/>
        <v/>
      </c>
    </row>
    <row r="469" spans="2:7" x14ac:dyDescent="0.2">
      <c r="B469" s="58"/>
      <c r="C469" s="1" t="str">
        <f t="shared" si="23"/>
        <v/>
      </c>
      <c r="F469" s="62" t="str">
        <f t="shared" si="22"/>
        <v/>
      </c>
      <c r="G469" s="1" t="str">
        <f t="shared" si="24"/>
        <v/>
      </c>
    </row>
    <row r="470" spans="2:7" x14ac:dyDescent="0.2">
      <c r="B470" s="58"/>
      <c r="C470" s="1" t="str">
        <f t="shared" si="23"/>
        <v/>
      </c>
      <c r="F470" s="58" t="str">
        <f t="shared" si="22"/>
        <v/>
      </c>
      <c r="G470" s="1" t="str">
        <f t="shared" si="24"/>
        <v/>
      </c>
    </row>
    <row r="471" spans="2:7" x14ac:dyDescent="0.2">
      <c r="B471" s="58"/>
      <c r="C471" s="1" t="str">
        <f t="shared" si="23"/>
        <v/>
      </c>
      <c r="F471" s="62" t="str">
        <f t="shared" si="22"/>
        <v/>
      </c>
      <c r="G471" s="1" t="str">
        <f t="shared" si="24"/>
        <v/>
      </c>
    </row>
    <row r="472" spans="2:7" x14ac:dyDescent="0.2">
      <c r="B472" s="58"/>
      <c r="C472" s="1" t="str">
        <f t="shared" si="23"/>
        <v/>
      </c>
      <c r="F472" s="58" t="str">
        <f t="shared" si="22"/>
        <v/>
      </c>
      <c r="G472" s="1" t="str">
        <f t="shared" si="24"/>
        <v/>
      </c>
    </row>
    <row r="473" spans="2:7" x14ac:dyDescent="0.2">
      <c r="B473" s="58"/>
      <c r="C473" s="1" t="str">
        <f t="shared" si="23"/>
        <v/>
      </c>
      <c r="F473" s="62" t="str">
        <f t="shared" ref="F473:F508" si="25">IF(OR(F472=$F$5,F472=""),"",IF(F472+$F$6&gt;$F$5,$F$5,F472+$F$6))</f>
        <v/>
      </c>
      <c r="G473" s="1" t="str">
        <f t="shared" si="24"/>
        <v/>
      </c>
    </row>
    <row r="474" spans="2:7" x14ac:dyDescent="0.2">
      <c r="B474" s="58"/>
      <c r="C474" s="1" t="str">
        <f t="shared" si="23"/>
        <v/>
      </c>
      <c r="F474" s="58" t="str">
        <f t="shared" si="25"/>
        <v/>
      </c>
      <c r="G474" s="1" t="str">
        <f t="shared" si="24"/>
        <v/>
      </c>
    </row>
    <row r="475" spans="2:7" x14ac:dyDescent="0.2">
      <c r="B475" s="58"/>
      <c r="C475" s="1" t="str">
        <f t="shared" si="23"/>
        <v/>
      </c>
      <c r="F475" s="62" t="str">
        <f t="shared" si="25"/>
        <v/>
      </c>
      <c r="G475" s="1" t="str">
        <f t="shared" si="24"/>
        <v/>
      </c>
    </row>
    <row r="476" spans="2:7" x14ac:dyDescent="0.2">
      <c r="B476" s="58"/>
      <c r="C476" s="1" t="str">
        <f t="shared" si="23"/>
        <v/>
      </c>
      <c r="F476" s="58" t="str">
        <f t="shared" si="25"/>
        <v/>
      </c>
      <c r="G476" s="1" t="str">
        <f t="shared" si="24"/>
        <v/>
      </c>
    </row>
    <row r="477" spans="2:7" x14ac:dyDescent="0.2">
      <c r="B477" s="58"/>
      <c r="C477" s="1" t="str">
        <f t="shared" si="23"/>
        <v/>
      </c>
      <c r="F477" s="62" t="str">
        <f t="shared" si="25"/>
        <v/>
      </c>
      <c r="G477" s="1" t="str">
        <f t="shared" si="24"/>
        <v/>
      </c>
    </row>
    <row r="478" spans="2:7" x14ac:dyDescent="0.2">
      <c r="B478" s="58"/>
      <c r="C478" s="1" t="str">
        <f t="shared" si="23"/>
        <v/>
      </c>
      <c r="F478" s="58" t="str">
        <f t="shared" si="25"/>
        <v/>
      </c>
      <c r="G478" s="1" t="str">
        <f t="shared" si="24"/>
        <v/>
      </c>
    </row>
    <row r="479" spans="2:7" x14ac:dyDescent="0.2">
      <c r="B479" s="58"/>
      <c r="C479" s="1" t="str">
        <f t="shared" si="23"/>
        <v/>
      </c>
      <c r="F479" s="62" t="str">
        <f t="shared" si="25"/>
        <v/>
      </c>
      <c r="G479" s="1" t="str">
        <f t="shared" si="24"/>
        <v/>
      </c>
    </row>
    <row r="480" spans="2:7" x14ac:dyDescent="0.2">
      <c r="B480" s="58"/>
      <c r="C480" s="1" t="str">
        <f t="shared" si="23"/>
        <v/>
      </c>
      <c r="F480" s="58" t="str">
        <f t="shared" si="25"/>
        <v/>
      </c>
      <c r="G480" s="1" t="str">
        <f t="shared" si="24"/>
        <v/>
      </c>
    </row>
    <row r="481" spans="2:7" x14ac:dyDescent="0.2">
      <c r="B481" s="58"/>
      <c r="C481" s="1" t="str">
        <f t="shared" si="23"/>
        <v/>
      </c>
      <c r="F481" s="62" t="str">
        <f t="shared" si="25"/>
        <v/>
      </c>
      <c r="G481" s="1" t="str">
        <f t="shared" si="24"/>
        <v/>
      </c>
    </row>
    <row r="482" spans="2:7" x14ac:dyDescent="0.2">
      <c r="B482" s="58"/>
      <c r="C482" s="1" t="str">
        <f t="shared" si="23"/>
        <v/>
      </c>
      <c r="F482" s="58" t="str">
        <f t="shared" si="25"/>
        <v/>
      </c>
      <c r="G482" s="1" t="str">
        <f t="shared" si="24"/>
        <v/>
      </c>
    </row>
    <row r="483" spans="2:7" x14ac:dyDescent="0.2">
      <c r="B483" s="58"/>
      <c r="C483" s="1" t="str">
        <f t="shared" si="23"/>
        <v/>
      </c>
      <c r="F483" s="62" t="str">
        <f t="shared" si="25"/>
        <v/>
      </c>
      <c r="G483" s="1" t="str">
        <f t="shared" si="24"/>
        <v/>
      </c>
    </row>
    <row r="484" spans="2:7" x14ac:dyDescent="0.2">
      <c r="B484" s="58"/>
      <c r="C484" s="1" t="str">
        <f t="shared" si="23"/>
        <v/>
      </c>
      <c r="F484" s="58" t="str">
        <f t="shared" si="25"/>
        <v/>
      </c>
      <c r="G484" s="1" t="str">
        <f t="shared" si="24"/>
        <v/>
      </c>
    </row>
    <row r="485" spans="2:7" x14ac:dyDescent="0.2">
      <c r="B485" s="58"/>
      <c r="C485" s="1" t="str">
        <f t="shared" si="23"/>
        <v/>
      </c>
      <c r="F485" s="62" t="str">
        <f t="shared" si="25"/>
        <v/>
      </c>
      <c r="G485" s="1" t="str">
        <f t="shared" si="24"/>
        <v/>
      </c>
    </row>
    <row r="486" spans="2:7" x14ac:dyDescent="0.2">
      <c r="B486" s="58"/>
      <c r="C486" s="1" t="str">
        <f t="shared" si="23"/>
        <v/>
      </c>
      <c r="F486" s="58" t="str">
        <f t="shared" si="25"/>
        <v/>
      </c>
      <c r="G486" s="1" t="str">
        <f t="shared" si="24"/>
        <v/>
      </c>
    </row>
    <row r="487" spans="2:7" x14ac:dyDescent="0.2">
      <c r="B487" s="58"/>
      <c r="C487" s="1" t="str">
        <f t="shared" si="23"/>
        <v/>
      </c>
      <c r="F487" s="62" t="str">
        <f t="shared" si="25"/>
        <v/>
      </c>
      <c r="G487" s="1" t="str">
        <f t="shared" si="24"/>
        <v/>
      </c>
    </row>
    <row r="488" spans="2:7" x14ac:dyDescent="0.2">
      <c r="B488" s="58"/>
      <c r="C488" s="1" t="str">
        <f t="shared" si="23"/>
        <v/>
      </c>
      <c r="F488" s="58" t="str">
        <f t="shared" si="25"/>
        <v/>
      </c>
      <c r="G488" s="1" t="str">
        <f t="shared" si="24"/>
        <v/>
      </c>
    </row>
    <row r="489" spans="2:7" x14ac:dyDescent="0.2">
      <c r="B489" s="58"/>
      <c r="C489" s="1" t="str">
        <f t="shared" si="23"/>
        <v/>
      </c>
      <c r="F489" s="62" t="str">
        <f t="shared" si="25"/>
        <v/>
      </c>
      <c r="G489" s="1" t="str">
        <f t="shared" si="24"/>
        <v/>
      </c>
    </row>
    <row r="490" spans="2:7" x14ac:dyDescent="0.2">
      <c r="B490" s="58"/>
      <c r="C490" s="1" t="str">
        <f t="shared" si="23"/>
        <v/>
      </c>
      <c r="F490" s="58" t="str">
        <f t="shared" si="25"/>
        <v/>
      </c>
      <c r="G490" s="1" t="str">
        <f t="shared" si="24"/>
        <v/>
      </c>
    </row>
    <row r="491" spans="2:7" x14ac:dyDescent="0.2">
      <c r="B491" s="58"/>
      <c r="C491" s="1" t="str">
        <f t="shared" si="23"/>
        <v/>
      </c>
      <c r="F491" s="62" t="str">
        <f t="shared" si="25"/>
        <v/>
      </c>
      <c r="G491" s="1" t="str">
        <f t="shared" si="24"/>
        <v/>
      </c>
    </row>
    <row r="492" spans="2:7" x14ac:dyDescent="0.2">
      <c r="B492" s="58"/>
      <c r="C492" s="1" t="str">
        <f t="shared" si="23"/>
        <v/>
      </c>
      <c r="F492" s="58" t="str">
        <f t="shared" si="25"/>
        <v/>
      </c>
      <c r="G492" s="1" t="str">
        <f t="shared" si="24"/>
        <v/>
      </c>
    </row>
    <row r="493" spans="2:7" x14ac:dyDescent="0.2">
      <c r="B493" s="58"/>
      <c r="C493" s="1" t="str">
        <f t="shared" si="23"/>
        <v/>
      </c>
      <c r="F493" s="62" t="str">
        <f t="shared" si="25"/>
        <v/>
      </c>
      <c r="G493" s="1" t="str">
        <f t="shared" si="24"/>
        <v/>
      </c>
    </row>
    <row r="494" spans="2:7" x14ac:dyDescent="0.2">
      <c r="B494" s="58"/>
      <c r="C494" s="1" t="str">
        <f t="shared" si="23"/>
        <v/>
      </c>
      <c r="F494" s="58" t="str">
        <f t="shared" si="25"/>
        <v/>
      </c>
      <c r="G494" s="1" t="str">
        <f t="shared" si="24"/>
        <v/>
      </c>
    </row>
    <row r="495" spans="2:7" x14ac:dyDescent="0.2">
      <c r="B495" s="58"/>
      <c r="C495" s="1" t="str">
        <f t="shared" si="23"/>
        <v/>
      </c>
      <c r="F495" s="62" t="str">
        <f t="shared" si="25"/>
        <v/>
      </c>
      <c r="G495" s="1" t="str">
        <f t="shared" si="24"/>
        <v/>
      </c>
    </row>
    <row r="496" spans="2:7" x14ac:dyDescent="0.2">
      <c r="B496" s="58"/>
      <c r="C496" s="1" t="str">
        <f t="shared" si="23"/>
        <v/>
      </c>
      <c r="F496" s="58" t="str">
        <f t="shared" si="25"/>
        <v/>
      </c>
      <c r="G496" s="1" t="str">
        <f t="shared" si="24"/>
        <v/>
      </c>
    </row>
    <row r="497" spans="2:7" x14ac:dyDescent="0.2">
      <c r="B497" s="58"/>
      <c r="C497" s="1" t="str">
        <f t="shared" si="23"/>
        <v/>
      </c>
      <c r="F497" s="62" t="str">
        <f t="shared" si="25"/>
        <v/>
      </c>
      <c r="G497" s="1" t="str">
        <f t="shared" si="24"/>
        <v/>
      </c>
    </row>
    <row r="498" spans="2:7" x14ac:dyDescent="0.2">
      <c r="B498" s="58"/>
      <c r="C498" s="1" t="str">
        <f t="shared" si="23"/>
        <v/>
      </c>
      <c r="F498" s="58" t="str">
        <f t="shared" si="25"/>
        <v/>
      </c>
      <c r="G498" s="1" t="str">
        <f t="shared" si="24"/>
        <v/>
      </c>
    </row>
    <row r="499" spans="2:7" x14ac:dyDescent="0.2">
      <c r="B499" s="58"/>
      <c r="C499" s="1" t="str">
        <f t="shared" si="23"/>
        <v/>
      </c>
      <c r="F499" s="62" t="str">
        <f t="shared" si="25"/>
        <v/>
      </c>
      <c r="G499" s="1" t="str">
        <f t="shared" si="24"/>
        <v/>
      </c>
    </row>
    <row r="500" spans="2:7" x14ac:dyDescent="0.2">
      <c r="B500" s="58"/>
      <c r="C500" s="1" t="str">
        <f t="shared" si="23"/>
        <v/>
      </c>
      <c r="F500" s="58" t="str">
        <f t="shared" si="25"/>
        <v/>
      </c>
      <c r="G500" s="1" t="str">
        <f t="shared" si="24"/>
        <v/>
      </c>
    </row>
    <row r="501" spans="2:7" x14ac:dyDescent="0.2">
      <c r="B501" s="58"/>
      <c r="C501" s="1" t="str">
        <f t="shared" si="23"/>
        <v/>
      </c>
      <c r="F501" s="62" t="str">
        <f t="shared" si="25"/>
        <v/>
      </c>
      <c r="G501" s="1" t="str">
        <f t="shared" si="24"/>
        <v/>
      </c>
    </row>
    <row r="502" spans="2:7" x14ac:dyDescent="0.2">
      <c r="B502" s="58"/>
      <c r="C502" s="1" t="str">
        <f t="shared" si="23"/>
        <v/>
      </c>
      <c r="F502" s="58" t="str">
        <f t="shared" si="25"/>
        <v/>
      </c>
      <c r="G502" s="1" t="str">
        <f t="shared" si="24"/>
        <v/>
      </c>
    </row>
    <row r="503" spans="2:7" x14ac:dyDescent="0.2">
      <c r="B503" s="58"/>
      <c r="C503" s="1" t="str">
        <f t="shared" si="23"/>
        <v/>
      </c>
      <c r="F503" s="62" t="str">
        <f t="shared" si="25"/>
        <v/>
      </c>
      <c r="G503" s="1" t="str">
        <f t="shared" si="24"/>
        <v/>
      </c>
    </row>
    <row r="504" spans="2:7" x14ac:dyDescent="0.2">
      <c r="B504" s="58"/>
      <c r="C504" s="1" t="str">
        <f t="shared" si="23"/>
        <v/>
      </c>
      <c r="F504" s="58" t="str">
        <f t="shared" si="25"/>
        <v/>
      </c>
      <c r="G504" s="1" t="str">
        <f t="shared" si="24"/>
        <v/>
      </c>
    </row>
    <row r="505" spans="2:7" x14ac:dyDescent="0.2">
      <c r="B505" s="58"/>
      <c r="C505" s="1" t="str">
        <f t="shared" si="23"/>
        <v/>
      </c>
      <c r="F505" s="62" t="str">
        <f t="shared" si="25"/>
        <v/>
      </c>
      <c r="G505" s="1" t="str">
        <f t="shared" si="24"/>
        <v/>
      </c>
    </row>
    <row r="506" spans="2:7" x14ac:dyDescent="0.2">
      <c r="B506" s="58"/>
      <c r="C506" s="1" t="str">
        <f t="shared" si="23"/>
        <v/>
      </c>
      <c r="F506" s="58" t="str">
        <f t="shared" si="25"/>
        <v/>
      </c>
      <c r="G506" s="1" t="str">
        <f t="shared" si="24"/>
        <v/>
      </c>
    </row>
    <row r="507" spans="2:7" x14ac:dyDescent="0.2">
      <c r="B507" s="58"/>
      <c r="C507" s="1" t="str">
        <f t="shared" si="23"/>
        <v/>
      </c>
      <c r="F507" s="62" t="str">
        <f t="shared" si="25"/>
        <v/>
      </c>
      <c r="G507" s="1" t="str">
        <f t="shared" si="24"/>
        <v/>
      </c>
    </row>
    <row r="508" spans="2:7" x14ac:dyDescent="0.2">
      <c r="B508" s="62"/>
      <c r="C508" s="1" t="str">
        <f t="shared" si="23"/>
        <v/>
      </c>
      <c r="F508" s="62" t="str">
        <f t="shared" si="25"/>
        <v/>
      </c>
      <c r="G508" s="1" t="str">
        <f t="shared" si="24"/>
        <v/>
      </c>
    </row>
  </sheetData>
  <mergeCells count="2">
    <mergeCell ref="B2:C2"/>
    <mergeCell ref="E2:G2"/>
  </mergeCells>
  <dataValidations disablePrompts="1" count="1">
    <dataValidation type="list" allowBlank="1" showInputMessage="1" showErrorMessage="1" sqref="F3">
      <formula1>#REF!</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2" r:id="rId3" name="Drop Down 2">
              <controlPr defaultSize="0" autoLine="0" autoPict="0">
                <anchor moveWithCells="1">
                  <from>
                    <xdr:col>5</xdr:col>
                    <xdr:colOff>19050</xdr:colOff>
                    <xdr:row>2</xdr:row>
                    <xdr:rowOff>0</xdr:rowOff>
                  </from>
                  <to>
                    <xdr:col>6</xdr:col>
                    <xdr:colOff>0</xdr:colOff>
                    <xdr:row>3</xdr:row>
                    <xdr:rowOff>19050</xdr:rowOff>
                  </to>
                </anchor>
              </controlPr>
            </control>
          </mc:Choice>
        </mc:AlternateContent>
        <mc:AlternateContent xmlns:mc="http://schemas.openxmlformats.org/markup-compatibility/2006">
          <mc:Choice Requires="x14">
            <control shapeId="10244" r:id="rId4" name="Button 4">
              <controlPr defaultSize="0" print="0" autoFill="0" autoPict="0" macro="[0]!CopyCompTable">
                <anchor moveWithCells="1" sizeWithCells="1">
                  <from>
                    <xdr:col>6</xdr:col>
                    <xdr:colOff>3257550</xdr:colOff>
                    <xdr:row>2</xdr:row>
                    <xdr:rowOff>38100</xdr:rowOff>
                  </from>
                  <to>
                    <xdr:col>6</xdr:col>
                    <xdr:colOff>5067300</xdr:colOff>
                    <xdr:row>4</xdr:row>
                    <xdr:rowOff>19050</xdr:rowOff>
                  </to>
                </anchor>
              </controlPr>
            </control>
          </mc:Choice>
        </mc:AlternateContent>
        <mc:AlternateContent xmlns:mc="http://schemas.openxmlformats.org/markup-compatibility/2006">
          <mc:Choice Requires="x14">
            <control shapeId="10246" r:id="rId5" name="Button 6">
              <controlPr defaultSize="0" print="0" autoFill="0" autoPict="0" macro="[0]!CopyCompTableManual">
                <anchor moveWithCells="1" sizeWithCells="1">
                  <from>
                    <xdr:col>2</xdr:col>
                    <xdr:colOff>3257550</xdr:colOff>
                    <xdr:row>2</xdr:row>
                    <xdr:rowOff>38100</xdr:rowOff>
                  </from>
                  <to>
                    <xdr:col>2</xdr:col>
                    <xdr:colOff>5067300</xdr:colOff>
                    <xdr:row>4</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2" tint="-9.9978637043366805E-2"/>
  </sheetPr>
  <dimension ref="B2:P48"/>
  <sheetViews>
    <sheetView workbookViewId="0">
      <selection activeCell="R34" sqref="R34"/>
    </sheetView>
  </sheetViews>
  <sheetFormatPr defaultRowHeight="12.75" x14ac:dyDescent="0.2"/>
  <cols>
    <col min="1" max="1" width="2.42578125" customWidth="1"/>
    <col min="4" max="4" width="10" bestFit="1" customWidth="1"/>
    <col min="5" max="5" width="10.5703125" bestFit="1" customWidth="1"/>
    <col min="6" max="6" width="9" bestFit="1" customWidth="1"/>
    <col min="7" max="7" width="12.140625" bestFit="1" customWidth="1"/>
    <col min="8" max="8" width="12.5703125" bestFit="1" customWidth="1"/>
    <col min="9" max="9" width="9.140625" customWidth="1"/>
    <col min="10" max="12" width="8.7109375" customWidth="1"/>
    <col min="13" max="13" width="10.140625" bestFit="1" customWidth="1"/>
    <col min="14" max="14" width="45.28515625" customWidth="1"/>
  </cols>
  <sheetData>
    <row r="2" spans="2:16" x14ac:dyDescent="0.2">
      <c r="B2" s="58"/>
      <c r="C2" s="168" t="s">
        <v>26</v>
      </c>
      <c r="D2" s="168"/>
      <c r="E2" s="168"/>
      <c r="F2" s="167" t="s">
        <v>118</v>
      </c>
      <c r="G2" s="168"/>
      <c r="H2" s="169"/>
      <c r="I2" s="7"/>
      <c r="J2" s="170" t="s">
        <v>54</v>
      </c>
      <c r="K2" s="171"/>
      <c r="L2" s="171"/>
      <c r="M2" s="171"/>
      <c r="N2" s="172"/>
    </row>
    <row r="3" spans="2:16" x14ac:dyDescent="0.2">
      <c r="B3" s="59"/>
      <c r="C3" s="60" t="s">
        <v>7</v>
      </c>
      <c r="D3" s="61" t="s">
        <v>8</v>
      </c>
      <c r="E3" s="126" t="s">
        <v>9</v>
      </c>
      <c r="F3" s="61" t="s">
        <v>14</v>
      </c>
      <c r="G3" s="61" t="s">
        <v>12</v>
      </c>
      <c r="H3" s="61" t="s">
        <v>13</v>
      </c>
      <c r="I3" s="7"/>
      <c r="J3" s="173"/>
      <c r="K3" s="174"/>
      <c r="L3" s="174"/>
      <c r="M3" s="174"/>
      <c r="N3" s="175"/>
    </row>
    <row r="4" spans="2:16" x14ac:dyDescent="0.2">
      <c r="B4" s="16" t="s">
        <v>1160</v>
      </c>
      <c r="C4" s="21">
        <v>8714.1710999999996</v>
      </c>
      <c r="D4" s="121">
        <v>1153.5388</v>
      </c>
      <c r="E4" s="22">
        <v>-1079.3605</v>
      </c>
      <c r="F4" s="6">
        <v>284.90530000000001</v>
      </c>
      <c r="G4" s="6">
        <v>-0.8679</v>
      </c>
      <c r="H4" s="6">
        <v>-662.30129999999997</v>
      </c>
      <c r="I4" s="3"/>
      <c r="J4" s="4">
        <v>10</v>
      </c>
      <c r="K4" s="4" t="str">
        <f>"TP"&amp;J4</f>
        <v>TP10</v>
      </c>
      <c r="L4" s="4" t="s">
        <v>14</v>
      </c>
      <c r="M4" s="3">
        <f>INDEX($B$3:$H$18,MATCH(K4,$B$3:$B$18, 0),MATCH(L4,$B$3:$H$3,0))</f>
        <v>-0.29609999999999997</v>
      </c>
      <c r="N4" s="8" t="str">
        <f>"&lt;"&amp;K4&amp;L4&amp;" value="&amp;CHAR(34)&amp;ROUND(M4,4)&amp;CHAR(34)&amp;" Hide="&amp;CHAR(34)&amp;"true"&amp;CHAR(34)&amp;" /&gt;"</f>
        <v>&lt;TP10X value="-0.2961" Hide="true" /&gt;</v>
      </c>
      <c r="O4" s="3"/>
    </row>
    <row r="5" spans="2:16" x14ac:dyDescent="0.2">
      <c r="B5" s="16" t="s">
        <v>1161</v>
      </c>
      <c r="C5" s="21">
        <v>8466.2312000000002</v>
      </c>
      <c r="D5" s="6">
        <v>1138.5428999999999</v>
      </c>
      <c r="E5" s="122">
        <v>-652.75660000000005</v>
      </c>
      <c r="F5" s="6">
        <v>-141.62270000000001</v>
      </c>
      <c r="G5" s="6">
        <v>247.67099999999999</v>
      </c>
      <c r="H5" s="6">
        <v>-661.98239999999998</v>
      </c>
      <c r="I5" s="3"/>
      <c r="J5" s="8">
        <f>J4</f>
        <v>10</v>
      </c>
      <c r="K5" s="4" t="str">
        <f t="shared" ref="K5:K33" si="0">"TP"&amp;J5</f>
        <v>TP10</v>
      </c>
      <c r="L5" s="4" t="s">
        <v>12</v>
      </c>
      <c r="M5" s="3">
        <f t="shared" ref="M5:M33" si="1">INDEX($B$3:$H$18,MATCH(K5,$B$3:$B$18, 0),MATCH(L5,$B$3:$H$3,0))</f>
        <v>0.46760000000000002</v>
      </c>
      <c r="N5" s="8" t="str">
        <f t="shared" ref="N5:N33" si="2">"&lt;"&amp;K5&amp;L5&amp;" value="&amp;CHAR(34)&amp;ROUND(M5,4)&amp;CHAR(34)&amp;" Hide="&amp;CHAR(34)&amp;"true"&amp;CHAR(34)&amp;" /&gt;"</f>
        <v>&lt;TP10Y value="0.4676" Hide="true" /&gt;</v>
      </c>
      <c r="P5" s="2"/>
    </row>
    <row r="6" spans="2:16" x14ac:dyDescent="0.2">
      <c r="B6" s="16" t="s">
        <v>1162</v>
      </c>
      <c r="C6" s="21">
        <v>8959.8276000000005</v>
      </c>
      <c r="D6" s="6">
        <v>1138.4612999999999</v>
      </c>
      <c r="E6" s="122">
        <v>-651.41189999999995</v>
      </c>
      <c r="F6" s="6">
        <v>-143.66820000000001</v>
      </c>
      <c r="G6" s="6">
        <v>-245.91759999999999</v>
      </c>
      <c r="H6" s="6">
        <v>-662.10879999999997</v>
      </c>
      <c r="I6" s="3"/>
      <c r="J6" s="8">
        <f>J4</f>
        <v>10</v>
      </c>
      <c r="K6" s="4" t="str">
        <f t="shared" si="0"/>
        <v>TP10</v>
      </c>
      <c r="L6" s="4" t="s">
        <v>13</v>
      </c>
      <c r="M6" s="3">
        <f t="shared" si="1"/>
        <v>-891.07770000000005</v>
      </c>
      <c r="N6" s="8" t="str">
        <f t="shared" si="2"/>
        <v>&lt;TP10Z value="-891.0777" Hide="true" /&gt;</v>
      </c>
      <c r="O6" s="3"/>
    </row>
    <row r="7" spans="2:16" x14ac:dyDescent="0.2">
      <c r="B7" s="16" t="s">
        <v>1163</v>
      </c>
      <c r="C7" s="21">
        <v>9118.8312999999998</v>
      </c>
      <c r="D7" s="6">
        <v>1701.4957999999999</v>
      </c>
      <c r="E7" s="22">
        <v>-930.42319999999995</v>
      </c>
      <c r="F7" s="6">
        <v>155.03909999999999</v>
      </c>
      <c r="G7" s="6">
        <v>-405.46699999999998</v>
      </c>
      <c r="H7" s="6">
        <v>-109.4477</v>
      </c>
      <c r="I7" s="3"/>
      <c r="J7" s="4">
        <v>2</v>
      </c>
      <c r="K7" s="4" t="str">
        <f t="shared" si="0"/>
        <v>TP2</v>
      </c>
      <c r="L7" s="4" t="s">
        <v>14</v>
      </c>
      <c r="M7" s="3">
        <f t="shared" si="1"/>
        <v>-245.26830000000001</v>
      </c>
      <c r="N7" s="8" t="str">
        <f t="shared" si="2"/>
        <v>&lt;TP2X value="-245.2683" Hide="true" /&gt;</v>
      </c>
      <c r="O7" s="3"/>
    </row>
    <row r="8" spans="2:16" x14ac:dyDescent="0.2">
      <c r="B8" s="16" t="s">
        <v>1164</v>
      </c>
      <c r="C8" s="21">
        <v>9119.1730000000007</v>
      </c>
      <c r="D8" s="6">
        <v>1690.4313999999999</v>
      </c>
      <c r="E8" s="122">
        <v>-620.54499999999996</v>
      </c>
      <c r="F8" s="6">
        <v>-155.03800000000001</v>
      </c>
      <c r="G8" s="6">
        <v>-405.37400000000002</v>
      </c>
      <c r="H8" s="6">
        <v>-109.43819999999999</v>
      </c>
      <c r="I8" s="3"/>
      <c r="J8" s="8">
        <f>J7</f>
        <v>2</v>
      </c>
      <c r="K8" s="4" t="str">
        <f t="shared" si="0"/>
        <v>TP2</v>
      </c>
      <c r="L8" s="4" t="s">
        <v>12</v>
      </c>
      <c r="M8" s="3">
        <f t="shared" si="1"/>
        <v>-422.2285</v>
      </c>
      <c r="N8" s="8" t="str">
        <f t="shared" si="2"/>
        <v>&lt;TP2Y value="-422.2285" Hide="true" /&gt;</v>
      </c>
      <c r="O8" s="3"/>
    </row>
    <row r="9" spans="2:16" x14ac:dyDescent="0.2">
      <c r="B9" s="16" t="s">
        <v>119</v>
      </c>
      <c r="C9" s="21">
        <v>8943.2438000000002</v>
      </c>
      <c r="D9" s="6">
        <v>1705.9231</v>
      </c>
      <c r="E9" s="22">
        <v>-1055.5669</v>
      </c>
      <c r="F9" s="6">
        <v>280.52879999999999</v>
      </c>
      <c r="G9" s="6">
        <v>-230.05009999999999</v>
      </c>
      <c r="H9" s="6">
        <v>-109.46510000000001</v>
      </c>
      <c r="I9" s="3"/>
      <c r="J9" s="8">
        <f>J7</f>
        <v>2</v>
      </c>
      <c r="K9" s="4" t="str">
        <f t="shared" si="0"/>
        <v>TP2</v>
      </c>
      <c r="L9" s="4" t="s">
        <v>13</v>
      </c>
      <c r="M9" s="3">
        <f t="shared" si="1"/>
        <v>-914.25310000000002</v>
      </c>
      <c r="N9" s="8" t="str">
        <f t="shared" si="2"/>
        <v>&lt;TP2Z value="-914.2531" Hide="true" /&gt;</v>
      </c>
      <c r="O9" s="3"/>
    </row>
    <row r="10" spans="2:16" x14ac:dyDescent="0.2">
      <c r="B10" s="16" t="s">
        <v>120</v>
      </c>
      <c r="C10" s="21">
        <v>8943.5992000000006</v>
      </c>
      <c r="D10" s="6">
        <v>1624.6958999999999</v>
      </c>
      <c r="E10" s="22">
        <v>-933.20870000000002</v>
      </c>
      <c r="F10" s="6">
        <v>155.32570000000001</v>
      </c>
      <c r="G10" s="6">
        <v>-230.21449999999999</v>
      </c>
      <c r="H10" s="6">
        <v>-186.2637</v>
      </c>
      <c r="J10" s="5">
        <v>3</v>
      </c>
      <c r="K10" s="4" t="str">
        <f t="shared" si="0"/>
        <v>TP3</v>
      </c>
      <c r="L10" s="4" t="s">
        <v>14</v>
      </c>
      <c r="M10" s="3">
        <f t="shared" si="1"/>
        <v>-238.30969999999999</v>
      </c>
      <c r="N10" s="8" t="str">
        <f t="shared" si="2"/>
        <v>&lt;TP3X value="-238.3097" Hide="true" /&gt;</v>
      </c>
      <c r="O10" s="3"/>
    </row>
    <row r="11" spans="2:16" x14ac:dyDescent="0.2">
      <c r="B11" s="16" t="s">
        <v>121</v>
      </c>
      <c r="C11" s="21">
        <v>8483.1831000000002</v>
      </c>
      <c r="D11" s="6">
        <v>1705.8856000000001</v>
      </c>
      <c r="E11" s="122">
        <v>-1055.0735</v>
      </c>
      <c r="F11" s="6">
        <v>280.67410000000001</v>
      </c>
      <c r="G11" s="6">
        <v>230.02289999999999</v>
      </c>
      <c r="H11" s="6">
        <v>-109.38249999999999</v>
      </c>
      <c r="I11" s="3"/>
      <c r="J11" s="8">
        <f>J10</f>
        <v>3</v>
      </c>
      <c r="K11" s="4" t="str">
        <f t="shared" si="0"/>
        <v>TP3</v>
      </c>
      <c r="L11" s="4" t="s">
        <v>12</v>
      </c>
      <c r="M11" s="3">
        <f t="shared" si="1"/>
        <v>427.17090000000002</v>
      </c>
      <c r="N11" s="8" t="str">
        <f t="shared" si="2"/>
        <v>&lt;TP3Y value="427.1709" Hide="true" /&gt;</v>
      </c>
      <c r="O11" s="3"/>
    </row>
    <row r="12" spans="2:16" x14ac:dyDescent="0.2">
      <c r="B12" s="16" t="s">
        <v>122</v>
      </c>
      <c r="C12" s="21">
        <v>8483.4048000000003</v>
      </c>
      <c r="D12" s="6">
        <v>1625.2408</v>
      </c>
      <c r="E12" s="22">
        <v>-932.46109999999999</v>
      </c>
      <c r="F12" s="6">
        <v>155.2458</v>
      </c>
      <c r="G12" s="6">
        <v>229.9949</v>
      </c>
      <c r="H12" s="6">
        <v>-185.59649999999999</v>
      </c>
      <c r="J12" s="8">
        <f>J10</f>
        <v>3</v>
      </c>
      <c r="K12" s="4" t="str">
        <f t="shared" si="0"/>
        <v>TP3</v>
      </c>
      <c r="L12" s="4" t="s">
        <v>13</v>
      </c>
      <c r="M12" s="3">
        <f t="shared" si="1"/>
        <v>-913.95910000000003</v>
      </c>
      <c r="N12" s="8" t="str">
        <f t="shared" si="2"/>
        <v>&lt;TP3Z value="-913.9591" Hide="true" /&gt;</v>
      </c>
    </row>
    <row r="13" spans="2:16" x14ac:dyDescent="0.2">
      <c r="B13" s="16" t="s">
        <v>123</v>
      </c>
      <c r="C13" s="21">
        <v>8307.866</v>
      </c>
      <c r="D13" s="6">
        <v>1701.4706000000001</v>
      </c>
      <c r="E13" s="22">
        <v>-929.57740000000001</v>
      </c>
      <c r="F13" s="6">
        <v>155.33699999999999</v>
      </c>
      <c r="G13" s="6">
        <v>405.51420000000002</v>
      </c>
      <c r="H13" s="6">
        <v>-109.2804</v>
      </c>
      <c r="J13" s="5">
        <v>4</v>
      </c>
      <c r="K13" s="4" t="str">
        <f t="shared" si="0"/>
        <v>TP4</v>
      </c>
      <c r="L13" s="4" t="s">
        <v>14</v>
      </c>
      <c r="M13" s="3">
        <f t="shared" si="1"/>
        <v>488.56549999999999</v>
      </c>
      <c r="N13" s="8" t="str">
        <f t="shared" si="2"/>
        <v>&lt;TP4X value="488.5655" Hide="true" /&gt;</v>
      </c>
    </row>
    <row r="14" spans="2:16" x14ac:dyDescent="0.2">
      <c r="B14" s="16" t="s">
        <v>1158</v>
      </c>
      <c r="C14" s="21">
        <v>8308.2283000000007</v>
      </c>
      <c r="D14" s="6">
        <v>1690.4273000000001</v>
      </c>
      <c r="E14" s="22">
        <v>-619.75660000000005</v>
      </c>
      <c r="F14" s="6">
        <v>-154.6902</v>
      </c>
      <c r="G14" s="6">
        <v>405.59010000000001</v>
      </c>
      <c r="H14" s="6">
        <v>-109.23690000000001</v>
      </c>
      <c r="J14" s="8">
        <f>J13</f>
        <v>4</v>
      </c>
      <c r="K14" s="4" t="str">
        <f t="shared" si="0"/>
        <v>TP4</v>
      </c>
      <c r="L14" s="4" t="s">
        <v>12</v>
      </c>
      <c r="M14" s="3">
        <f t="shared" si="1"/>
        <v>-7.0766999999999998</v>
      </c>
      <c r="N14" s="8" t="str">
        <f t="shared" si="2"/>
        <v>&lt;TP4Y value="-7.0767" Hide="true" /&gt;</v>
      </c>
      <c r="P14" s="8"/>
    </row>
    <row r="15" spans="2:16" x14ac:dyDescent="0.2">
      <c r="B15" s="16" t="s">
        <v>16</v>
      </c>
      <c r="C15" s="21">
        <v>8713.2916999999998</v>
      </c>
      <c r="D15" s="6">
        <v>914.70920000000001</v>
      </c>
      <c r="E15" s="22">
        <v>-802.53250000000003</v>
      </c>
      <c r="F15" s="6">
        <v>-0.29609999999999997</v>
      </c>
      <c r="G15" s="6">
        <v>0.46760000000000002</v>
      </c>
      <c r="H15" s="6">
        <v>-891.07770000000005</v>
      </c>
      <c r="J15" s="8">
        <f>J13</f>
        <v>4</v>
      </c>
      <c r="K15" s="4" t="str">
        <f t="shared" si="0"/>
        <v>TP4</v>
      </c>
      <c r="L15" s="4" t="s">
        <v>13</v>
      </c>
      <c r="M15" s="3">
        <f t="shared" si="1"/>
        <v>-914.36289999999997</v>
      </c>
      <c r="N15" s="8" t="str">
        <f t="shared" si="2"/>
        <v>&lt;TP4Z value="-914.3629" Hide="true" /&gt;</v>
      </c>
      <c r="P15" s="8"/>
    </row>
    <row r="16" spans="2:16" x14ac:dyDescent="0.2">
      <c r="B16" s="16" t="s">
        <v>19</v>
      </c>
      <c r="C16" s="21">
        <v>9136.3323999999993</v>
      </c>
      <c r="D16" s="6">
        <v>882.91589999999997</v>
      </c>
      <c r="E16" s="22">
        <v>-559.12530000000004</v>
      </c>
      <c r="F16" s="6">
        <v>-245.26830000000001</v>
      </c>
      <c r="G16" s="6">
        <v>-422.2285</v>
      </c>
      <c r="H16" s="6">
        <v>-914.25310000000002</v>
      </c>
      <c r="J16" s="5">
        <f>J13+1</f>
        <v>5</v>
      </c>
      <c r="K16" s="4" t="str">
        <f t="shared" si="0"/>
        <v>TP5</v>
      </c>
      <c r="L16" s="4" t="s">
        <v>14</v>
      </c>
      <c r="M16" s="3" t="e">
        <f t="shared" si="1"/>
        <v>#N/A</v>
      </c>
      <c r="N16" s="8" t="e">
        <f t="shared" si="2"/>
        <v>#N/A</v>
      </c>
      <c r="P16" s="8"/>
    </row>
    <row r="17" spans="2:16" x14ac:dyDescent="0.2">
      <c r="B17" s="119" t="s">
        <v>21</v>
      </c>
      <c r="C17" s="127">
        <v>8286.9240000000009</v>
      </c>
      <c r="D17" s="116">
        <v>883.23779999999999</v>
      </c>
      <c r="E17" s="123">
        <v>-564.88350000000003</v>
      </c>
      <c r="F17" s="116">
        <v>-238.30969999999999</v>
      </c>
      <c r="G17" s="116">
        <v>427.17090000000002</v>
      </c>
      <c r="H17" s="116">
        <v>-913.95910000000003</v>
      </c>
      <c r="J17" s="8">
        <f>J16</f>
        <v>5</v>
      </c>
      <c r="K17" s="4" t="str">
        <f t="shared" si="0"/>
        <v>TP5</v>
      </c>
      <c r="L17" s="4" t="s">
        <v>12</v>
      </c>
      <c r="M17" s="3" t="e">
        <f t="shared" si="1"/>
        <v>#N/A</v>
      </c>
      <c r="N17" s="8" t="e">
        <f t="shared" si="2"/>
        <v>#N/A</v>
      </c>
      <c r="P17" s="8"/>
    </row>
    <row r="18" spans="2:16" x14ac:dyDescent="0.2">
      <c r="B18" s="120" t="s">
        <v>20</v>
      </c>
      <c r="C18" s="128">
        <v>8720.1630000000005</v>
      </c>
      <c r="D18" s="124">
        <v>908.90189999999996</v>
      </c>
      <c r="E18" s="125">
        <v>-1291.9238</v>
      </c>
      <c r="F18" s="118">
        <v>488.56549999999999</v>
      </c>
      <c r="G18" s="118">
        <v>-7.0766999999999998</v>
      </c>
      <c r="H18" s="118">
        <v>-914.36289999999997</v>
      </c>
      <c r="J18" s="8">
        <f>J16</f>
        <v>5</v>
      </c>
      <c r="K18" s="4" t="str">
        <f t="shared" si="0"/>
        <v>TP5</v>
      </c>
      <c r="L18" s="4" t="s">
        <v>13</v>
      </c>
      <c r="M18" s="3" t="e">
        <f t="shared" si="1"/>
        <v>#N/A</v>
      </c>
      <c r="N18" s="8" t="e">
        <f t="shared" si="2"/>
        <v>#N/A</v>
      </c>
      <c r="P18" s="8"/>
    </row>
    <row r="19" spans="2:16" x14ac:dyDescent="0.2">
      <c r="F19" s="117"/>
      <c r="G19" s="117"/>
      <c r="H19" s="117"/>
      <c r="J19" s="5">
        <f>J16+1</f>
        <v>6</v>
      </c>
      <c r="K19" s="4" t="str">
        <f t="shared" si="0"/>
        <v>TP6</v>
      </c>
      <c r="L19" s="4" t="s">
        <v>14</v>
      </c>
      <c r="M19" s="3" t="e">
        <f t="shared" si="1"/>
        <v>#N/A</v>
      </c>
      <c r="N19" s="8" t="e">
        <f t="shared" si="2"/>
        <v>#N/A</v>
      </c>
      <c r="P19" s="8"/>
    </row>
    <row r="20" spans="2:16" x14ac:dyDescent="0.2">
      <c r="F20" s="117"/>
      <c r="G20" s="129"/>
      <c r="H20" s="117"/>
      <c r="J20" s="8">
        <f>J19</f>
        <v>6</v>
      </c>
      <c r="K20" s="4" t="str">
        <f t="shared" si="0"/>
        <v>TP6</v>
      </c>
      <c r="L20" s="4" t="s">
        <v>12</v>
      </c>
      <c r="M20" s="3" t="e">
        <f t="shared" si="1"/>
        <v>#N/A</v>
      </c>
      <c r="N20" s="8" t="e">
        <f t="shared" si="2"/>
        <v>#N/A</v>
      </c>
      <c r="P20" s="8"/>
    </row>
    <row r="21" spans="2:16" x14ac:dyDescent="0.2">
      <c r="J21" s="8">
        <f>J19</f>
        <v>6</v>
      </c>
      <c r="K21" s="4" t="str">
        <f t="shared" si="0"/>
        <v>TP6</v>
      </c>
      <c r="L21" s="4" t="s">
        <v>13</v>
      </c>
      <c r="M21" s="3" t="e">
        <f t="shared" si="1"/>
        <v>#N/A</v>
      </c>
      <c r="N21" s="8" t="e">
        <f t="shared" si="2"/>
        <v>#N/A</v>
      </c>
      <c r="P21" s="8"/>
    </row>
    <row r="22" spans="2:16" x14ac:dyDescent="0.2">
      <c r="J22" s="5">
        <f>J19+1</f>
        <v>7</v>
      </c>
      <c r="K22" s="4" t="str">
        <f t="shared" si="0"/>
        <v>TP7</v>
      </c>
      <c r="L22" s="4" t="s">
        <v>14</v>
      </c>
      <c r="M22" s="3" t="e">
        <f t="shared" si="1"/>
        <v>#N/A</v>
      </c>
      <c r="N22" s="8" t="e">
        <f t="shared" si="2"/>
        <v>#N/A</v>
      </c>
      <c r="P22" s="8"/>
    </row>
    <row r="23" spans="2:16" x14ac:dyDescent="0.2">
      <c r="J23" s="8">
        <f>J22</f>
        <v>7</v>
      </c>
      <c r="K23" s="4" t="str">
        <f t="shared" si="0"/>
        <v>TP7</v>
      </c>
      <c r="L23" s="4" t="s">
        <v>12</v>
      </c>
      <c r="M23" s="3" t="e">
        <f t="shared" si="1"/>
        <v>#N/A</v>
      </c>
      <c r="N23" s="8" t="e">
        <f t="shared" si="2"/>
        <v>#N/A</v>
      </c>
      <c r="P23" s="8"/>
    </row>
    <row r="24" spans="2:16" x14ac:dyDescent="0.2">
      <c r="J24" s="8">
        <f>J22</f>
        <v>7</v>
      </c>
      <c r="K24" s="4" t="str">
        <f t="shared" si="0"/>
        <v>TP7</v>
      </c>
      <c r="L24" s="4" t="s">
        <v>13</v>
      </c>
      <c r="M24" s="3" t="e">
        <f t="shared" si="1"/>
        <v>#N/A</v>
      </c>
      <c r="N24" s="8" t="e">
        <f t="shared" si="2"/>
        <v>#N/A</v>
      </c>
      <c r="P24" s="8"/>
    </row>
    <row r="25" spans="2:16" x14ac:dyDescent="0.2">
      <c r="J25" s="5">
        <f>J22+1</f>
        <v>8</v>
      </c>
      <c r="K25" s="4" t="str">
        <f t="shared" si="0"/>
        <v>TP8</v>
      </c>
      <c r="L25" s="4" t="s">
        <v>14</v>
      </c>
      <c r="M25" s="3" t="e">
        <f t="shared" si="1"/>
        <v>#N/A</v>
      </c>
      <c r="N25" s="8" t="e">
        <f t="shared" si="2"/>
        <v>#N/A</v>
      </c>
      <c r="P25" s="8"/>
    </row>
    <row r="26" spans="2:16" x14ac:dyDescent="0.2">
      <c r="J26" s="8">
        <f>J25</f>
        <v>8</v>
      </c>
      <c r="K26" s="4" t="str">
        <f t="shared" si="0"/>
        <v>TP8</v>
      </c>
      <c r="L26" s="4" t="s">
        <v>12</v>
      </c>
      <c r="M26" s="3" t="e">
        <f t="shared" si="1"/>
        <v>#N/A</v>
      </c>
      <c r="N26" s="8" t="e">
        <f t="shared" si="2"/>
        <v>#N/A</v>
      </c>
    </row>
    <row r="27" spans="2:16" x14ac:dyDescent="0.2">
      <c r="J27" s="8">
        <f>J25</f>
        <v>8</v>
      </c>
      <c r="K27" s="4" t="str">
        <f t="shared" si="0"/>
        <v>TP8</v>
      </c>
      <c r="L27" s="4" t="s">
        <v>13</v>
      </c>
      <c r="M27" s="3" t="e">
        <f t="shared" si="1"/>
        <v>#N/A</v>
      </c>
      <c r="N27" s="8" t="e">
        <f t="shared" si="2"/>
        <v>#N/A</v>
      </c>
    </row>
    <row r="28" spans="2:16" x14ac:dyDescent="0.2">
      <c r="J28" s="5">
        <f>J25+1</f>
        <v>9</v>
      </c>
      <c r="K28" s="4" t="str">
        <f t="shared" si="0"/>
        <v>TP9</v>
      </c>
      <c r="L28" s="4" t="s">
        <v>14</v>
      </c>
      <c r="M28" s="3" t="e">
        <f t="shared" si="1"/>
        <v>#N/A</v>
      </c>
      <c r="N28" s="8" t="e">
        <f t="shared" si="2"/>
        <v>#N/A</v>
      </c>
    </row>
    <row r="29" spans="2:16" x14ac:dyDescent="0.2">
      <c r="J29" s="8">
        <f>J28</f>
        <v>9</v>
      </c>
      <c r="K29" s="4" t="str">
        <f t="shared" si="0"/>
        <v>TP9</v>
      </c>
      <c r="L29" s="4" t="s">
        <v>12</v>
      </c>
      <c r="M29" s="3" t="e">
        <f t="shared" si="1"/>
        <v>#N/A</v>
      </c>
      <c r="N29" s="8" t="e">
        <f t="shared" si="2"/>
        <v>#N/A</v>
      </c>
    </row>
    <row r="30" spans="2:16" x14ac:dyDescent="0.2">
      <c r="J30" s="8">
        <f>J28</f>
        <v>9</v>
      </c>
      <c r="K30" s="4" t="str">
        <f t="shared" si="0"/>
        <v>TP9</v>
      </c>
      <c r="L30" s="4" t="s">
        <v>13</v>
      </c>
      <c r="M30" s="3" t="e">
        <f t="shared" si="1"/>
        <v>#N/A</v>
      </c>
      <c r="N30" s="8" t="e">
        <f t="shared" si="2"/>
        <v>#N/A</v>
      </c>
    </row>
    <row r="31" spans="2:16" x14ac:dyDescent="0.2">
      <c r="J31" s="5">
        <f>J28+1</f>
        <v>10</v>
      </c>
      <c r="K31" s="4" t="str">
        <f t="shared" si="0"/>
        <v>TP10</v>
      </c>
      <c r="L31" s="4" t="s">
        <v>14</v>
      </c>
      <c r="M31" s="3">
        <f t="shared" si="1"/>
        <v>-0.29609999999999997</v>
      </c>
      <c r="N31" s="8" t="str">
        <f t="shared" si="2"/>
        <v>&lt;TP10X value="-0.2961" Hide="true" /&gt;</v>
      </c>
    </row>
    <row r="32" spans="2:16" x14ac:dyDescent="0.2">
      <c r="B32" s="116"/>
      <c r="I32" s="116"/>
      <c r="J32" s="8">
        <f>J31</f>
        <v>10</v>
      </c>
      <c r="K32" s="4" t="str">
        <f t="shared" si="0"/>
        <v>TP10</v>
      </c>
      <c r="L32" s="4" t="s">
        <v>12</v>
      </c>
      <c r="M32" s="3">
        <f t="shared" si="1"/>
        <v>0.46760000000000002</v>
      </c>
      <c r="N32" s="8" t="str">
        <f t="shared" si="2"/>
        <v>&lt;TP10Y value="0.4676" Hide="true" /&gt;</v>
      </c>
    </row>
    <row r="33" spans="2:14" x14ac:dyDescent="0.2">
      <c r="B33" s="76"/>
      <c r="I33" s="116"/>
      <c r="J33" s="8">
        <f>J31</f>
        <v>10</v>
      </c>
      <c r="K33" s="4" t="str">
        <f t="shared" si="0"/>
        <v>TP10</v>
      </c>
      <c r="L33" s="4" t="s">
        <v>13</v>
      </c>
      <c r="M33" s="3">
        <f t="shared" si="1"/>
        <v>-891.07770000000005</v>
      </c>
      <c r="N33" s="8" t="str">
        <f t="shared" si="2"/>
        <v>&lt;TP10Z value="-891.0777" Hide="true" /&gt;</v>
      </c>
    </row>
    <row r="34" spans="2:14" x14ac:dyDescent="0.2">
      <c r="B34" s="116"/>
      <c r="I34" s="116"/>
    </row>
    <row r="35" spans="2:14" x14ac:dyDescent="0.2">
      <c r="B35" s="116"/>
      <c r="C35" s="116"/>
      <c r="D35" s="116"/>
      <c r="E35" s="116"/>
      <c r="F35" s="130"/>
      <c r="G35" s="130"/>
      <c r="H35" s="130"/>
      <c r="I35" s="116"/>
      <c r="J35" s="1"/>
    </row>
    <row r="36" spans="2:14" x14ac:dyDescent="0.2">
      <c r="B36" s="116"/>
      <c r="C36" s="116"/>
      <c r="D36" s="116"/>
      <c r="E36" s="116"/>
      <c r="F36" s="130"/>
      <c r="G36" s="130"/>
      <c r="H36" s="130"/>
      <c r="I36" s="116"/>
      <c r="J36" s="1"/>
    </row>
    <row r="37" spans="2:14" x14ac:dyDescent="0.2">
      <c r="B37" s="116"/>
      <c r="C37" s="116"/>
      <c r="D37" s="116"/>
      <c r="E37" s="116"/>
      <c r="F37" s="130"/>
      <c r="G37" s="130"/>
      <c r="H37" s="130"/>
      <c r="I37" s="116"/>
    </row>
    <row r="38" spans="2:14" x14ac:dyDescent="0.2">
      <c r="B38" s="116"/>
      <c r="C38" s="116"/>
      <c r="D38" s="116"/>
      <c r="E38" s="116"/>
      <c r="F38" s="130"/>
      <c r="G38" s="130"/>
      <c r="H38" s="130"/>
      <c r="I38" s="116"/>
      <c r="J38" s="1"/>
    </row>
    <row r="39" spans="2:14" x14ac:dyDescent="0.2">
      <c r="B39" s="116"/>
      <c r="C39" s="116"/>
      <c r="D39" s="116"/>
      <c r="E39" s="116"/>
      <c r="F39" s="130"/>
      <c r="G39" s="130"/>
      <c r="H39" s="130"/>
      <c r="I39" s="116"/>
      <c r="J39" s="1"/>
    </row>
    <row r="40" spans="2:14" x14ac:dyDescent="0.2">
      <c r="B40" s="116"/>
      <c r="C40" s="116"/>
      <c r="D40" s="116"/>
      <c r="E40" s="116"/>
      <c r="F40" s="130"/>
      <c r="G40" s="130"/>
      <c r="H40" s="130"/>
      <c r="I40" s="116"/>
    </row>
    <row r="41" spans="2:14" x14ac:dyDescent="0.2">
      <c r="B41" s="116"/>
      <c r="C41" s="116"/>
      <c r="D41" s="116"/>
      <c r="E41" s="116"/>
      <c r="F41" s="130"/>
      <c r="G41" s="130"/>
      <c r="H41" s="130"/>
      <c r="I41" s="116"/>
      <c r="J41" s="1"/>
    </row>
    <row r="42" spans="2:14" x14ac:dyDescent="0.2">
      <c r="B42" s="116"/>
      <c r="C42" s="116"/>
      <c r="D42" s="116"/>
      <c r="E42" s="116"/>
      <c r="F42" s="116"/>
      <c r="G42" s="116"/>
      <c r="H42" s="116"/>
      <c r="I42" s="116"/>
      <c r="J42" s="1"/>
    </row>
    <row r="43" spans="2:14" x14ac:dyDescent="0.2">
      <c r="B43" s="116"/>
      <c r="C43" s="116"/>
      <c r="D43" s="116"/>
      <c r="E43" s="116"/>
      <c r="F43" s="116"/>
      <c r="G43" s="116"/>
      <c r="H43" s="116"/>
      <c r="I43" s="116"/>
    </row>
    <row r="44" spans="2:14" x14ac:dyDescent="0.2">
      <c r="B44" s="116"/>
      <c r="C44" s="116"/>
      <c r="D44" s="116"/>
      <c r="E44" s="116"/>
      <c r="F44" s="116"/>
      <c r="G44" s="116"/>
      <c r="H44" s="116"/>
      <c r="I44" s="116"/>
      <c r="J44" s="1"/>
    </row>
    <row r="45" spans="2:14" x14ac:dyDescent="0.2">
      <c r="I45" s="117"/>
      <c r="J45" s="1"/>
    </row>
    <row r="46" spans="2:14" x14ac:dyDescent="0.2">
      <c r="I46" s="117"/>
      <c r="J46" s="80"/>
    </row>
    <row r="47" spans="2:14" x14ac:dyDescent="0.2">
      <c r="I47" s="117"/>
    </row>
    <row r="48" spans="2:14" x14ac:dyDescent="0.2">
      <c r="I48" s="117"/>
    </row>
  </sheetData>
  <mergeCells count="3">
    <mergeCell ref="F2:H2"/>
    <mergeCell ref="C2:E2"/>
    <mergeCell ref="J2:N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FF00"/>
  </sheetPr>
  <dimension ref="A25:R196"/>
  <sheetViews>
    <sheetView topLeftCell="A22" workbookViewId="0">
      <selection activeCell="G30" sqref="G30"/>
    </sheetView>
  </sheetViews>
  <sheetFormatPr defaultRowHeight="12.75" x14ac:dyDescent="0.2"/>
  <cols>
    <col min="1" max="1" width="7" bestFit="1" customWidth="1"/>
    <col min="2" max="2" width="6" bestFit="1" customWidth="1"/>
    <col min="3" max="5" width="7.5703125" customWidth="1"/>
    <col min="6" max="8" width="13.140625" bestFit="1" customWidth="1"/>
  </cols>
  <sheetData>
    <row r="25" spans="1:18" x14ac:dyDescent="0.2">
      <c r="E25" s="74" t="s">
        <v>103</v>
      </c>
      <c r="F25" s="28" t="s">
        <v>1159</v>
      </c>
      <c r="G25" s="72"/>
      <c r="H25" s="72"/>
      <c r="I25" s="72"/>
      <c r="J25" s="72"/>
      <c r="K25" s="72"/>
      <c r="L25" s="73"/>
    </row>
    <row r="26" spans="1:18" x14ac:dyDescent="0.2">
      <c r="E26" s="71"/>
      <c r="F26" s="28" t="s">
        <v>106</v>
      </c>
      <c r="G26" s="72"/>
      <c r="H26" s="72"/>
      <c r="I26" s="72"/>
      <c r="J26" s="72"/>
      <c r="K26" s="75"/>
      <c r="L26" s="73"/>
    </row>
    <row r="29" spans="1:18" x14ac:dyDescent="0.2">
      <c r="E29" s="28" t="s">
        <v>17</v>
      </c>
      <c r="F29" s="73"/>
      <c r="G29" s="29">
        <v>0</v>
      </c>
    </row>
    <row r="30" spans="1:18" x14ac:dyDescent="0.2">
      <c r="E30" s="28" t="s">
        <v>50</v>
      </c>
      <c r="F30" s="73"/>
      <c r="G30" s="30" t="s">
        <v>51</v>
      </c>
    </row>
    <row r="31" spans="1:18" x14ac:dyDescent="0.2">
      <c r="M31" s="9"/>
      <c r="N31" s="9"/>
      <c r="O31" s="9"/>
      <c r="P31" s="9"/>
      <c r="Q31" s="9"/>
      <c r="R31" s="9"/>
    </row>
    <row r="32" spans="1:18" x14ac:dyDescent="0.2">
      <c r="A32" t="s">
        <v>28</v>
      </c>
      <c r="B32" t="s">
        <v>29</v>
      </c>
      <c r="C32" t="s">
        <v>14</v>
      </c>
      <c r="D32" t="s">
        <v>12</v>
      </c>
      <c r="E32" t="s">
        <v>13</v>
      </c>
      <c r="F32" t="s">
        <v>30</v>
      </c>
      <c r="G32" t="s">
        <v>31</v>
      </c>
      <c r="H32" t="s">
        <v>32</v>
      </c>
    </row>
    <row r="33" spans="1:8" hidden="1" x14ac:dyDescent="0.2">
      <c r="A33" s="11" t="s">
        <v>0</v>
      </c>
      <c r="B33">
        <v>50</v>
      </c>
      <c r="C33">
        <v>2.5999999999999999E-3</v>
      </c>
      <c r="D33">
        <v>-1.1599999999999999E-2</v>
      </c>
      <c r="E33">
        <v>7.1000000000000004E-3</v>
      </c>
      <c r="F33">
        <v>0</v>
      </c>
      <c r="G33">
        <v>0</v>
      </c>
      <c r="H33">
        <v>-7.5267740000000002E-4</v>
      </c>
    </row>
    <row r="34" spans="1:8" hidden="1" x14ac:dyDescent="0.2">
      <c r="A34" s="11" t="s">
        <v>0</v>
      </c>
      <c r="B34">
        <v>550</v>
      </c>
      <c r="C34">
        <v>2.6499999999999999E-2</v>
      </c>
      <c r="D34">
        <v>-0.1128</v>
      </c>
      <c r="E34">
        <v>5.8700000000000002E-2</v>
      </c>
      <c r="F34">
        <v>0</v>
      </c>
      <c r="G34">
        <v>0</v>
      </c>
      <c r="H34">
        <v>-7.2675335000000002E-3</v>
      </c>
    </row>
    <row r="35" spans="1:8" hidden="1" x14ac:dyDescent="0.2">
      <c r="A35" s="11" t="s">
        <v>0</v>
      </c>
      <c r="B35">
        <v>1050</v>
      </c>
      <c r="C35">
        <v>7.3899999999999993E-2</v>
      </c>
      <c r="D35">
        <v>-0.1091</v>
      </c>
      <c r="E35">
        <v>5.6500000000000002E-2</v>
      </c>
      <c r="F35">
        <v>0</v>
      </c>
      <c r="G35">
        <v>0</v>
      </c>
      <c r="H35">
        <v>-5.0351188999999998E-3</v>
      </c>
    </row>
    <row r="36" spans="1:8" hidden="1" x14ac:dyDescent="0.2">
      <c r="A36" s="11" t="s">
        <v>0</v>
      </c>
      <c r="B36">
        <v>1550</v>
      </c>
      <c r="C36">
        <v>7.1999999999999995E-2</v>
      </c>
      <c r="D36">
        <v>5.1799999999999999E-2</v>
      </c>
      <c r="E36">
        <v>1.04E-2</v>
      </c>
      <c r="F36">
        <v>0</v>
      </c>
      <c r="G36">
        <v>0</v>
      </c>
      <c r="H36">
        <v>-4.4676878E-3</v>
      </c>
    </row>
    <row r="37" spans="1:8" hidden="1" x14ac:dyDescent="0.2">
      <c r="A37" s="11" t="s">
        <v>0</v>
      </c>
      <c r="B37">
        <v>2050</v>
      </c>
      <c r="C37">
        <v>0.13289999999999999</v>
      </c>
      <c r="D37">
        <v>-1.6799999999999999E-2</v>
      </c>
      <c r="E37">
        <v>1.9E-2</v>
      </c>
      <c r="F37">
        <v>0</v>
      </c>
      <c r="G37">
        <v>0</v>
      </c>
      <c r="H37">
        <v>-4.8631346000000001E-3</v>
      </c>
    </row>
    <row r="38" spans="1:8" hidden="1" x14ac:dyDescent="0.2">
      <c r="A38" s="11" t="s">
        <v>0</v>
      </c>
      <c r="B38">
        <v>2550</v>
      </c>
      <c r="C38">
        <v>-2.9000000000000001E-2</v>
      </c>
      <c r="D38">
        <v>0.1108</v>
      </c>
      <c r="E38">
        <v>-2.1600000000000001E-2</v>
      </c>
      <c r="F38">
        <v>0</v>
      </c>
      <c r="G38">
        <v>0</v>
      </c>
      <c r="H38">
        <v>-5.6133054999999996E-3</v>
      </c>
    </row>
    <row r="39" spans="1:8" hidden="1" x14ac:dyDescent="0.2">
      <c r="A39" s="11" t="s">
        <v>0</v>
      </c>
      <c r="B39">
        <v>3050</v>
      </c>
      <c r="C39">
        <v>1.4999999999999999E-2</v>
      </c>
      <c r="D39">
        <v>7.8E-2</v>
      </c>
      <c r="E39">
        <v>6.2899999999999998E-2</v>
      </c>
      <c r="F39">
        <v>0</v>
      </c>
      <c r="G39">
        <v>0</v>
      </c>
      <c r="H39">
        <v>-3.7769269000000002E-3</v>
      </c>
    </row>
    <row r="40" spans="1:8" hidden="1" x14ac:dyDescent="0.2">
      <c r="A40" s="11" t="s">
        <v>0</v>
      </c>
      <c r="B40">
        <v>3550</v>
      </c>
      <c r="C40">
        <v>7.3800000000000004E-2</v>
      </c>
      <c r="D40">
        <v>0.18459999999999999</v>
      </c>
      <c r="E40">
        <v>-3.6200000000000003E-2</v>
      </c>
      <c r="F40">
        <v>0</v>
      </c>
      <c r="G40">
        <v>0</v>
      </c>
      <c r="H40">
        <v>-3.2056684999999998E-3</v>
      </c>
    </row>
    <row r="41" spans="1:8" hidden="1" x14ac:dyDescent="0.2">
      <c r="A41" s="11" t="s">
        <v>0</v>
      </c>
      <c r="B41">
        <v>4050</v>
      </c>
      <c r="C41">
        <v>8.6800000000000002E-2</v>
      </c>
      <c r="D41">
        <v>0.1192</v>
      </c>
      <c r="E41">
        <v>1.2E-2</v>
      </c>
      <c r="F41">
        <v>0</v>
      </c>
      <c r="G41">
        <v>0</v>
      </c>
      <c r="H41">
        <v>-2.9729165000000001E-3</v>
      </c>
    </row>
    <row r="42" spans="1:8" hidden="1" x14ac:dyDescent="0.2">
      <c r="A42" s="11" t="s">
        <v>0</v>
      </c>
      <c r="B42">
        <v>4550</v>
      </c>
      <c r="C42">
        <v>-1.1000000000000001E-3</v>
      </c>
      <c r="D42">
        <v>-1.3100000000000001E-2</v>
      </c>
      <c r="E42">
        <v>-1.9800000000000002E-2</v>
      </c>
      <c r="F42">
        <v>0</v>
      </c>
      <c r="G42">
        <v>0</v>
      </c>
      <c r="H42">
        <v>-1.2270451E-3</v>
      </c>
    </row>
    <row r="43" spans="1:8" hidden="1" x14ac:dyDescent="0.2">
      <c r="A43" s="11" t="s">
        <v>0</v>
      </c>
      <c r="B43">
        <v>5050</v>
      </c>
      <c r="C43">
        <v>3.1699999999999999E-2</v>
      </c>
      <c r="D43">
        <v>-3.2399999999999998E-2</v>
      </c>
      <c r="E43">
        <v>-3.7000000000000002E-3</v>
      </c>
      <c r="F43">
        <v>0</v>
      </c>
      <c r="G43">
        <v>0</v>
      </c>
      <c r="H43">
        <v>-1.1779245000000001E-3</v>
      </c>
    </row>
    <row r="44" spans="1:8" hidden="1" x14ac:dyDescent="0.2">
      <c r="A44" s="11" t="s">
        <v>0</v>
      </c>
      <c r="B44">
        <v>5550</v>
      </c>
      <c r="C44">
        <v>8.0699999999999994E-2</v>
      </c>
      <c r="D44">
        <v>-1.83E-2</v>
      </c>
      <c r="E44">
        <v>5.8999999999999999E-3</v>
      </c>
      <c r="F44">
        <v>0</v>
      </c>
      <c r="G44">
        <v>0</v>
      </c>
      <c r="H44">
        <v>-1.0515431000000001E-3</v>
      </c>
    </row>
    <row r="45" spans="1:8" hidden="1" x14ac:dyDescent="0.2">
      <c r="A45" s="11" t="s">
        <v>0</v>
      </c>
      <c r="B45">
        <v>6050</v>
      </c>
      <c r="C45">
        <v>7.9600000000000004E-2</v>
      </c>
      <c r="D45">
        <v>5.4000000000000003E-3</v>
      </c>
      <c r="E45">
        <v>-1.24E-2</v>
      </c>
      <c r="F45">
        <v>0</v>
      </c>
      <c r="G45">
        <v>0</v>
      </c>
      <c r="H45">
        <v>-8.3957089999999997E-4</v>
      </c>
    </row>
    <row r="46" spans="1:8" hidden="1" x14ac:dyDescent="0.2">
      <c r="A46" s="11" t="s">
        <v>0</v>
      </c>
      <c r="B46">
        <v>6550</v>
      </c>
      <c r="C46">
        <v>6.1899999999999997E-2</v>
      </c>
      <c r="D46">
        <v>2.6499999999999999E-2</v>
      </c>
      <c r="E46">
        <v>-2.1700000000000001E-2</v>
      </c>
      <c r="F46">
        <v>0</v>
      </c>
      <c r="G46">
        <v>0</v>
      </c>
      <c r="H46">
        <v>-7.8067149999999999E-4</v>
      </c>
    </row>
    <row r="47" spans="1:8" hidden="1" x14ac:dyDescent="0.2">
      <c r="A47" s="11" t="s">
        <v>0</v>
      </c>
      <c r="B47">
        <v>7050</v>
      </c>
      <c r="C47">
        <v>9.7900000000000001E-2</v>
      </c>
      <c r="D47">
        <v>3.1099999999999999E-2</v>
      </c>
      <c r="E47">
        <v>-2.0000000000000001E-4</v>
      </c>
      <c r="F47">
        <v>0</v>
      </c>
      <c r="G47">
        <v>0</v>
      </c>
      <c r="H47">
        <v>-4.7484019999999999E-4</v>
      </c>
    </row>
    <row r="48" spans="1:8" hidden="1" x14ac:dyDescent="0.2">
      <c r="A48" s="11" t="s">
        <v>0</v>
      </c>
      <c r="B48">
        <v>7550</v>
      </c>
      <c r="C48">
        <v>9.6600000000000005E-2</v>
      </c>
      <c r="D48">
        <v>4.36E-2</v>
      </c>
      <c r="E48">
        <v>1.0200000000000001E-2</v>
      </c>
      <c r="F48">
        <v>0</v>
      </c>
      <c r="G48">
        <v>0</v>
      </c>
      <c r="H48">
        <v>-2.8082060000000003E-4</v>
      </c>
    </row>
    <row r="49" spans="1:8" hidden="1" x14ac:dyDescent="0.2">
      <c r="A49" s="11" t="s">
        <v>0</v>
      </c>
      <c r="B49">
        <v>8050</v>
      </c>
      <c r="C49">
        <v>0.1176</v>
      </c>
      <c r="D49">
        <v>3.7999999999999999E-2</v>
      </c>
      <c r="E49">
        <v>1.89E-2</v>
      </c>
      <c r="F49">
        <v>0</v>
      </c>
      <c r="G49">
        <v>0</v>
      </c>
      <c r="H49">
        <v>-2.4421520000000001E-4</v>
      </c>
    </row>
    <row r="50" spans="1:8" hidden="1" x14ac:dyDescent="0.2">
      <c r="A50" s="11" t="s">
        <v>0</v>
      </c>
      <c r="B50">
        <v>8550</v>
      </c>
      <c r="C50">
        <v>-1.15E-2</v>
      </c>
      <c r="D50">
        <v>3.39E-2</v>
      </c>
      <c r="E50">
        <v>1.7100000000000001E-2</v>
      </c>
      <c r="F50">
        <v>0</v>
      </c>
      <c r="G50">
        <v>0</v>
      </c>
      <c r="H50">
        <v>-5.8070299999999999E-5</v>
      </c>
    </row>
    <row r="51" spans="1:8" hidden="1" x14ac:dyDescent="0.2">
      <c r="A51" s="11" t="s">
        <v>0</v>
      </c>
      <c r="B51">
        <v>9050</v>
      </c>
      <c r="C51">
        <v>1.1299999999999999E-2</v>
      </c>
      <c r="D51">
        <v>3.0800000000000001E-2</v>
      </c>
      <c r="E51">
        <v>2.4E-2</v>
      </c>
      <c r="F51">
        <v>0</v>
      </c>
      <c r="G51">
        <v>0</v>
      </c>
      <c r="H51">
        <v>-3.7366000000000001E-5</v>
      </c>
    </row>
    <row r="52" spans="1:8" hidden="1" x14ac:dyDescent="0.2">
      <c r="A52" s="11" t="s">
        <v>0</v>
      </c>
      <c r="B52">
        <v>9550</v>
      </c>
      <c r="C52">
        <v>1.7600000000000001E-2</v>
      </c>
      <c r="D52">
        <v>3.5799999999999998E-2</v>
      </c>
      <c r="E52">
        <v>2.75E-2</v>
      </c>
      <c r="F52">
        <v>0</v>
      </c>
      <c r="G52">
        <v>0</v>
      </c>
      <c r="H52">
        <v>7.1690600000000001E-5</v>
      </c>
    </row>
    <row r="53" spans="1:8" hidden="1" x14ac:dyDescent="0.2">
      <c r="A53" s="11" t="s">
        <v>0</v>
      </c>
      <c r="B53">
        <v>10050</v>
      </c>
      <c r="C53">
        <v>-2.3999999999999998E-3</v>
      </c>
      <c r="D53">
        <v>3.3399999999999999E-2</v>
      </c>
      <c r="E53">
        <v>4.0599999999999997E-2</v>
      </c>
      <c r="F53">
        <v>0</v>
      </c>
      <c r="G53">
        <v>0</v>
      </c>
      <c r="H53">
        <v>8.4990900000000006E-5</v>
      </c>
    </row>
    <row r="54" spans="1:8" hidden="1" x14ac:dyDescent="0.2">
      <c r="A54" s="11" t="s">
        <v>0</v>
      </c>
      <c r="B54">
        <v>10550</v>
      </c>
      <c r="C54">
        <v>-4.5600000000000002E-2</v>
      </c>
      <c r="D54">
        <v>4.19E-2</v>
      </c>
      <c r="E54">
        <v>2.7199999999999998E-2</v>
      </c>
      <c r="F54">
        <v>0</v>
      </c>
      <c r="G54">
        <v>0</v>
      </c>
      <c r="H54">
        <v>1.6839010000000001E-4</v>
      </c>
    </row>
    <row r="55" spans="1:8" hidden="1" x14ac:dyDescent="0.2">
      <c r="A55" s="11" t="s">
        <v>0</v>
      </c>
      <c r="B55">
        <v>11050</v>
      </c>
      <c r="C55">
        <v>-3.7499999999999999E-2</v>
      </c>
      <c r="D55">
        <v>3.5499999999999997E-2</v>
      </c>
      <c r="E55">
        <v>5.8799999999999998E-2</v>
      </c>
      <c r="F55">
        <v>0</v>
      </c>
      <c r="G55">
        <v>0</v>
      </c>
      <c r="H55">
        <v>1.2403960000000001E-4</v>
      </c>
    </row>
    <row r="56" spans="1:8" hidden="1" x14ac:dyDescent="0.2">
      <c r="A56" s="11" t="s">
        <v>0</v>
      </c>
      <c r="B56">
        <v>11550</v>
      </c>
      <c r="C56">
        <v>-1.7500000000000002E-2</v>
      </c>
      <c r="D56">
        <v>3.2899999999999999E-2</v>
      </c>
      <c r="E56">
        <v>5.74E-2</v>
      </c>
      <c r="F56">
        <v>0</v>
      </c>
      <c r="G56">
        <v>0</v>
      </c>
      <c r="H56">
        <v>1.167304E-4</v>
      </c>
    </row>
    <row r="57" spans="1:8" hidden="1" x14ac:dyDescent="0.2">
      <c r="A57" s="11" t="s">
        <v>0</v>
      </c>
      <c r="B57">
        <v>12050</v>
      </c>
      <c r="C57">
        <v>-8.8999999999999999E-3</v>
      </c>
      <c r="D57">
        <v>3.0300000000000001E-2</v>
      </c>
      <c r="E57">
        <v>5.5899999999999998E-2</v>
      </c>
      <c r="F57">
        <v>0</v>
      </c>
      <c r="G57">
        <v>0</v>
      </c>
      <c r="H57">
        <v>1.4979969999999999E-4</v>
      </c>
    </row>
    <row r="58" spans="1:8" hidden="1" x14ac:dyDescent="0.2">
      <c r="A58" s="11" t="s">
        <v>0</v>
      </c>
      <c r="B58">
        <v>12550</v>
      </c>
      <c r="C58">
        <v>-4.36E-2</v>
      </c>
      <c r="D58">
        <v>2.3300000000000001E-2</v>
      </c>
      <c r="E58">
        <v>0.04</v>
      </c>
      <c r="F58">
        <v>0</v>
      </c>
      <c r="G58">
        <v>0</v>
      </c>
      <c r="H58">
        <v>1.146995E-4</v>
      </c>
    </row>
    <row r="59" spans="1:8" hidden="1" x14ac:dyDescent="0.2">
      <c r="A59" s="11" t="s">
        <v>0</v>
      </c>
      <c r="B59">
        <v>13050</v>
      </c>
      <c r="C59">
        <v>-2.87E-2</v>
      </c>
      <c r="D59">
        <v>1.8599999999999998E-2</v>
      </c>
      <c r="E59">
        <v>3.3300000000000003E-2</v>
      </c>
      <c r="F59">
        <v>0</v>
      </c>
      <c r="G59">
        <v>0</v>
      </c>
      <c r="H59">
        <v>4.6764899999999997E-5</v>
      </c>
    </row>
    <row r="60" spans="1:8" hidden="1" x14ac:dyDescent="0.2">
      <c r="A60" s="11" t="s">
        <v>0</v>
      </c>
      <c r="B60">
        <v>13550</v>
      </c>
      <c r="C60">
        <v>-4.7E-2</v>
      </c>
      <c r="D60">
        <v>1.8800000000000001E-2</v>
      </c>
      <c r="E60">
        <v>5.4199999999999998E-2</v>
      </c>
      <c r="F60">
        <v>0</v>
      </c>
      <c r="G60">
        <v>0</v>
      </c>
      <c r="H60">
        <v>1.013731E-4</v>
      </c>
    </row>
    <row r="61" spans="1:8" hidden="1" x14ac:dyDescent="0.2">
      <c r="A61" s="11" t="s">
        <v>0</v>
      </c>
      <c r="B61">
        <v>14050</v>
      </c>
      <c r="C61">
        <v>-1.3299999999999999E-2</v>
      </c>
      <c r="D61">
        <v>1.34E-2</v>
      </c>
      <c r="E61">
        <v>5.6300000000000003E-2</v>
      </c>
      <c r="F61">
        <v>0</v>
      </c>
      <c r="G61">
        <v>0</v>
      </c>
      <c r="H61">
        <v>-2.23987E-5</v>
      </c>
    </row>
    <row r="62" spans="1:8" hidden="1" x14ac:dyDescent="0.2">
      <c r="A62" s="11" t="s">
        <v>0</v>
      </c>
      <c r="B62">
        <v>14550</v>
      </c>
      <c r="C62">
        <v>-5.0599999999999999E-2</v>
      </c>
      <c r="D62">
        <v>1.6799999999999999E-2</v>
      </c>
      <c r="E62">
        <v>7.1199999999999999E-2</v>
      </c>
      <c r="F62">
        <v>0</v>
      </c>
      <c r="G62">
        <v>0</v>
      </c>
      <c r="H62">
        <v>8.6123899999999997E-5</v>
      </c>
    </row>
    <row r="63" spans="1:8" hidden="1" x14ac:dyDescent="0.2">
      <c r="A63" s="11" t="s">
        <v>0</v>
      </c>
      <c r="B63">
        <v>15050</v>
      </c>
      <c r="C63">
        <v>-5.1400000000000001E-2</v>
      </c>
      <c r="D63">
        <v>1.2999999999999999E-2</v>
      </c>
      <c r="E63">
        <v>6.7699999999999996E-2</v>
      </c>
      <c r="F63">
        <v>0</v>
      </c>
      <c r="G63">
        <v>0</v>
      </c>
      <c r="H63">
        <v>1.5611999999999999E-5</v>
      </c>
    </row>
    <row r="64" spans="1:8" hidden="1" x14ac:dyDescent="0.2">
      <c r="A64" s="11" t="s">
        <v>0</v>
      </c>
      <c r="B64">
        <v>15550</v>
      </c>
      <c r="C64">
        <v>-5.6800000000000003E-2</v>
      </c>
      <c r="D64">
        <v>9.5999999999999992E-3</v>
      </c>
      <c r="E64">
        <v>6.7100000000000007E-2</v>
      </c>
      <c r="F64">
        <v>0</v>
      </c>
      <c r="G64">
        <v>0</v>
      </c>
      <c r="H64">
        <v>-6.6026700000000003E-5</v>
      </c>
    </row>
    <row r="65" spans="1:8" hidden="1" x14ac:dyDescent="0.2">
      <c r="A65" s="11" t="s">
        <v>0</v>
      </c>
      <c r="B65">
        <v>16050</v>
      </c>
      <c r="C65">
        <v>-5.8299999999999998E-2</v>
      </c>
      <c r="D65">
        <v>1.0999999999999999E-2</v>
      </c>
      <c r="E65">
        <v>5.0500000000000003E-2</v>
      </c>
      <c r="F65">
        <v>0</v>
      </c>
      <c r="G65">
        <v>0</v>
      </c>
      <c r="H65">
        <v>1.1755200000000001E-5</v>
      </c>
    </row>
    <row r="66" spans="1:8" hidden="1" x14ac:dyDescent="0.2">
      <c r="A66" s="11" t="s">
        <v>0</v>
      </c>
      <c r="B66">
        <v>16550</v>
      </c>
      <c r="C66">
        <v>-5.1400000000000001E-2</v>
      </c>
      <c r="D66">
        <v>6.7000000000000002E-3</v>
      </c>
      <c r="E66">
        <v>5.2200000000000003E-2</v>
      </c>
      <c r="F66">
        <v>0</v>
      </c>
      <c r="G66">
        <v>0</v>
      </c>
      <c r="H66">
        <v>-7.4659699999999999E-5</v>
      </c>
    </row>
    <row r="67" spans="1:8" hidden="1" x14ac:dyDescent="0.2">
      <c r="A67" s="11" t="s">
        <v>0</v>
      </c>
      <c r="B67">
        <v>17050</v>
      </c>
      <c r="C67">
        <v>-3.1E-2</v>
      </c>
      <c r="D67">
        <v>8.0000000000000002E-3</v>
      </c>
      <c r="E67">
        <v>9.2399999999999996E-2</v>
      </c>
      <c r="F67">
        <v>0</v>
      </c>
      <c r="G67">
        <v>0</v>
      </c>
      <c r="H67">
        <v>-1.4565299999999999E-5</v>
      </c>
    </row>
    <row r="68" spans="1:8" hidden="1" x14ac:dyDescent="0.2">
      <c r="A68" s="11" t="s">
        <v>0</v>
      </c>
      <c r="B68">
        <v>17550</v>
      </c>
      <c r="C68">
        <v>-3.04E-2</v>
      </c>
      <c r="D68">
        <v>6.0000000000000001E-3</v>
      </c>
      <c r="E68">
        <v>7.7499999999999999E-2</v>
      </c>
      <c r="F68">
        <v>0</v>
      </c>
      <c r="G68">
        <v>0</v>
      </c>
      <c r="H68">
        <v>-7.5173199999999994E-5</v>
      </c>
    </row>
    <row r="69" spans="1:8" hidden="1" x14ac:dyDescent="0.2">
      <c r="A69" s="11" t="s">
        <v>0</v>
      </c>
      <c r="B69">
        <v>18050</v>
      </c>
      <c r="C69">
        <v>-1.11E-2</v>
      </c>
      <c r="D69">
        <v>7.0000000000000001E-3</v>
      </c>
      <c r="E69">
        <v>7.6999999999999999E-2</v>
      </c>
      <c r="F69">
        <v>0</v>
      </c>
      <c r="G69">
        <v>0</v>
      </c>
      <c r="H69">
        <v>-1.7965000000000001E-6</v>
      </c>
    </row>
    <row r="70" spans="1:8" hidden="1" x14ac:dyDescent="0.2">
      <c r="A70" s="11" t="s">
        <v>0</v>
      </c>
      <c r="B70">
        <v>18550</v>
      </c>
      <c r="C70">
        <v>-4.7199999999999999E-2</v>
      </c>
      <c r="D70">
        <v>7.3000000000000001E-3</v>
      </c>
      <c r="E70">
        <v>8.14E-2</v>
      </c>
      <c r="F70">
        <v>0</v>
      </c>
      <c r="G70">
        <v>0</v>
      </c>
      <c r="H70">
        <v>2.8176099999999999E-5</v>
      </c>
    </row>
    <row r="71" spans="1:8" hidden="1" x14ac:dyDescent="0.2">
      <c r="A71" s="11" t="s">
        <v>0</v>
      </c>
      <c r="B71">
        <v>19050</v>
      </c>
      <c r="C71">
        <v>-2.35E-2</v>
      </c>
      <c r="D71">
        <v>8.0000000000000002E-3</v>
      </c>
      <c r="E71">
        <v>7.9699999999999993E-2</v>
      </c>
      <c r="F71">
        <v>0</v>
      </c>
      <c r="G71">
        <v>0</v>
      </c>
      <c r="H71">
        <v>4.9515499999999997E-5</v>
      </c>
    </row>
    <row r="72" spans="1:8" hidden="1" x14ac:dyDescent="0.2">
      <c r="A72" s="11" t="s">
        <v>0</v>
      </c>
      <c r="B72">
        <v>19550</v>
      </c>
      <c r="C72">
        <v>-3.3999999999999998E-3</v>
      </c>
      <c r="D72">
        <v>7.1999999999999998E-3</v>
      </c>
      <c r="E72">
        <v>9.8000000000000004E-2</v>
      </c>
      <c r="F72">
        <v>0</v>
      </c>
      <c r="G72">
        <v>0</v>
      </c>
      <c r="H72">
        <v>6.0631799999999998E-5</v>
      </c>
    </row>
    <row r="73" spans="1:8" hidden="1" x14ac:dyDescent="0.2">
      <c r="A73" s="11" t="s">
        <v>0</v>
      </c>
      <c r="B73">
        <v>20050</v>
      </c>
      <c r="C73">
        <v>-1.2E-2</v>
      </c>
      <c r="D73">
        <v>9.2999999999999992E-3</v>
      </c>
      <c r="E73">
        <v>8.09E-2</v>
      </c>
      <c r="F73">
        <v>0</v>
      </c>
      <c r="G73">
        <v>0</v>
      </c>
      <c r="H73">
        <v>1.7302640000000001E-4</v>
      </c>
    </row>
    <row r="74" spans="1:8" hidden="1" x14ac:dyDescent="0.2">
      <c r="A74" s="11" t="s">
        <v>0</v>
      </c>
      <c r="B74">
        <v>20550</v>
      </c>
      <c r="C74">
        <v>-3.61E-2</v>
      </c>
      <c r="D74">
        <v>4.1999999999999997E-3</v>
      </c>
      <c r="E74">
        <v>9.2299999999999993E-2</v>
      </c>
      <c r="F74">
        <v>0</v>
      </c>
      <c r="G74">
        <v>0</v>
      </c>
      <c r="H74">
        <v>4.7499E-6</v>
      </c>
    </row>
    <row r="75" spans="1:8" hidden="1" x14ac:dyDescent="0.2">
      <c r="A75" s="11" t="s">
        <v>0</v>
      </c>
      <c r="B75">
        <v>21050</v>
      </c>
      <c r="C75">
        <v>-1.9199999999999998E-2</v>
      </c>
      <c r="D75">
        <v>1.38E-2</v>
      </c>
      <c r="E75">
        <v>8.4400000000000003E-2</v>
      </c>
      <c r="F75">
        <v>0</v>
      </c>
      <c r="G75">
        <v>0</v>
      </c>
      <c r="H75">
        <v>3.659345E-4</v>
      </c>
    </row>
    <row r="76" spans="1:8" hidden="1" x14ac:dyDescent="0.2">
      <c r="A76" s="11" t="s">
        <v>0</v>
      </c>
      <c r="B76">
        <v>21550</v>
      </c>
      <c r="C76">
        <v>-2.9700000000000001E-2</v>
      </c>
      <c r="D76">
        <v>6.4000000000000003E-3</v>
      </c>
      <c r="E76">
        <v>8.6199999999999999E-2</v>
      </c>
      <c r="F76">
        <v>0</v>
      </c>
      <c r="G76">
        <v>0</v>
      </c>
      <c r="H76">
        <v>8.9173100000000002E-5</v>
      </c>
    </row>
    <row r="77" spans="1:8" hidden="1" x14ac:dyDescent="0.2">
      <c r="A77" s="11" t="s">
        <v>0</v>
      </c>
      <c r="B77">
        <v>22050</v>
      </c>
      <c r="C77">
        <v>-4.7E-2</v>
      </c>
      <c r="D77">
        <v>1.18E-2</v>
      </c>
      <c r="E77">
        <v>6.7100000000000007E-2</v>
      </c>
      <c r="F77">
        <v>0</v>
      </c>
      <c r="G77">
        <v>0</v>
      </c>
      <c r="H77">
        <v>2.918741E-4</v>
      </c>
    </row>
    <row r="78" spans="1:8" hidden="1" x14ac:dyDescent="0.2">
      <c r="A78" s="11" t="s">
        <v>0</v>
      </c>
      <c r="B78">
        <v>22550</v>
      </c>
      <c r="C78">
        <v>-7.3099999999999998E-2</v>
      </c>
      <c r="D78">
        <v>8.9999999999999993E-3</v>
      </c>
      <c r="E78">
        <v>8.8099999999999998E-2</v>
      </c>
      <c r="F78">
        <v>0</v>
      </c>
      <c r="G78">
        <v>0</v>
      </c>
      <c r="H78">
        <v>1.8722319999999999E-4</v>
      </c>
    </row>
    <row r="79" spans="1:8" hidden="1" x14ac:dyDescent="0.2">
      <c r="A79" s="11" t="s">
        <v>0</v>
      </c>
      <c r="B79">
        <v>23050</v>
      </c>
      <c r="C79">
        <v>-4.9599999999999998E-2</v>
      </c>
      <c r="D79">
        <v>7.0000000000000001E-3</v>
      </c>
      <c r="E79">
        <v>7.6999999999999999E-2</v>
      </c>
      <c r="F79">
        <v>0</v>
      </c>
      <c r="G79">
        <v>0</v>
      </c>
      <c r="H79">
        <v>1.264747E-4</v>
      </c>
    </row>
    <row r="80" spans="1:8" hidden="1" x14ac:dyDescent="0.2">
      <c r="A80" s="11" t="s">
        <v>0</v>
      </c>
      <c r="B80">
        <v>23550</v>
      </c>
      <c r="C80">
        <v>-4.5600000000000002E-2</v>
      </c>
      <c r="D80">
        <v>8.6E-3</v>
      </c>
      <c r="E80">
        <v>7.1400000000000005E-2</v>
      </c>
      <c r="F80">
        <v>0</v>
      </c>
      <c r="G80">
        <v>0</v>
      </c>
      <c r="H80">
        <v>1.928E-4</v>
      </c>
    </row>
    <row r="81" spans="1:8" hidden="1" x14ac:dyDescent="0.2">
      <c r="A81" s="11" t="s">
        <v>0</v>
      </c>
      <c r="B81">
        <v>24050</v>
      </c>
      <c r="C81">
        <v>-2.4199999999999999E-2</v>
      </c>
      <c r="D81">
        <v>4.7000000000000002E-3</v>
      </c>
      <c r="E81">
        <v>5.5100000000000003E-2</v>
      </c>
      <c r="F81">
        <v>0</v>
      </c>
      <c r="G81">
        <v>0</v>
      </c>
      <c r="H81">
        <v>5.4919100000000001E-5</v>
      </c>
    </row>
    <row r="82" spans="1:8" hidden="1" x14ac:dyDescent="0.2">
      <c r="A82" s="11" t="s">
        <v>0</v>
      </c>
      <c r="B82">
        <v>24550</v>
      </c>
      <c r="C82">
        <v>2.4299999999999999E-2</v>
      </c>
      <c r="D82">
        <v>3.5000000000000001E-3</v>
      </c>
      <c r="E82">
        <v>8.3900000000000002E-2</v>
      </c>
      <c r="F82">
        <v>0</v>
      </c>
      <c r="G82">
        <v>0</v>
      </c>
      <c r="H82">
        <v>-1.2539599999999999E-5</v>
      </c>
    </row>
    <row r="83" spans="1:8" hidden="1" x14ac:dyDescent="0.2">
      <c r="A83" s="11" t="s">
        <v>0</v>
      </c>
      <c r="B83">
        <v>25050</v>
      </c>
      <c r="C83">
        <v>4.5900000000000003E-2</v>
      </c>
      <c r="D83">
        <v>5.1000000000000004E-3</v>
      </c>
      <c r="E83">
        <v>7.51E-2</v>
      </c>
      <c r="F83">
        <v>0</v>
      </c>
      <c r="G83">
        <v>0</v>
      </c>
      <c r="H83">
        <v>8.6360999999999995E-5</v>
      </c>
    </row>
    <row r="84" spans="1:8" hidden="1" x14ac:dyDescent="0.2">
      <c r="A84" s="11" t="s">
        <v>0</v>
      </c>
      <c r="B84">
        <v>25550</v>
      </c>
      <c r="C84">
        <v>3.4000000000000002E-2</v>
      </c>
      <c r="D84">
        <v>5.0000000000000001E-3</v>
      </c>
      <c r="E84">
        <v>9.0800000000000006E-2</v>
      </c>
      <c r="F84">
        <v>0</v>
      </c>
      <c r="G84">
        <v>0</v>
      </c>
      <c r="H84">
        <v>9.2884800000000002E-5</v>
      </c>
    </row>
    <row r="85" spans="1:8" hidden="1" x14ac:dyDescent="0.2">
      <c r="A85" s="11" t="s">
        <v>0</v>
      </c>
      <c r="B85">
        <v>26050</v>
      </c>
      <c r="C85">
        <v>3.15E-2</v>
      </c>
      <c r="D85">
        <v>4.1000000000000003E-3</v>
      </c>
      <c r="E85">
        <v>7.4300000000000005E-2</v>
      </c>
      <c r="F85">
        <v>0</v>
      </c>
      <c r="G85">
        <v>0</v>
      </c>
      <c r="H85">
        <v>8.2719400000000006E-5</v>
      </c>
    </row>
    <row r="86" spans="1:8" hidden="1" x14ac:dyDescent="0.2">
      <c r="A86" s="11" t="s">
        <v>0</v>
      </c>
      <c r="B86">
        <v>26550</v>
      </c>
      <c r="C86">
        <v>4.2099999999999999E-2</v>
      </c>
      <c r="D86">
        <v>3.8999999999999998E-3</v>
      </c>
      <c r="E86">
        <v>6.7699999999999996E-2</v>
      </c>
      <c r="F86">
        <v>0</v>
      </c>
      <c r="G86">
        <v>0</v>
      </c>
      <c r="H86">
        <v>5.71315E-5</v>
      </c>
    </row>
    <row r="87" spans="1:8" hidden="1" x14ac:dyDescent="0.2">
      <c r="A87" s="11" t="s">
        <v>0</v>
      </c>
      <c r="B87">
        <v>27050</v>
      </c>
      <c r="C87">
        <v>4.5699999999999998E-2</v>
      </c>
      <c r="D87">
        <v>1.1000000000000001E-3</v>
      </c>
      <c r="E87">
        <v>5.8599999999999999E-2</v>
      </c>
      <c r="F87">
        <v>0</v>
      </c>
      <c r="G87">
        <v>0</v>
      </c>
      <c r="H87">
        <v>-3.2730900000000002E-5</v>
      </c>
    </row>
    <row r="88" spans="1:8" hidden="1" x14ac:dyDescent="0.2">
      <c r="A88" s="11" t="s">
        <v>0</v>
      </c>
      <c r="B88">
        <v>27550</v>
      </c>
      <c r="C88">
        <v>4.5499999999999999E-2</v>
      </c>
      <c r="D88">
        <v>2.7000000000000001E-3</v>
      </c>
      <c r="E88">
        <v>7.4099999999999999E-2</v>
      </c>
      <c r="F88">
        <v>0</v>
      </c>
      <c r="G88">
        <v>0</v>
      </c>
      <c r="H88">
        <v>6.0676600000000001E-5</v>
      </c>
    </row>
    <row r="89" spans="1:8" hidden="1" x14ac:dyDescent="0.2">
      <c r="A89" s="11" t="s">
        <v>0</v>
      </c>
      <c r="B89">
        <v>28050</v>
      </c>
      <c r="C89">
        <v>0.06</v>
      </c>
      <c r="D89">
        <v>2.8999999999999998E-3</v>
      </c>
      <c r="E89">
        <v>8.5400000000000004E-2</v>
      </c>
      <c r="F89">
        <v>0</v>
      </c>
      <c r="G89">
        <v>0</v>
      </c>
      <c r="H89">
        <v>1.027504E-4</v>
      </c>
    </row>
    <row r="90" spans="1:8" hidden="1" x14ac:dyDescent="0.2">
      <c r="A90" s="11" t="s">
        <v>0</v>
      </c>
      <c r="B90">
        <v>28550</v>
      </c>
      <c r="C90">
        <v>4.1300000000000003E-2</v>
      </c>
      <c r="D90">
        <v>2E-3</v>
      </c>
      <c r="E90">
        <v>7.5399999999999995E-2</v>
      </c>
      <c r="F90">
        <v>0</v>
      </c>
      <c r="G90">
        <v>0</v>
      </c>
      <c r="H90">
        <v>7.0042699999999999E-5</v>
      </c>
    </row>
    <row r="91" spans="1:8" hidden="1" x14ac:dyDescent="0.2">
      <c r="A91" s="11" t="s">
        <v>0</v>
      </c>
      <c r="B91">
        <v>29050</v>
      </c>
      <c r="C91">
        <v>3.5900000000000001E-2</v>
      </c>
      <c r="D91">
        <v>8.0000000000000004E-4</v>
      </c>
      <c r="E91">
        <v>6.4799999999999996E-2</v>
      </c>
      <c r="F91">
        <v>0</v>
      </c>
      <c r="G91">
        <v>0</v>
      </c>
      <c r="H91">
        <v>3.6450000000000001E-7</v>
      </c>
    </row>
    <row r="92" spans="1:8" hidden="1" x14ac:dyDescent="0.2">
      <c r="A92" s="11" t="s">
        <v>0</v>
      </c>
      <c r="B92">
        <v>29550</v>
      </c>
      <c r="C92">
        <v>-3.15E-2</v>
      </c>
      <c r="D92">
        <v>1.8E-3</v>
      </c>
      <c r="E92">
        <v>3.0800000000000001E-2</v>
      </c>
      <c r="F92">
        <v>0</v>
      </c>
      <c r="G92">
        <v>0</v>
      </c>
      <c r="H92">
        <v>7.5657199999999998E-5</v>
      </c>
    </row>
    <row r="93" spans="1:8" hidden="1" x14ac:dyDescent="0.2">
      <c r="A93" s="11" t="s">
        <v>0</v>
      </c>
      <c r="B93">
        <v>30050</v>
      </c>
      <c r="C93">
        <v>-3.1399999999999997E-2</v>
      </c>
      <c r="D93">
        <v>4.4999999999999997E-3</v>
      </c>
      <c r="E93">
        <v>3.2399999999999998E-2</v>
      </c>
      <c r="F93">
        <v>0</v>
      </c>
      <c r="G93">
        <v>0</v>
      </c>
      <c r="H93">
        <v>2.177131E-4</v>
      </c>
    </row>
    <row r="94" spans="1:8" hidden="1" x14ac:dyDescent="0.2">
      <c r="A94" s="11" t="s">
        <v>0</v>
      </c>
      <c r="B94">
        <v>30550</v>
      </c>
      <c r="C94">
        <v>-4.3799999999999999E-2</v>
      </c>
      <c r="D94">
        <v>1.6000000000000001E-3</v>
      </c>
      <c r="E94">
        <v>3.9800000000000002E-2</v>
      </c>
      <c r="F94">
        <v>0</v>
      </c>
      <c r="G94">
        <v>0</v>
      </c>
      <c r="H94">
        <v>7.2032000000000004E-5</v>
      </c>
    </row>
    <row r="95" spans="1:8" hidden="1" x14ac:dyDescent="0.2">
      <c r="A95" s="11" t="s">
        <v>0</v>
      </c>
      <c r="B95">
        <v>31050</v>
      </c>
      <c r="C95">
        <v>-4.3900000000000002E-2</v>
      </c>
      <c r="D95">
        <v>3.0999999999999999E-3</v>
      </c>
      <c r="E95">
        <v>3.8899999999999997E-2</v>
      </c>
      <c r="F95">
        <v>0</v>
      </c>
      <c r="G95">
        <v>0</v>
      </c>
      <c r="H95">
        <v>1.2772980000000001E-4</v>
      </c>
    </row>
    <row r="96" spans="1:8" hidden="1" x14ac:dyDescent="0.2">
      <c r="A96" s="11" t="s">
        <v>0</v>
      </c>
      <c r="B96">
        <v>31550</v>
      </c>
      <c r="C96">
        <v>-4.3099999999999999E-2</v>
      </c>
      <c r="D96">
        <v>2.2000000000000001E-3</v>
      </c>
      <c r="E96">
        <v>3.5200000000000002E-2</v>
      </c>
      <c r="F96">
        <v>0</v>
      </c>
      <c r="G96">
        <v>0</v>
      </c>
      <c r="H96">
        <v>9.2932100000000004E-5</v>
      </c>
    </row>
    <row r="97" spans="1:8" hidden="1" x14ac:dyDescent="0.2">
      <c r="A97" s="11" t="s">
        <v>0</v>
      </c>
      <c r="B97">
        <v>32050</v>
      </c>
      <c r="C97">
        <v>-2.24E-2</v>
      </c>
      <c r="D97">
        <v>1.4E-3</v>
      </c>
      <c r="E97">
        <v>2.58E-2</v>
      </c>
      <c r="F97">
        <v>0</v>
      </c>
      <c r="G97">
        <v>0</v>
      </c>
      <c r="H97">
        <v>7.1704299999999997E-5</v>
      </c>
    </row>
    <row r="98" spans="1:8" hidden="1" x14ac:dyDescent="0.2">
      <c r="A98" s="11" t="s">
        <v>0</v>
      </c>
      <c r="B98">
        <v>32550</v>
      </c>
      <c r="C98">
        <v>-2.5000000000000001E-3</v>
      </c>
      <c r="D98">
        <v>5.0000000000000001E-4</v>
      </c>
      <c r="E98">
        <v>5.1499999999999997E-2</v>
      </c>
      <c r="F98">
        <v>0</v>
      </c>
      <c r="G98">
        <v>0</v>
      </c>
      <c r="H98">
        <v>3.40124E-5</v>
      </c>
    </row>
    <row r="99" spans="1:8" hidden="1" x14ac:dyDescent="0.2">
      <c r="A99" s="11" t="s">
        <v>0</v>
      </c>
      <c r="B99">
        <v>33050</v>
      </c>
      <c r="C99">
        <v>6.6E-3</v>
      </c>
      <c r="D99">
        <v>-1E-4</v>
      </c>
      <c r="E99">
        <v>1.61E-2</v>
      </c>
      <c r="F99">
        <v>0</v>
      </c>
      <c r="G99">
        <v>0</v>
      </c>
      <c r="H99">
        <v>1.39191E-5</v>
      </c>
    </row>
    <row r="100" spans="1:8" hidden="1" x14ac:dyDescent="0.2">
      <c r="A100" s="11" t="s">
        <v>0</v>
      </c>
      <c r="B100">
        <v>33550</v>
      </c>
      <c r="C100">
        <v>-4.7600000000000003E-2</v>
      </c>
      <c r="D100">
        <v>-5.0000000000000001E-4</v>
      </c>
      <c r="E100">
        <v>-9.9000000000000008E-3</v>
      </c>
      <c r="F100">
        <v>0</v>
      </c>
      <c r="G100">
        <v>0</v>
      </c>
      <c r="H100">
        <v>-1.1467900000000001E-5</v>
      </c>
    </row>
    <row r="101" spans="1:8" hidden="1" x14ac:dyDescent="0.2">
      <c r="A101" s="11" t="s">
        <v>0</v>
      </c>
      <c r="B101">
        <v>34050</v>
      </c>
      <c r="C101">
        <v>-6.4699999999999994E-2</v>
      </c>
      <c r="D101">
        <v>-2.9999999999999997E-4</v>
      </c>
      <c r="E101">
        <v>-2.92E-2</v>
      </c>
      <c r="F101">
        <v>0</v>
      </c>
      <c r="G101">
        <v>0</v>
      </c>
      <c r="H101">
        <v>3.1489999999999998E-6</v>
      </c>
    </row>
    <row r="102" spans="1:8" hidden="1" x14ac:dyDescent="0.2">
      <c r="A102" s="11" t="s">
        <v>0</v>
      </c>
      <c r="B102">
        <v>34550</v>
      </c>
      <c r="C102">
        <v>-6.0600000000000001E-2</v>
      </c>
      <c r="D102">
        <v>-5.9999999999999995E-4</v>
      </c>
      <c r="E102">
        <v>-2.4899999999999999E-2</v>
      </c>
      <c r="F102">
        <v>0</v>
      </c>
      <c r="G102">
        <v>0</v>
      </c>
      <c r="H102">
        <v>1.0238E-6</v>
      </c>
    </row>
    <row r="103" spans="1:8" hidden="1" x14ac:dyDescent="0.2">
      <c r="A103" s="11" t="s">
        <v>0</v>
      </c>
      <c r="B103">
        <v>35050</v>
      </c>
      <c r="C103">
        <v>-4.6199999999999998E-2</v>
      </c>
      <c r="D103">
        <v>-1.6000000000000001E-3</v>
      </c>
      <c r="E103">
        <v>-1.6799999999999999E-2</v>
      </c>
      <c r="F103">
        <v>0</v>
      </c>
      <c r="G103">
        <v>0</v>
      </c>
      <c r="H103">
        <v>-1.48994E-5</v>
      </c>
    </row>
    <row r="104" spans="1:8" hidden="1" x14ac:dyDescent="0.2">
      <c r="A104" s="11" t="s">
        <v>0</v>
      </c>
      <c r="B104">
        <v>35550</v>
      </c>
      <c r="C104">
        <v>-5.4199999999999998E-2</v>
      </c>
      <c r="D104">
        <v>-1.8E-3</v>
      </c>
      <c r="E104">
        <v>-7.4000000000000003E-3</v>
      </c>
      <c r="F104">
        <v>0</v>
      </c>
      <c r="G104">
        <v>0</v>
      </c>
      <c r="H104">
        <v>-3.3905500000000003E-5</v>
      </c>
    </row>
    <row r="105" spans="1:8" hidden="1" x14ac:dyDescent="0.2">
      <c r="A105" s="11" t="s">
        <v>0</v>
      </c>
      <c r="B105">
        <v>36050</v>
      </c>
      <c r="C105">
        <v>-6.3299999999999995E-2</v>
      </c>
      <c r="D105">
        <v>-1.4E-3</v>
      </c>
      <c r="E105">
        <v>-1.7999999999999999E-2</v>
      </c>
      <c r="F105">
        <v>0</v>
      </c>
      <c r="G105">
        <v>0</v>
      </c>
      <c r="H105">
        <v>-2.5378899999999999E-5</v>
      </c>
    </row>
    <row r="106" spans="1:8" hidden="1" x14ac:dyDescent="0.2">
      <c r="A106" s="11" t="s">
        <v>0</v>
      </c>
      <c r="B106">
        <v>36550</v>
      </c>
      <c r="C106">
        <v>-5.9200000000000003E-2</v>
      </c>
      <c r="D106">
        <v>-1.6999999999999999E-3</v>
      </c>
      <c r="E106">
        <v>-2.5100000000000001E-2</v>
      </c>
      <c r="F106">
        <v>0</v>
      </c>
      <c r="G106">
        <v>0</v>
      </c>
      <c r="H106">
        <v>-5.1795500000000002E-5</v>
      </c>
    </row>
    <row r="107" spans="1:8" hidden="1" x14ac:dyDescent="0.2">
      <c r="A107" s="11" t="s">
        <v>0</v>
      </c>
      <c r="B107">
        <v>37050</v>
      </c>
      <c r="C107">
        <v>-6.2399999999999997E-2</v>
      </c>
      <c r="D107">
        <v>-1.6000000000000001E-3</v>
      </c>
      <c r="E107">
        <v>-3.3599999999999998E-2</v>
      </c>
      <c r="F107">
        <v>0</v>
      </c>
      <c r="G107">
        <v>0</v>
      </c>
      <c r="H107">
        <v>-3.9853500000000001E-5</v>
      </c>
    </row>
    <row r="108" spans="1:8" hidden="1" x14ac:dyDescent="0.2">
      <c r="A108" s="11" t="s">
        <v>0</v>
      </c>
      <c r="B108">
        <v>37550</v>
      </c>
      <c r="C108">
        <v>-9.4799999999999995E-2</v>
      </c>
      <c r="D108">
        <v>-1.6000000000000001E-3</v>
      </c>
      <c r="E108">
        <v>-1.8100000000000002E-2</v>
      </c>
      <c r="F108">
        <v>0</v>
      </c>
      <c r="G108">
        <v>0</v>
      </c>
      <c r="H108">
        <v>-5.1953999999999998E-5</v>
      </c>
    </row>
    <row r="109" spans="1:8" hidden="1" x14ac:dyDescent="0.2">
      <c r="A109" s="11" t="s">
        <v>0</v>
      </c>
      <c r="B109">
        <v>38050</v>
      </c>
      <c r="C109">
        <v>-6.4100000000000004E-2</v>
      </c>
      <c r="D109">
        <v>-1.9E-3</v>
      </c>
      <c r="E109">
        <v>2.7000000000000001E-3</v>
      </c>
      <c r="F109">
        <v>0</v>
      </c>
      <c r="G109">
        <v>0</v>
      </c>
      <c r="H109">
        <v>-6.9464700000000006E-5</v>
      </c>
    </row>
    <row r="110" spans="1:8" hidden="1" x14ac:dyDescent="0.2">
      <c r="A110" s="11" t="s">
        <v>0</v>
      </c>
      <c r="B110">
        <v>38550</v>
      </c>
      <c r="C110">
        <v>-2.52E-2</v>
      </c>
      <c r="D110">
        <v>-1.1999999999999999E-3</v>
      </c>
      <c r="E110">
        <v>3.7199999999999997E-2</v>
      </c>
      <c r="F110">
        <v>0</v>
      </c>
      <c r="G110">
        <v>0</v>
      </c>
      <c r="H110">
        <v>-5.8375499999999997E-5</v>
      </c>
    </row>
    <row r="111" spans="1:8" hidden="1" x14ac:dyDescent="0.2">
      <c r="A111" s="11" t="s">
        <v>0</v>
      </c>
      <c r="B111">
        <v>39050</v>
      </c>
      <c r="C111">
        <v>-1.14E-2</v>
      </c>
      <c r="D111">
        <v>-1.8E-3</v>
      </c>
      <c r="E111">
        <v>4.41E-2</v>
      </c>
      <c r="F111">
        <v>0</v>
      </c>
      <c r="G111">
        <v>0</v>
      </c>
      <c r="H111">
        <v>-7.1360799999999996E-5</v>
      </c>
    </row>
    <row r="112" spans="1:8" hidden="1" x14ac:dyDescent="0.2">
      <c r="A112" s="11" t="s">
        <v>0</v>
      </c>
      <c r="B112">
        <v>39500</v>
      </c>
      <c r="C112">
        <v>-3.6799999999999999E-2</v>
      </c>
      <c r="D112">
        <v>-1.9E-3</v>
      </c>
      <c r="E112">
        <v>3.9E-2</v>
      </c>
      <c r="F112">
        <v>0</v>
      </c>
      <c r="G112">
        <v>0</v>
      </c>
      <c r="H112">
        <v>-6.9325600000000006E-5</v>
      </c>
    </row>
    <row r="113" spans="1:8" x14ac:dyDescent="0.2">
      <c r="A113" s="11" t="s">
        <v>1</v>
      </c>
      <c r="B113">
        <v>-1350</v>
      </c>
      <c r="C113">
        <v>-4.4000000000000003E-3</v>
      </c>
      <c r="D113">
        <v>-2.7099999999999999E-2</v>
      </c>
      <c r="E113">
        <v>-1.03E-2</v>
      </c>
      <c r="F113">
        <v>5.6006800000000001E-5</v>
      </c>
      <c r="G113">
        <v>-5.6673699999999999E-5</v>
      </c>
      <c r="H113">
        <v>1.747423E-4</v>
      </c>
    </row>
    <row r="114" spans="1:8" x14ac:dyDescent="0.2">
      <c r="A114" s="11" t="s">
        <v>1</v>
      </c>
      <c r="B114">
        <v>-1200</v>
      </c>
      <c r="C114">
        <v>5.2499999999999998E-2</v>
      </c>
      <c r="D114">
        <v>5.1999999999999998E-3</v>
      </c>
      <c r="E114">
        <v>5.0000000000000001E-3</v>
      </c>
      <c r="F114">
        <v>-1.87306E-5</v>
      </c>
      <c r="G114">
        <v>-2.27634E-5</v>
      </c>
      <c r="H114">
        <v>6.7551600000000006E-5</v>
      </c>
    </row>
    <row r="115" spans="1:8" x14ac:dyDescent="0.2">
      <c r="A115" s="11" t="s">
        <v>1</v>
      </c>
      <c r="B115">
        <v>-1050</v>
      </c>
      <c r="C115">
        <v>1.95E-2</v>
      </c>
      <c r="D115">
        <v>2.3099999999999999E-2</v>
      </c>
      <c r="E115">
        <v>5.7999999999999996E-3</v>
      </c>
      <c r="F115">
        <v>-1.3885300000000001E-5</v>
      </c>
      <c r="G115">
        <v>-2.28858E-5</v>
      </c>
      <c r="H115">
        <v>5.7355899999999997E-5</v>
      </c>
    </row>
    <row r="116" spans="1:8" x14ac:dyDescent="0.2">
      <c r="A116" s="11" t="s">
        <v>1</v>
      </c>
      <c r="B116">
        <v>-900</v>
      </c>
      <c r="C116">
        <v>-4.0000000000000001E-3</v>
      </c>
      <c r="D116">
        <v>5.4000000000000003E-3</v>
      </c>
      <c r="E116">
        <v>2.8999999999999998E-3</v>
      </c>
      <c r="F116">
        <v>8.1371000000000004E-6</v>
      </c>
      <c r="G116">
        <v>-1.8090399999999999E-5</v>
      </c>
      <c r="H116">
        <v>3.9261799999999997E-5</v>
      </c>
    </row>
    <row r="117" spans="1:8" x14ac:dyDescent="0.2">
      <c r="A117" s="11" t="s">
        <v>1</v>
      </c>
      <c r="B117">
        <v>-750</v>
      </c>
      <c r="C117">
        <v>3.5999999999999999E-3</v>
      </c>
      <c r="D117">
        <v>3.4700000000000002E-2</v>
      </c>
      <c r="E117">
        <v>4.7000000000000002E-3</v>
      </c>
      <c r="F117">
        <v>2.3954399999999999E-5</v>
      </c>
      <c r="G117">
        <v>-2.65337E-5</v>
      </c>
      <c r="H117">
        <v>3.7934800000000001E-5</v>
      </c>
    </row>
    <row r="118" spans="1:8" x14ac:dyDescent="0.2">
      <c r="A118" s="11" t="s">
        <v>1</v>
      </c>
      <c r="B118">
        <v>-600</v>
      </c>
      <c r="C118">
        <v>9.7000000000000003E-3</v>
      </c>
      <c r="D118">
        <v>2.6100000000000002E-2</v>
      </c>
      <c r="E118">
        <v>-2.6200000000000001E-2</v>
      </c>
      <c r="F118">
        <v>3.7756699999999997E-5</v>
      </c>
      <c r="G118">
        <v>-5.5389999999999998E-6</v>
      </c>
      <c r="H118">
        <v>4.7052999999999997E-6</v>
      </c>
    </row>
    <row r="119" spans="1:8" x14ac:dyDescent="0.2">
      <c r="A119" s="11" t="s">
        <v>1</v>
      </c>
      <c r="B119">
        <v>-450</v>
      </c>
      <c r="C119">
        <v>1.1900000000000001E-2</v>
      </c>
      <c r="D119">
        <v>4.3200000000000002E-2</v>
      </c>
      <c r="E119">
        <v>1E-3</v>
      </c>
      <c r="F119">
        <v>4.19083E-5</v>
      </c>
      <c r="G119">
        <v>4.6918999999999999E-6</v>
      </c>
      <c r="H119">
        <v>-1.10691E-5</v>
      </c>
    </row>
    <row r="120" spans="1:8" x14ac:dyDescent="0.2">
      <c r="A120" s="11" t="s">
        <v>1</v>
      </c>
      <c r="B120">
        <v>-300</v>
      </c>
      <c r="C120">
        <v>9.9000000000000008E-3</v>
      </c>
      <c r="D120">
        <v>2.46E-2</v>
      </c>
      <c r="E120">
        <v>-4.5600000000000002E-2</v>
      </c>
      <c r="F120">
        <v>3.1464999999999998E-5</v>
      </c>
      <c r="G120">
        <v>-9.0820000000000005E-7</v>
      </c>
      <c r="H120">
        <v>-5.2912999999999996E-6</v>
      </c>
    </row>
    <row r="121" spans="1:8" x14ac:dyDescent="0.2">
      <c r="A121" s="11" t="s">
        <v>1</v>
      </c>
      <c r="B121">
        <v>-150</v>
      </c>
      <c r="C121">
        <v>1.09E-2</v>
      </c>
      <c r="D121">
        <v>1.5900000000000001E-2</v>
      </c>
      <c r="E121">
        <v>1.17E-2</v>
      </c>
      <c r="F121">
        <v>3.9942299999999999E-5</v>
      </c>
      <c r="G121">
        <v>1.10913E-5</v>
      </c>
      <c r="H121">
        <v>-2.0786799999999999E-5</v>
      </c>
    </row>
    <row r="122" spans="1:8" x14ac:dyDescent="0.2">
      <c r="A122" s="11" t="s">
        <v>1</v>
      </c>
      <c r="B122">
        <v>0</v>
      </c>
      <c r="C122">
        <v>-2.8999999999999998E-3</v>
      </c>
      <c r="D122">
        <v>1.11E-2</v>
      </c>
      <c r="E122">
        <v>8.0000000000000002E-3</v>
      </c>
      <c r="F122">
        <v>2.57705E-5</v>
      </c>
      <c r="G122">
        <v>1.8053399999999999E-5</v>
      </c>
      <c r="H122">
        <v>-1.5961000000000001E-6</v>
      </c>
    </row>
    <row r="123" spans="1:8" x14ac:dyDescent="0.2">
      <c r="A123" s="11" t="s">
        <v>1</v>
      </c>
      <c r="B123">
        <v>150</v>
      </c>
      <c r="C123">
        <v>-7.3000000000000001E-3</v>
      </c>
      <c r="D123">
        <v>3.4799999999999998E-2</v>
      </c>
      <c r="E123">
        <v>5.7000000000000002E-3</v>
      </c>
      <c r="F123">
        <v>1.5391199999999999E-5</v>
      </c>
      <c r="G123">
        <v>1.02378E-5</v>
      </c>
      <c r="H123">
        <v>6.4152E-6</v>
      </c>
    </row>
    <row r="124" spans="1:8" x14ac:dyDescent="0.2">
      <c r="A124" s="11" t="s">
        <v>1</v>
      </c>
      <c r="B124">
        <v>300</v>
      </c>
      <c r="C124">
        <v>-5.5999999999999999E-3</v>
      </c>
      <c r="D124">
        <v>1.49E-2</v>
      </c>
      <c r="E124">
        <v>2.7000000000000001E-3</v>
      </c>
      <c r="F124">
        <v>-5.9650000000000003E-7</v>
      </c>
      <c r="G124">
        <v>1.04146E-5</v>
      </c>
      <c r="H124">
        <v>5.9600999999999999E-6</v>
      </c>
    </row>
    <row r="125" spans="1:8" x14ac:dyDescent="0.2">
      <c r="A125" s="11" t="s">
        <v>1</v>
      </c>
      <c r="B125">
        <v>450</v>
      </c>
      <c r="C125">
        <v>1.0500000000000001E-2</v>
      </c>
      <c r="D125">
        <v>-7.6E-3</v>
      </c>
      <c r="E125">
        <v>1.6999999999999999E-3</v>
      </c>
      <c r="F125">
        <v>1.1413E-6</v>
      </c>
      <c r="G125">
        <v>1.9357200000000002E-5</v>
      </c>
      <c r="H125">
        <v>1.8470799999999999E-5</v>
      </c>
    </row>
    <row r="126" spans="1:8" x14ac:dyDescent="0.2">
      <c r="A126" s="11" t="s">
        <v>1</v>
      </c>
      <c r="B126">
        <v>600</v>
      </c>
      <c r="C126">
        <v>1.14E-2</v>
      </c>
      <c r="D126">
        <v>6.1999999999999998E-3</v>
      </c>
      <c r="E126">
        <v>-6.7000000000000002E-3</v>
      </c>
      <c r="F126">
        <v>-4.9800000000000004E-7</v>
      </c>
      <c r="G126">
        <v>1.96564E-5</v>
      </c>
      <c r="H126">
        <v>2.6358499999999998E-5</v>
      </c>
    </row>
    <row r="127" spans="1:8" x14ac:dyDescent="0.2">
      <c r="A127" s="11" t="s">
        <v>1</v>
      </c>
      <c r="B127">
        <v>750</v>
      </c>
      <c r="C127">
        <v>-1.2699999999999999E-2</v>
      </c>
      <c r="D127">
        <v>-3.6299999999999999E-2</v>
      </c>
      <c r="E127">
        <v>3.8999999999999998E-3</v>
      </c>
      <c r="F127">
        <v>-2.53009E-5</v>
      </c>
      <c r="G127">
        <v>1.34795E-5</v>
      </c>
      <c r="H127">
        <v>2.93768E-5</v>
      </c>
    </row>
    <row r="128" spans="1:8" x14ac:dyDescent="0.2">
      <c r="A128" s="11" t="s">
        <v>1</v>
      </c>
      <c r="B128">
        <v>900</v>
      </c>
      <c r="C128">
        <v>-4.9299999999999997E-2</v>
      </c>
      <c r="D128">
        <v>-5.6300000000000003E-2</v>
      </c>
      <c r="E128">
        <v>-1.2200000000000001E-2</v>
      </c>
      <c r="F128">
        <v>-3.86636E-5</v>
      </c>
      <c r="G128">
        <v>2.14009E-5</v>
      </c>
      <c r="H128">
        <v>4.6883399999999999E-5</v>
      </c>
    </row>
    <row r="129" spans="1:8" x14ac:dyDescent="0.2">
      <c r="A129" s="11" t="s">
        <v>1</v>
      </c>
      <c r="B129">
        <v>1050</v>
      </c>
      <c r="C129">
        <v>-7.9000000000000008E-3</v>
      </c>
      <c r="D129">
        <v>-1.44E-2</v>
      </c>
      <c r="E129">
        <v>-1E-4</v>
      </c>
      <c r="F129">
        <v>2.8609999999999998E-6</v>
      </c>
      <c r="G129">
        <v>2.4473399999999998E-5</v>
      </c>
      <c r="H129">
        <v>5.8495500000000003E-5</v>
      </c>
    </row>
    <row r="130" spans="1:8" x14ac:dyDescent="0.2">
      <c r="A130" s="11" t="s">
        <v>1</v>
      </c>
      <c r="B130">
        <v>1200</v>
      </c>
      <c r="C130">
        <v>-2.98E-2</v>
      </c>
      <c r="D130">
        <v>-1.8499999999999999E-2</v>
      </c>
      <c r="E130">
        <v>6.6E-3</v>
      </c>
      <c r="F130">
        <v>-2.8372000000000001E-6</v>
      </c>
      <c r="G130">
        <v>3.0680399999999999E-5</v>
      </c>
      <c r="H130">
        <v>9.3981999999999996E-5</v>
      </c>
    </row>
    <row r="131" spans="1:8" x14ac:dyDescent="0.2">
      <c r="A131" s="11" t="s">
        <v>1</v>
      </c>
      <c r="B131">
        <v>1350</v>
      </c>
      <c r="C131">
        <v>3.3399999999999999E-2</v>
      </c>
      <c r="D131">
        <v>-1.52E-2</v>
      </c>
      <c r="E131">
        <v>-1.3899999999999999E-2</v>
      </c>
      <c r="F131">
        <v>-5.9701299999999997E-5</v>
      </c>
      <c r="G131">
        <v>4.8132900000000001E-5</v>
      </c>
      <c r="H131">
        <v>1.5180169999999999E-4</v>
      </c>
    </row>
    <row r="132" spans="1:8" hidden="1" x14ac:dyDescent="0.2">
      <c r="A132" s="11" t="s">
        <v>38</v>
      </c>
      <c r="B132">
        <v>-2350</v>
      </c>
      <c r="C132">
        <v>0</v>
      </c>
      <c r="D132">
        <v>0</v>
      </c>
      <c r="E132">
        <v>0</v>
      </c>
      <c r="F132">
        <v>0</v>
      </c>
      <c r="G132">
        <v>0</v>
      </c>
      <c r="H132">
        <v>0</v>
      </c>
    </row>
    <row r="133" spans="1:8" hidden="1" x14ac:dyDescent="0.2">
      <c r="A133" s="11" t="s">
        <v>38</v>
      </c>
      <c r="B133">
        <v>-2250</v>
      </c>
      <c r="C133">
        <v>0</v>
      </c>
      <c r="D133">
        <v>0</v>
      </c>
      <c r="E133">
        <v>0</v>
      </c>
      <c r="F133">
        <v>0</v>
      </c>
      <c r="G133">
        <v>0</v>
      </c>
      <c r="H133">
        <v>0</v>
      </c>
    </row>
    <row r="134" spans="1:8" hidden="1" x14ac:dyDescent="0.2">
      <c r="A134" s="11" t="s">
        <v>38</v>
      </c>
      <c r="B134">
        <v>-2150</v>
      </c>
      <c r="C134">
        <v>0</v>
      </c>
      <c r="D134">
        <v>0</v>
      </c>
      <c r="E134">
        <v>0</v>
      </c>
      <c r="F134">
        <v>0</v>
      </c>
      <c r="G134">
        <v>0</v>
      </c>
      <c r="H134">
        <v>0</v>
      </c>
    </row>
    <row r="135" spans="1:8" hidden="1" x14ac:dyDescent="0.2">
      <c r="A135" s="11" t="s">
        <v>38</v>
      </c>
      <c r="B135">
        <v>-2050</v>
      </c>
      <c r="C135">
        <v>0</v>
      </c>
      <c r="D135">
        <v>0</v>
      </c>
      <c r="E135">
        <v>0</v>
      </c>
      <c r="F135">
        <v>0</v>
      </c>
      <c r="G135">
        <v>0</v>
      </c>
      <c r="H135">
        <v>0</v>
      </c>
    </row>
    <row r="136" spans="1:8" hidden="1" x14ac:dyDescent="0.2">
      <c r="A136" s="11" t="s">
        <v>38</v>
      </c>
      <c r="B136">
        <v>-1950</v>
      </c>
      <c r="C136">
        <v>-2E-3</v>
      </c>
      <c r="D136">
        <v>-1.0500000000000001E-2</v>
      </c>
      <c r="E136">
        <v>-5.3600000000000002E-2</v>
      </c>
      <c r="F136">
        <v>-7.8236000000000008E-6</v>
      </c>
      <c r="G136">
        <v>8.1849000000000002E-6</v>
      </c>
      <c r="H136">
        <v>5.51155E-4</v>
      </c>
    </row>
    <row r="137" spans="1:8" hidden="1" x14ac:dyDescent="0.2">
      <c r="A137" s="11" t="s">
        <v>38</v>
      </c>
      <c r="B137">
        <v>-1850</v>
      </c>
      <c r="C137">
        <v>-2.3900000000000001E-2</v>
      </c>
      <c r="D137">
        <v>-2.7699999999999999E-2</v>
      </c>
      <c r="E137">
        <v>-6.8500000000000005E-2</v>
      </c>
      <c r="F137">
        <v>-3.9214400000000002E-5</v>
      </c>
      <c r="G137">
        <v>8.9030900000000002E-5</v>
      </c>
      <c r="H137">
        <v>7.8081479999999996E-4</v>
      </c>
    </row>
    <row r="138" spans="1:8" hidden="1" x14ac:dyDescent="0.2">
      <c r="A138" s="11" t="s">
        <v>38</v>
      </c>
      <c r="B138">
        <v>-1750</v>
      </c>
      <c r="C138">
        <v>-1.2200000000000001E-2</v>
      </c>
      <c r="D138">
        <v>-3.6999999999999998E-2</v>
      </c>
      <c r="E138">
        <v>-7.0499999999999993E-2</v>
      </c>
      <c r="F138">
        <v>-8.1476099999999997E-5</v>
      </c>
      <c r="G138">
        <v>4.4998299999999999E-5</v>
      </c>
      <c r="H138">
        <v>4.3978080000000002E-4</v>
      </c>
    </row>
    <row r="139" spans="1:8" hidden="1" x14ac:dyDescent="0.2">
      <c r="A139" s="11" t="s">
        <v>38</v>
      </c>
      <c r="B139">
        <v>-1650</v>
      </c>
      <c r="C139">
        <v>-3.6900000000000002E-2</v>
      </c>
      <c r="D139">
        <v>-4.9799999999999997E-2</v>
      </c>
      <c r="E139">
        <v>-8.2900000000000001E-2</v>
      </c>
      <c r="F139">
        <v>-1.0880800000000001E-4</v>
      </c>
      <c r="G139">
        <v>1.131022E-4</v>
      </c>
      <c r="H139">
        <v>4.3907700000000001E-4</v>
      </c>
    </row>
    <row r="140" spans="1:8" hidden="1" x14ac:dyDescent="0.2">
      <c r="A140" s="11" t="s">
        <v>38</v>
      </c>
      <c r="B140">
        <v>-1550</v>
      </c>
      <c r="C140">
        <v>-1.61E-2</v>
      </c>
      <c r="D140">
        <v>-5.5899999999999998E-2</v>
      </c>
      <c r="E140">
        <v>-8.7800000000000003E-2</v>
      </c>
      <c r="F140">
        <v>-1.6184080000000001E-4</v>
      </c>
      <c r="G140">
        <v>5.4691400000000003E-5</v>
      </c>
      <c r="H140">
        <v>3.9366279999999997E-4</v>
      </c>
    </row>
    <row r="141" spans="1:8" hidden="1" x14ac:dyDescent="0.2">
      <c r="A141" s="11" t="s">
        <v>38</v>
      </c>
      <c r="B141">
        <v>-1450</v>
      </c>
      <c r="C141">
        <v>-2.0199999999999999E-2</v>
      </c>
      <c r="D141">
        <v>-2.9999999999999997E-4</v>
      </c>
      <c r="E141">
        <v>-2.5000000000000001E-2</v>
      </c>
      <c r="F141">
        <v>1.1764E-5</v>
      </c>
      <c r="G141">
        <v>7.9160100000000001E-5</v>
      </c>
      <c r="H141">
        <v>3.8664109999999999E-4</v>
      </c>
    </row>
    <row r="142" spans="1:8" hidden="1" x14ac:dyDescent="0.2">
      <c r="A142" s="11" t="s">
        <v>38</v>
      </c>
      <c r="B142">
        <v>-1350</v>
      </c>
      <c r="C142">
        <v>4.1799999999999997E-2</v>
      </c>
      <c r="D142">
        <v>-3.8800000000000001E-2</v>
      </c>
      <c r="E142">
        <v>-5.3E-3</v>
      </c>
      <c r="F142">
        <v>-3.97762E-5</v>
      </c>
      <c r="G142">
        <v>-9.5315299999999999E-5</v>
      </c>
      <c r="H142">
        <v>2.5054850000000002E-4</v>
      </c>
    </row>
    <row r="143" spans="1:8" hidden="1" x14ac:dyDescent="0.2">
      <c r="A143" s="11" t="s">
        <v>38</v>
      </c>
      <c r="B143">
        <v>-1250</v>
      </c>
      <c r="C143">
        <v>3.0000000000000001E-3</v>
      </c>
      <c r="D143">
        <v>-1.4200000000000001E-2</v>
      </c>
      <c r="E143">
        <v>-8.6400000000000005E-2</v>
      </c>
      <c r="F143">
        <v>3.2017799999999997E-5</v>
      </c>
      <c r="G143">
        <v>3.1819999999999998E-7</v>
      </c>
      <c r="H143">
        <v>2.1631100000000001E-4</v>
      </c>
    </row>
    <row r="144" spans="1:8" hidden="1" x14ac:dyDescent="0.2">
      <c r="A144" s="11" t="s">
        <v>38</v>
      </c>
      <c r="B144">
        <v>-1150</v>
      </c>
      <c r="C144">
        <v>-1.4999999999999999E-2</v>
      </c>
      <c r="D144">
        <v>1.52E-2</v>
      </c>
      <c r="E144">
        <v>-1E-3</v>
      </c>
      <c r="F144">
        <v>1.9999309999999999E-4</v>
      </c>
      <c r="G144">
        <v>5.7458599999999999E-5</v>
      </c>
      <c r="H144">
        <v>2.4739949999999999E-4</v>
      </c>
    </row>
    <row r="145" spans="1:8" hidden="1" x14ac:dyDescent="0.2">
      <c r="A145" s="11" t="s">
        <v>38</v>
      </c>
      <c r="B145">
        <v>-1050</v>
      </c>
      <c r="C145">
        <v>-1.9E-3</v>
      </c>
      <c r="D145">
        <v>-2.5399999999999999E-2</v>
      </c>
      <c r="E145">
        <v>-3.1300000000000001E-2</v>
      </c>
      <c r="F145">
        <v>-1.5591400000000001E-5</v>
      </c>
      <c r="G145">
        <v>1.33821E-5</v>
      </c>
      <c r="H145">
        <v>2.0588599999999999E-4</v>
      </c>
    </row>
    <row r="146" spans="1:8" hidden="1" x14ac:dyDescent="0.2">
      <c r="A146" s="11" t="s">
        <v>38</v>
      </c>
      <c r="B146">
        <v>-950</v>
      </c>
      <c r="C146">
        <v>-3.7000000000000002E-3</v>
      </c>
      <c r="D146">
        <v>5.8099999999999999E-2</v>
      </c>
      <c r="E146">
        <v>-2.7000000000000001E-3</v>
      </c>
      <c r="F146">
        <v>7.4485400000000003E-5</v>
      </c>
      <c r="G146">
        <v>2.7498E-5</v>
      </c>
      <c r="H146">
        <v>2.091672E-4</v>
      </c>
    </row>
    <row r="147" spans="1:8" hidden="1" x14ac:dyDescent="0.2">
      <c r="A147" s="11" t="s">
        <v>38</v>
      </c>
      <c r="B147">
        <v>-850</v>
      </c>
      <c r="C147">
        <v>-2.35E-2</v>
      </c>
      <c r="D147">
        <v>-4.1000000000000003E-3</v>
      </c>
      <c r="E147">
        <v>-1.35E-2</v>
      </c>
      <c r="F147">
        <v>5.7068000000000003E-5</v>
      </c>
      <c r="G147">
        <v>5.9978000000000001E-5</v>
      </c>
      <c r="H147">
        <v>2.173439E-4</v>
      </c>
    </row>
    <row r="148" spans="1:8" hidden="1" x14ac:dyDescent="0.2">
      <c r="A148" s="11" t="s">
        <v>38</v>
      </c>
      <c r="B148">
        <v>-750</v>
      </c>
      <c r="C148">
        <v>-2.0400000000000001E-2</v>
      </c>
      <c r="D148">
        <v>1.89E-2</v>
      </c>
      <c r="E148">
        <v>-2.18E-2</v>
      </c>
      <c r="F148">
        <v>4.9398899999999999E-5</v>
      </c>
      <c r="G148">
        <v>4.2347500000000001E-5</v>
      </c>
      <c r="H148">
        <v>1.905124E-4</v>
      </c>
    </row>
    <row r="149" spans="1:8" hidden="1" x14ac:dyDescent="0.2">
      <c r="A149" s="11" t="s">
        <v>38</v>
      </c>
      <c r="B149">
        <v>-650</v>
      </c>
      <c r="C149">
        <v>2.8E-3</v>
      </c>
      <c r="D149">
        <v>3.1699999999999999E-2</v>
      </c>
      <c r="E149">
        <v>-2.3E-3</v>
      </c>
      <c r="F149">
        <v>1.2970899999999999E-4</v>
      </c>
      <c r="G149">
        <v>-1.6109100000000001E-5</v>
      </c>
      <c r="H149">
        <v>2.118396E-4</v>
      </c>
    </row>
    <row r="150" spans="1:8" hidden="1" x14ac:dyDescent="0.2">
      <c r="A150" s="11" t="s">
        <v>38</v>
      </c>
      <c r="B150">
        <v>-550</v>
      </c>
      <c r="C150">
        <v>-5.4999999999999997E-3</v>
      </c>
      <c r="D150">
        <v>4.3299999999999998E-2</v>
      </c>
      <c r="E150">
        <v>-3.4000000000000002E-2</v>
      </c>
      <c r="F150">
        <v>1.342173E-4</v>
      </c>
      <c r="G150">
        <v>4.1983000000000001E-6</v>
      </c>
      <c r="H150">
        <v>2.1838280000000001E-4</v>
      </c>
    </row>
    <row r="151" spans="1:8" hidden="1" x14ac:dyDescent="0.2">
      <c r="A151" s="11" t="s">
        <v>38</v>
      </c>
      <c r="B151">
        <v>-450</v>
      </c>
      <c r="C151">
        <v>-4.7699999999999999E-2</v>
      </c>
      <c r="D151">
        <v>4.3900000000000002E-2</v>
      </c>
      <c r="E151">
        <v>-6.0299999999999999E-2</v>
      </c>
      <c r="F151">
        <v>1.2085189999999999E-4</v>
      </c>
      <c r="G151">
        <v>6.5746499999999998E-5</v>
      </c>
      <c r="H151">
        <v>2.19099E-4</v>
      </c>
    </row>
    <row r="152" spans="1:8" hidden="1" x14ac:dyDescent="0.2">
      <c r="A152" s="11" t="s">
        <v>38</v>
      </c>
      <c r="B152">
        <v>-350</v>
      </c>
      <c r="C152">
        <v>-2.3400000000000001E-2</v>
      </c>
      <c r="D152">
        <v>-2.92E-2</v>
      </c>
      <c r="E152">
        <v>-9.0999999999999998E-2</v>
      </c>
      <c r="F152">
        <v>1.70835E-5</v>
      </c>
      <c r="G152">
        <v>2.79988E-5</v>
      </c>
      <c r="H152">
        <v>2.3938780000000001E-4</v>
      </c>
    </row>
    <row r="153" spans="1:8" hidden="1" x14ac:dyDescent="0.2">
      <c r="A153" s="11" t="s">
        <v>38</v>
      </c>
      <c r="B153">
        <v>-250</v>
      </c>
      <c r="C153">
        <v>-1.5299999999999999E-2</v>
      </c>
      <c r="D153">
        <v>-4.1099999999999998E-2</v>
      </c>
      <c r="E153">
        <v>-0.1074</v>
      </c>
      <c r="F153">
        <v>-5.4310300000000001E-5</v>
      </c>
      <c r="G153">
        <v>1.9618399999999998E-5</v>
      </c>
      <c r="H153">
        <v>2.417369E-4</v>
      </c>
    </row>
    <row r="154" spans="1:8" hidden="1" x14ac:dyDescent="0.2">
      <c r="A154" s="11" t="s">
        <v>38</v>
      </c>
      <c r="B154">
        <v>-150</v>
      </c>
      <c r="C154">
        <v>-5.0700000000000002E-2</v>
      </c>
      <c r="D154">
        <v>-7.5700000000000003E-2</v>
      </c>
      <c r="E154">
        <v>-0.12920000000000001</v>
      </c>
      <c r="F154">
        <v>-8.7317600000000006E-5</v>
      </c>
      <c r="G154">
        <v>4.9624599999999999E-5</v>
      </c>
      <c r="H154">
        <v>2.701766E-4</v>
      </c>
    </row>
    <row r="155" spans="1:8" hidden="1" x14ac:dyDescent="0.2">
      <c r="A155" s="11" t="s">
        <v>38</v>
      </c>
      <c r="B155">
        <v>-50</v>
      </c>
      <c r="C155">
        <v>-3.6900000000000002E-2</v>
      </c>
      <c r="D155">
        <v>-4.2599999999999999E-2</v>
      </c>
      <c r="E155">
        <v>-8.1000000000000003E-2</v>
      </c>
      <c r="F155">
        <v>-5.0277E-5</v>
      </c>
      <c r="G155">
        <v>3.4342199999999998E-5</v>
      </c>
      <c r="H155">
        <v>1.4371469999999999E-4</v>
      </c>
    </row>
    <row r="156" spans="1:8" hidden="1" x14ac:dyDescent="0.2">
      <c r="A156" s="11" t="s">
        <v>38</v>
      </c>
      <c r="B156">
        <v>0</v>
      </c>
      <c r="C156">
        <v>-6.2899999999999998E-2</v>
      </c>
      <c r="D156">
        <v>-4.5199999999999997E-2</v>
      </c>
      <c r="E156">
        <v>-0.10780000000000001</v>
      </c>
      <c r="F156">
        <v>-3.7629300000000002E-5</v>
      </c>
      <c r="G156">
        <v>4.76133E-5</v>
      </c>
      <c r="H156">
        <v>4.7213369999999998E-4</v>
      </c>
    </row>
    <row r="157" spans="1:8" hidden="1" x14ac:dyDescent="0.2">
      <c r="A157" s="11" t="s">
        <v>57</v>
      </c>
      <c r="B157">
        <v>-90</v>
      </c>
      <c r="C157">
        <v>0</v>
      </c>
      <c r="D157">
        <v>0</v>
      </c>
      <c r="E157">
        <v>0</v>
      </c>
      <c r="F157">
        <v>0</v>
      </c>
      <c r="G157">
        <v>0</v>
      </c>
      <c r="H157">
        <v>0</v>
      </c>
    </row>
    <row r="158" spans="1:8" hidden="1" x14ac:dyDescent="0.2">
      <c r="A158" s="11" t="s">
        <v>57</v>
      </c>
      <c r="B158">
        <v>0</v>
      </c>
      <c r="C158">
        <v>0</v>
      </c>
      <c r="D158">
        <v>0</v>
      </c>
      <c r="E158">
        <v>0</v>
      </c>
      <c r="F158">
        <v>0</v>
      </c>
      <c r="G158">
        <v>0</v>
      </c>
      <c r="H158">
        <v>0</v>
      </c>
    </row>
    <row r="159" spans="1:8" hidden="1" x14ac:dyDescent="0.2">
      <c r="A159" s="11" t="s">
        <v>57</v>
      </c>
      <c r="B159">
        <v>90</v>
      </c>
      <c r="C159">
        <v>0</v>
      </c>
      <c r="D159">
        <v>0</v>
      </c>
      <c r="E159">
        <v>0</v>
      </c>
      <c r="F159">
        <v>0</v>
      </c>
      <c r="G159">
        <v>0</v>
      </c>
      <c r="H159">
        <v>0</v>
      </c>
    </row>
    <row r="160" spans="1:8" hidden="1" x14ac:dyDescent="0.2">
      <c r="A160" s="11" t="s">
        <v>2</v>
      </c>
      <c r="B160">
        <v>-94.5</v>
      </c>
      <c r="C160">
        <v>0.38729999999999998</v>
      </c>
      <c r="D160">
        <v>-2.3800000000000002E-2</v>
      </c>
      <c r="E160">
        <v>0</v>
      </c>
      <c r="F160">
        <v>-1.8156600000000002E-5</v>
      </c>
      <c r="G160">
        <v>-3.7000999999999999E-6</v>
      </c>
      <c r="H160">
        <v>-1.8159400000000001E-5</v>
      </c>
    </row>
    <row r="161" spans="1:8" hidden="1" x14ac:dyDescent="0.2">
      <c r="A161" s="11" t="s">
        <v>2</v>
      </c>
      <c r="B161">
        <v>-90</v>
      </c>
      <c r="C161">
        <v>0.19289999999999999</v>
      </c>
      <c r="D161">
        <v>0.15079999999999999</v>
      </c>
      <c r="E161">
        <v>0</v>
      </c>
      <c r="F161">
        <v>-1.2377126E-3</v>
      </c>
      <c r="G161">
        <v>-7.7891999999999999E-6</v>
      </c>
      <c r="H161">
        <v>-1.2377088E-3</v>
      </c>
    </row>
    <row r="162" spans="1:8" hidden="1" x14ac:dyDescent="0.2">
      <c r="A162" s="11" t="s">
        <v>2</v>
      </c>
      <c r="B162">
        <v>-80</v>
      </c>
      <c r="C162">
        <v>0.1762</v>
      </c>
      <c r="D162">
        <v>8.6999999999999994E-3</v>
      </c>
      <c r="E162">
        <v>0</v>
      </c>
      <c r="F162">
        <v>-2.804614E-4</v>
      </c>
      <c r="G162">
        <v>1.013789E-4</v>
      </c>
      <c r="H162">
        <v>-2.8049820000000002E-4</v>
      </c>
    </row>
    <row r="163" spans="1:8" hidden="1" x14ac:dyDescent="0.2">
      <c r="A163" s="11" t="s">
        <v>2</v>
      </c>
      <c r="B163">
        <v>-70</v>
      </c>
      <c r="C163">
        <v>8.1900000000000001E-2</v>
      </c>
      <c r="D163">
        <v>1.4500000000000001E-2</v>
      </c>
      <c r="E163">
        <v>0</v>
      </c>
      <c r="F163">
        <v>-2.8845619999999999E-4</v>
      </c>
      <c r="G163">
        <v>1.531561E-4</v>
      </c>
      <c r="H163">
        <v>-2.8849380000000002E-4</v>
      </c>
    </row>
    <row r="164" spans="1:8" hidden="1" x14ac:dyDescent="0.2">
      <c r="A164" s="11" t="s">
        <v>2</v>
      </c>
      <c r="B164">
        <v>-60</v>
      </c>
      <c r="C164">
        <v>5.5100000000000003E-2</v>
      </c>
      <c r="D164">
        <v>-4.3900000000000002E-2</v>
      </c>
      <c r="E164">
        <v>0</v>
      </c>
      <c r="F164">
        <v>-3.0853240000000001E-4</v>
      </c>
      <c r="G164">
        <v>3.3253649999999998E-4</v>
      </c>
      <c r="H164">
        <v>-3.0857440000000002E-4</v>
      </c>
    </row>
    <row r="165" spans="1:8" hidden="1" x14ac:dyDescent="0.2">
      <c r="A165" s="11" t="s">
        <v>2</v>
      </c>
      <c r="B165">
        <v>-50</v>
      </c>
      <c r="C165">
        <v>-2.6200000000000001E-2</v>
      </c>
      <c r="D165">
        <v>9.5999999999999992E-3</v>
      </c>
      <c r="E165">
        <v>0</v>
      </c>
      <c r="F165">
        <v>-1.5172304E-3</v>
      </c>
      <c r="G165">
        <v>6.8687640000000003E-4</v>
      </c>
      <c r="H165">
        <v>-1.5172789E-3</v>
      </c>
    </row>
    <row r="166" spans="1:8" hidden="1" x14ac:dyDescent="0.2">
      <c r="A166" s="11" t="s">
        <v>2</v>
      </c>
      <c r="B166">
        <v>-40</v>
      </c>
      <c r="C166">
        <v>-7.3700000000000002E-2</v>
      </c>
      <c r="D166">
        <v>-0.10009999999999999</v>
      </c>
      <c r="E166">
        <v>0</v>
      </c>
      <c r="F166">
        <v>-2.9880729999999999E-4</v>
      </c>
      <c r="G166">
        <v>3.2510040000000002E-4</v>
      </c>
      <c r="H166">
        <v>-2.9882820000000002E-4</v>
      </c>
    </row>
    <row r="167" spans="1:8" hidden="1" x14ac:dyDescent="0.2">
      <c r="A167" s="11" t="s">
        <v>2</v>
      </c>
      <c r="B167">
        <v>-30</v>
      </c>
      <c r="C167">
        <v>-0.1198</v>
      </c>
      <c r="D167">
        <v>-5.0599999999999999E-2</v>
      </c>
      <c r="E167">
        <v>0</v>
      </c>
      <c r="F167">
        <v>-1.959203E-4</v>
      </c>
      <c r="G167">
        <v>3.1084839999999999E-4</v>
      </c>
      <c r="H167">
        <v>-1.9592850000000001E-4</v>
      </c>
    </row>
    <row r="168" spans="1:8" hidden="1" x14ac:dyDescent="0.2">
      <c r="A168" s="11" t="s">
        <v>2</v>
      </c>
      <c r="B168">
        <v>-20</v>
      </c>
      <c r="C168">
        <v>-0.22359999999999999</v>
      </c>
      <c r="D168">
        <v>-9.8500000000000004E-2</v>
      </c>
      <c r="E168">
        <v>0</v>
      </c>
      <c r="F168">
        <v>-2.3069569999999999E-4</v>
      </c>
      <c r="G168">
        <v>4.0594999999999997E-4</v>
      </c>
      <c r="H168">
        <v>-2.3071039999999999E-4</v>
      </c>
    </row>
    <row r="169" spans="1:8" hidden="1" x14ac:dyDescent="0.2">
      <c r="A169" s="11" t="s">
        <v>2</v>
      </c>
      <c r="B169">
        <v>-10</v>
      </c>
      <c r="C169">
        <v>-0.21379999999999999</v>
      </c>
      <c r="D169">
        <v>-5.3100000000000001E-2</v>
      </c>
      <c r="E169">
        <v>0</v>
      </c>
      <c r="F169">
        <v>-1.148281E-4</v>
      </c>
      <c r="G169">
        <v>1.8970369999999999E-4</v>
      </c>
      <c r="H169">
        <v>-1.148234E-4</v>
      </c>
    </row>
    <row r="170" spans="1:8" hidden="1" x14ac:dyDescent="0.2">
      <c r="A170" s="11" t="s">
        <v>2</v>
      </c>
      <c r="B170">
        <v>0</v>
      </c>
      <c r="C170">
        <v>-0.25950000000000001</v>
      </c>
      <c r="D170">
        <v>7.4999999999999997E-3</v>
      </c>
      <c r="E170">
        <v>0</v>
      </c>
      <c r="F170">
        <v>5.5146099999999997E-5</v>
      </c>
      <c r="G170">
        <v>5.1410509999999998E-4</v>
      </c>
      <c r="H170">
        <v>5.51411E-5</v>
      </c>
    </row>
    <row r="171" spans="1:8" hidden="1" x14ac:dyDescent="0.2">
      <c r="A171" s="11" t="s">
        <v>2</v>
      </c>
      <c r="B171">
        <v>10</v>
      </c>
      <c r="C171">
        <v>-0.2281</v>
      </c>
      <c r="D171">
        <v>-4.3900000000000002E-2</v>
      </c>
      <c r="E171">
        <v>0</v>
      </c>
      <c r="F171">
        <v>-2.51076E-5</v>
      </c>
      <c r="G171">
        <v>3.4125049999999998E-4</v>
      </c>
      <c r="H171">
        <v>-2.50953E-5</v>
      </c>
    </row>
    <row r="172" spans="1:8" hidden="1" x14ac:dyDescent="0.2">
      <c r="A172" s="11" t="s">
        <v>2</v>
      </c>
      <c r="B172">
        <v>20</v>
      </c>
      <c r="C172">
        <v>-0.19689999999999999</v>
      </c>
      <c r="D172">
        <v>0.1186</v>
      </c>
      <c r="E172">
        <v>0</v>
      </c>
      <c r="F172">
        <v>2.0345439999999999E-4</v>
      </c>
      <c r="G172">
        <v>3.0507709999999999E-4</v>
      </c>
      <c r="H172">
        <v>2.034572E-4</v>
      </c>
    </row>
    <row r="173" spans="1:8" hidden="1" x14ac:dyDescent="0.2">
      <c r="A173" s="11" t="s">
        <v>2</v>
      </c>
      <c r="B173">
        <v>30</v>
      </c>
      <c r="C173">
        <v>-0.14380000000000001</v>
      </c>
      <c r="D173">
        <v>8.14E-2</v>
      </c>
      <c r="E173">
        <v>0</v>
      </c>
      <c r="F173">
        <v>2.5112430000000002E-4</v>
      </c>
      <c r="G173">
        <v>2.5806240000000001E-4</v>
      </c>
      <c r="H173">
        <v>2.5113209999999997E-4</v>
      </c>
    </row>
    <row r="174" spans="1:8" hidden="1" x14ac:dyDescent="0.2">
      <c r="A174" s="11" t="s">
        <v>2</v>
      </c>
      <c r="B174">
        <v>40</v>
      </c>
      <c r="C174">
        <v>-8.9800000000000005E-2</v>
      </c>
      <c r="D174">
        <v>0.1318</v>
      </c>
      <c r="E174">
        <v>0</v>
      </c>
      <c r="F174">
        <v>3.170871E-4</v>
      </c>
      <c r="G174">
        <v>8.8362000000000002E-6</v>
      </c>
      <c r="H174">
        <v>3.1709210000000003E-4</v>
      </c>
    </row>
    <row r="175" spans="1:8" hidden="1" x14ac:dyDescent="0.2">
      <c r="A175" s="11" t="s">
        <v>2</v>
      </c>
      <c r="B175">
        <v>50</v>
      </c>
      <c r="C175">
        <v>-2.41E-2</v>
      </c>
      <c r="D175">
        <v>-9.1000000000000004E-3</v>
      </c>
      <c r="E175">
        <v>0</v>
      </c>
      <c r="F175">
        <v>1.5294850999999999E-3</v>
      </c>
      <c r="G175">
        <v>3.0475130000000002E-4</v>
      </c>
      <c r="H175">
        <v>1.5295084999999999E-3</v>
      </c>
    </row>
    <row r="176" spans="1:8" hidden="1" x14ac:dyDescent="0.2">
      <c r="A176" s="11" t="s">
        <v>2</v>
      </c>
      <c r="B176">
        <v>60</v>
      </c>
      <c r="C176">
        <v>4.5999999999999999E-2</v>
      </c>
      <c r="D176">
        <v>5.4800000000000001E-2</v>
      </c>
      <c r="E176">
        <v>0</v>
      </c>
      <c r="F176">
        <v>3.0229470000000001E-4</v>
      </c>
      <c r="G176">
        <v>5.9578599999999999E-5</v>
      </c>
      <c r="H176">
        <v>3.022999E-4</v>
      </c>
    </row>
    <row r="177" spans="1:8" hidden="1" x14ac:dyDescent="0.2">
      <c r="A177" s="11" t="s">
        <v>2</v>
      </c>
      <c r="B177">
        <v>70</v>
      </c>
      <c r="C177">
        <v>0.1163</v>
      </c>
      <c r="D177">
        <v>-0.01</v>
      </c>
      <c r="E177">
        <v>0</v>
      </c>
      <c r="F177">
        <v>2.4391659999999999E-4</v>
      </c>
      <c r="G177">
        <v>-6.7380999999999997E-5</v>
      </c>
      <c r="H177">
        <v>2.4391920000000001E-4</v>
      </c>
    </row>
    <row r="178" spans="1:8" hidden="1" x14ac:dyDescent="0.2">
      <c r="A178" s="11" t="s">
        <v>2</v>
      </c>
      <c r="B178">
        <v>80</v>
      </c>
      <c r="C178">
        <v>0.18759999999999999</v>
      </c>
      <c r="D178">
        <v>2.7199999999999998E-2</v>
      </c>
      <c r="E178">
        <v>0</v>
      </c>
      <c r="F178">
        <v>3.3627709999999999E-4</v>
      </c>
      <c r="G178">
        <v>-1.83596E-5</v>
      </c>
      <c r="H178">
        <v>3.3628219999999999E-4</v>
      </c>
    </row>
    <row r="179" spans="1:8" hidden="1" x14ac:dyDescent="0.2">
      <c r="A179" s="11" t="s">
        <v>2</v>
      </c>
      <c r="B179">
        <v>90</v>
      </c>
      <c r="C179">
        <v>0.2132</v>
      </c>
      <c r="D179">
        <v>-0.1462</v>
      </c>
      <c r="E179">
        <v>0</v>
      </c>
      <c r="F179">
        <v>1.5451403000000001E-3</v>
      </c>
      <c r="G179">
        <v>-8.8618199999999998E-5</v>
      </c>
      <c r="H179">
        <v>1.5451514E-3</v>
      </c>
    </row>
    <row r="180" spans="1:8" hidden="1" x14ac:dyDescent="0.2">
      <c r="A180" s="11" t="s">
        <v>2</v>
      </c>
      <c r="B180">
        <v>94.5</v>
      </c>
      <c r="C180">
        <v>0.37259999999999999</v>
      </c>
      <c r="D180">
        <v>8.8999999999999999E-3</v>
      </c>
      <c r="E180">
        <v>0</v>
      </c>
      <c r="F180">
        <v>6.7124000000000003E-6</v>
      </c>
      <c r="G180">
        <v>-2.7126999999999999E-6</v>
      </c>
      <c r="H180">
        <v>6.7186999999999997E-6</v>
      </c>
    </row>
    <row r="181" spans="1:8" hidden="1" x14ac:dyDescent="0.2">
      <c r="A181" s="11" t="s">
        <v>3</v>
      </c>
      <c r="B181">
        <v>-14.5</v>
      </c>
      <c r="C181">
        <v>-1.1999999999999999E-3</v>
      </c>
      <c r="D181">
        <v>1.41E-2</v>
      </c>
      <c r="E181">
        <v>0</v>
      </c>
      <c r="F181">
        <v>7.3238000000000006E-5</v>
      </c>
      <c r="G181">
        <v>-8.7707000000000006E-6</v>
      </c>
      <c r="H181">
        <v>1.80691E-5</v>
      </c>
    </row>
    <row r="182" spans="1:8" hidden="1" x14ac:dyDescent="0.2">
      <c r="A182" s="11" t="s">
        <v>3</v>
      </c>
      <c r="B182">
        <v>-10</v>
      </c>
      <c r="C182">
        <v>-8.3999999999999995E-3</v>
      </c>
      <c r="D182">
        <v>-1.04E-2</v>
      </c>
      <c r="E182">
        <v>0</v>
      </c>
      <c r="F182">
        <v>6.31236E-5</v>
      </c>
      <c r="G182">
        <v>-6.3210000000000001E-6</v>
      </c>
      <c r="H182">
        <v>3.3073999999999999E-6</v>
      </c>
    </row>
    <row r="183" spans="1:8" hidden="1" x14ac:dyDescent="0.2">
      <c r="A183" s="11" t="s">
        <v>3</v>
      </c>
      <c r="B183">
        <v>-5</v>
      </c>
      <c r="C183">
        <v>5.1999999999999998E-3</v>
      </c>
      <c r="D183">
        <v>-2.5100000000000001E-2</v>
      </c>
      <c r="E183">
        <v>0</v>
      </c>
      <c r="F183">
        <v>4.0119500000000001E-5</v>
      </c>
      <c r="G183">
        <v>-7.9147999999999992E-6</v>
      </c>
      <c r="H183">
        <v>-7.3779999999999995E-7</v>
      </c>
    </row>
    <row r="184" spans="1:8" hidden="1" x14ac:dyDescent="0.2">
      <c r="A184" s="11" t="s">
        <v>3</v>
      </c>
      <c r="B184">
        <v>0</v>
      </c>
      <c r="C184">
        <v>-1.2800000000000001E-2</v>
      </c>
      <c r="D184">
        <v>-1.3899999999999999E-2</v>
      </c>
      <c r="E184">
        <v>0</v>
      </c>
      <c r="F184">
        <v>1.2596680000000001E-4</v>
      </c>
      <c r="G184">
        <v>-1.2901460000000001E-4</v>
      </c>
      <c r="H184">
        <v>-4.0218600000000001E-5</v>
      </c>
    </row>
    <row r="185" spans="1:8" hidden="1" x14ac:dyDescent="0.2">
      <c r="A185" s="11" t="s">
        <v>3</v>
      </c>
      <c r="B185">
        <v>5</v>
      </c>
      <c r="C185">
        <v>1.09E-2</v>
      </c>
      <c r="D185">
        <v>5.4999999999999997E-3</v>
      </c>
      <c r="E185">
        <v>0</v>
      </c>
      <c r="F185">
        <v>6.3499999999999996E-7</v>
      </c>
      <c r="G185">
        <v>7.1628999999999996E-6</v>
      </c>
      <c r="H185">
        <v>1.4276E-5</v>
      </c>
    </row>
    <row r="186" spans="1:8" hidden="1" x14ac:dyDescent="0.2">
      <c r="A186" s="11" t="s">
        <v>3</v>
      </c>
      <c r="B186">
        <v>10</v>
      </c>
      <c r="C186">
        <v>-1.1999999999999999E-3</v>
      </c>
      <c r="D186">
        <v>-1.38E-2</v>
      </c>
      <c r="E186">
        <v>0</v>
      </c>
      <c r="F186">
        <v>-6.9551999999999999E-6</v>
      </c>
      <c r="G186">
        <v>1.0016299999999999E-5</v>
      </c>
      <c r="H186">
        <v>9.9232000000000001E-6</v>
      </c>
    </row>
    <row r="187" spans="1:8" hidden="1" x14ac:dyDescent="0.2">
      <c r="A187" s="11" t="s">
        <v>3</v>
      </c>
      <c r="B187">
        <v>14.5</v>
      </c>
      <c r="C187">
        <v>-7.0000000000000001E-3</v>
      </c>
      <c r="D187">
        <v>-2.8500000000000001E-2</v>
      </c>
      <c r="E187">
        <v>0</v>
      </c>
      <c r="F187">
        <v>-2.47663E-5</v>
      </c>
      <c r="G187">
        <v>-6.5402999999999999E-6</v>
      </c>
      <c r="H187">
        <v>1.1120200000000001E-5</v>
      </c>
    </row>
    <row r="188" spans="1:8" hidden="1" x14ac:dyDescent="0.2">
      <c r="A188" s="11" t="s">
        <v>39</v>
      </c>
      <c r="B188">
        <v>0</v>
      </c>
      <c r="C188">
        <v>1.03E-2</v>
      </c>
      <c r="D188">
        <v>2.0199999999999999E-2</v>
      </c>
      <c r="E188">
        <v>0</v>
      </c>
      <c r="F188">
        <v>1.011472E-4</v>
      </c>
      <c r="G188">
        <v>-4.6422999999999996E-6</v>
      </c>
      <c r="H188">
        <v>-1.011558E-4</v>
      </c>
    </row>
    <row r="189" spans="1:8" hidden="1" x14ac:dyDescent="0.2">
      <c r="A189" s="11" t="s">
        <v>39</v>
      </c>
      <c r="B189">
        <v>45</v>
      </c>
      <c r="C189">
        <v>1.7999999999999999E-2</v>
      </c>
      <c r="D189">
        <v>2.29E-2</v>
      </c>
      <c r="E189">
        <v>0</v>
      </c>
      <c r="F189">
        <v>4.3583000000000003E-6</v>
      </c>
      <c r="G189">
        <v>-4.0830000000000002E-7</v>
      </c>
      <c r="H189">
        <v>-4.3606999999999996E-6</v>
      </c>
    </row>
    <row r="190" spans="1:8" hidden="1" x14ac:dyDescent="0.2">
      <c r="A190" s="11" t="s">
        <v>39</v>
      </c>
      <c r="B190">
        <v>90</v>
      </c>
      <c r="C190">
        <v>1.3599999999999999E-2</v>
      </c>
      <c r="D190">
        <v>1.6400000000000001E-2</v>
      </c>
      <c r="E190">
        <v>0</v>
      </c>
      <c r="F190">
        <v>2.7458999999999998E-6</v>
      </c>
      <c r="G190">
        <v>8.9189000000000003E-6</v>
      </c>
      <c r="H190">
        <v>-2.7472999999999999E-6</v>
      </c>
    </row>
    <row r="191" spans="1:8" hidden="1" x14ac:dyDescent="0.2">
      <c r="A191" s="11" t="s">
        <v>39</v>
      </c>
      <c r="B191">
        <v>135</v>
      </c>
      <c r="C191">
        <v>3.5099999999999999E-2</v>
      </c>
      <c r="D191">
        <v>1.15E-2</v>
      </c>
      <c r="E191">
        <v>0</v>
      </c>
      <c r="F191">
        <v>4.7318000000000002E-6</v>
      </c>
      <c r="G191">
        <v>3.2260900000000001E-5</v>
      </c>
      <c r="H191">
        <v>-4.7343999999999999E-6</v>
      </c>
    </row>
    <row r="192" spans="1:8" hidden="1" x14ac:dyDescent="0.2">
      <c r="A192" s="11" t="s">
        <v>39</v>
      </c>
      <c r="B192">
        <v>180</v>
      </c>
      <c r="C192">
        <v>3.6299999999999999E-2</v>
      </c>
      <c r="D192">
        <v>9.9000000000000008E-3</v>
      </c>
      <c r="E192">
        <v>0</v>
      </c>
      <c r="F192">
        <v>5.3012000000000002E-6</v>
      </c>
      <c r="G192">
        <v>3.9044200000000001E-5</v>
      </c>
      <c r="H192">
        <v>-5.3017999999999998E-6</v>
      </c>
    </row>
    <row r="193" spans="1:8" hidden="1" x14ac:dyDescent="0.2">
      <c r="A193" s="11" t="s">
        <v>39</v>
      </c>
      <c r="B193">
        <v>225</v>
      </c>
      <c r="C193">
        <v>3.0499999999999999E-2</v>
      </c>
      <c r="D193">
        <v>-1.83E-2</v>
      </c>
      <c r="E193">
        <v>0</v>
      </c>
      <c r="F193">
        <v>7.2606000000000004E-6</v>
      </c>
      <c r="G193">
        <v>4.6665700000000003E-5</v>
      </c>
      <c r="H193">
        <v>-7.2614999999999998E-6</v>
      </c>
    </row>
    <row r="194" spans="1:8" hidden="1" x14ac:dyDescent="0.2">
      <c r="A194" s="11" t="s">
        <v>39</v>
      </c>
      <c r="B194">
        <v>270</v>
      </c>
      <c r="C194">
        <v>5.1299999999999998E-2</v>
      </c>
      <c r="D194">
        <v>-6.1000000000000004E-3</v>
      </c>
      <c r="E194">
        <v>0</v>
      </c>
      <c r="F194">
        <v>4.5178000000000002E-6</v>
      </c>
      <c r="G194">
        <v>1.07497E-5</v>
      </c>
      <c r="H194">
        <v>-4.5143000000000001E-6</v>
      </c>
    </row>
    <row r="195" spans="1:8" hidden="1" x14ac:dyDescent="0.2">
      <c r="A195" s="11" t="s">
        <v>39</v>
      </c>
      <c r="B195">
        <v>315</v>
      </c>
      <c r="C195">
        <v>8.8999999999999999E-3</v>
      </c>
      <c r="D195">
        <v>-8.0000000000000004E-4</v>
      </c>
      <c r="E195">
        <v>0</v>
      </c>
      <c r="F195">
        <v>4.5978999999999996E-6</v>
      </c>
      <c r="G195">
        <v>-1.074E-7</v>
      </c>
      <c r="H195">
        <v>-4.5974999999999996E-6</v>
      </c>
    </row>
    <row r="196" spans="1:8" hidden="1" x14ac:dyDescent="0.2">
      <c r="A196" s="11" t="s">
        <v>39</v>
      </c>
      <c r="B196">
        <v>360</v>
      </c>
      <c r="C196">
        <v>1.03E-2</v>
      </c>
      <c r="D196">
        <v>2.0199999999999999E-2</v>
      </c>
      <c r="E196">
        <v>0</v>
      </c>
      <c r="F196">
        <v>1.011472E-4</v>
      </c>
      <c r="G196">
        <v>-4.6422999999999996E-6</v>
      </c>
      <c r="H196">
        <v>-1.011558E-4</v>
      </c>
    </row>
  </sheetData>
  <dataValidations count="1">
    <dataValidation type="list" allowBlank="1" showInputMessage="1" showErrorMessage="1" sqref="G30">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UpdateXMLCompTable">
                <anchor>
                  <from>
                    <xdr:col>0</xdr:col>
                    <xdr:colOff>19050</xdr:colOff>
                    <xdr:row>26</xdr:row>
                    <xdr:rowOff>28575</xdr:rowOff>
                  </from>
                  <to>
                    <xdr:col>3</xdr:col>
                    <xdr:colOff>476250</xdr:colOff>
                    <xdr:row>27</xdr:row>
                    <xdr:rowOff>142875</xdr:rowOff>
                  </to>
                </anchor>
              </controlPr>
            </control>
          </mc:Choice>
        </mc:AlternateContent>
        <mc:AlternateContent xmlns:mc="http://schemas.openxmlformats.org/markup-compatibility/2006">
          <mc:Choice Requires="x14">
            <control shapeId="4099" r:id="rId4" name="Button 3">
              <controlPr defaultSize="0" autoFill="0" autoPict="0" macro="[0]!RemapXMLCompTable">
                <anchor moveWithCells="1" sizeWithCells="1">
                  <from>
                    <xdr:col>9</xdr:col>
                    <xdr:colOff>0</xdr:colOff>
                    <xdr:row>31</xdr:row>
                    <xdr:rowOff>152400</xdr:rowOff>
                  </from>
                  <to>
                    <xdr:col>12</xdr:col>
                    <xdr:colOff>0</xdr:colOff>
                    <xdr:row>33</xdr:row>
                    <xdr:rowOff>152400</xdr:rowOff>
                  </to>
                </anchor>
              </controlPr>
            </control>
          </mc:Choice>
        </mc:AlternateContent>
        <mc:AlternateContent xmlns:mc="http://schemas.openxmlformats.org/markup-compatibility/2006">
          <mc:Choice Requires="x14">
            <control shapeId="4100" r:id="rId5" name="Button 4">
              <controlPr defaultSize="0" print="0" autoFill="0" autoPict="0" macro="[0]!ScaleTheCharts">
                <anchor>
                  <from>
                    <xdr:col>0</xdr:col>
                    <xdr:colOff>19050</xdr:colOff>
                    <xdr:row>28</xdr:row>
                    <xdr:rowOff>38100</xdr:rowOff>
                  </from>
                  <to>
                    <xdr:col>3</xdr:col>
                    <xdr:colOff>476250</xdr:colOff>
                    <xdr:row>29</xdr:row>
                    <xdr:rowOff>152400</xdr:rowOff>
                  </to>
                </anchor>
              </controlPr>
            </control>
          </mc:Choice>
        </mc:AlternateContent>
        <mc:AlternateContent xmlns:mc="http://schemas.openxmlformats.org/markup-compatibility/2006">
          <mc:Choice Requires="x14">
            <control shapeId="4105" r:id="rId6" name="Button 9">
              <controlPr defaultSize="0" print="0" autoFill="0" autoPict="0" macro="[0]!SelectFile">
                <anchor>
                  <from>
                    <xdr:col>0</xdr:col>
                    <xdr:colOff>19050</xdr:colOff>
                    <xdr:row>24</xdr:row>
                    <xdr:rowOff>19050</xdr:rowOff>
                  </from>
                  <to>
                    <xdr:col>3</xdr:col>
                    <xdr:colOff>476250</xdr:colOff>
                    <xdr:row>25</xdr:row>
                    <xdr:rowOff>133350</xdr:rowOff>
                  </to>
                </anchor>
              </controlPr>
            </control>
          </mc:Choice>
        </mc:AlternateContent>
      </controls>
    </mc:Choice>
  </mc:AlternateContent>
  <tableParts count="1">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2D16FDC522FEB41A3D56AB3C97F9C72" ma:contentTypeVersion="5" ma:contentTypeDescription="Create a new document." ma:contentTypeScope="" ma:versionID="e6ebc7f6b7e6f112dde8d1c59f0fb2f8">
  <xsd:schema xmlns:xsd="http://www.w3.org/2001/XMLSchema" xmlns:xs="http://www.w3.org/2001/XMLSchema" xmlns:p="http://schemas.microsoft.com/office/2006/metadata/properties" targetNamespace="http://schemas.microsoft.com/office/2006/metadata/properties" ma:root="true" ma:fieldsID="4c37901602a3e2ba5ec7d8339d7d3b2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934652-E760-44E6-9EDE-ABA1F6DF7838}">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2.xml><?xml version="1.0" encoding="utf-8"?>
<ds:datastoreItem xmlns:ds="http://schemas.openxmlformats.org/officeDocument/2006/customXml" ds:itemID="{8827ABB0-EA9C-4E1A-B7CB-83DDC4B76DF8}">
  <ds:schemaRefs>
    <ds:schemaRef ds:uri="http://schemas.microsoft.com/sharepoint/v3/contenttype/forms"/>
  </ds:schemaRefs>
</ds:datastoreItem>
</file>

<file path=customXml/itemProps3.xml><?xml version="1.0" encoding="utf-8"?>
<ds:datastoreItem xmlns:ds="http://schemas.openxmlformats.org/officeDocument/2006/customXml" ds:itemID="{D03833A5-16D2-4B9B-B831-1748D54C43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1</vt:i4>
      </vt:variant>
      <vt:variant>
        <vt:lpstr>Named Ranges</vt:lpstr>
      </vt:variant>
      <vt:variant>
        <vt:i4>22</vt:i4>
      </vt:variant>
    </vt:vector>
  </HeadingPairs>
  <TitlesOfParts>
    <vt:vector size="35" baseType="lpstr">
      <vt:lpstr>Instructions</vt:lpstr>
      <vt:lpstr>Sheet2</vt:lpstr>
      <vt:lpstr>Data</vt:lpstr>
      <vt:lpstr>24-03-18</vt:lpstr>
      <vt:lpstr>Friday Data</vt:lpstr>
      <vt:lpstr>Sheet1</vt:lpstr>
      <vt:lpstr>DataPaste</vt:lpstr>
      <vt:lpstr>ScatterCharts</vt:lpstr>
      <vt:lpstr>LineCharts</vt:lpstr>
      <vt:lpstr>CompStations</vt:lpstr>
      <vt:lpstr>ProbeValues</vt:lpstr>
      <vt:lpstr>CompTableCheck</vt:lpstr>
      <vt:lpstr>LineChartAll</vt:lpstr>
      <vt:lpstr>CompTableCheck!AllSheets</vt:lpstr>
      <vt:lpstr>LineCharts!AllSheets</vt:lpstr>
      <vt:lpstr>ScatterCharts!AllSheets</vt:lpstr>
      <vt:lpstr>CompTableCheck!ChartMax</vt:lpstr>
      <vt:lpstr>LineCharts!ChartMax</vt:lpstr>
      <vt:lpstr>ScatterCharts!ChartMax</vt:lpstr>
      <vt:lpstr>ScatterCharts!ChartRangeCharts</vt:lpstr>
      <vt:lpstr>ScatterCharts!ChartRangeGroups</vt:lpstr>
      <vt:lpstr>ChartRangeSeriesBy</vt:lpstr>
      <vt:lpstr>ScatterCharts!ChartRangeTable</vt:lpstr>
      <vt:lpstr>CompTableOut</vt:lpstr>
      <vt:lpstr>CompTableOutManual</vt:lpstr>
      <vt:lpstr>Data_Out</vt:lpstr>
      <vt:lpstr>CompTableCheck!FileName</vt:lpstr>
      <vt:lpstr>ReadDataFile</vt:lpstr>
      <vt:lpstr>ReadDataTime</vt:lpstr>
      <vt:lpstr>SendDataFile</vt:lpstr>
      <vt:lpstr>SendDataTime</vt:lpstr>
      <vt:lpstr>ScatterCharts!ToolpointsRange</vt:lpstr>
      <vt:lpstr>TP_Output</vt:lpstr>
      <vt:lpstr>Data!UnitsErr</vt:lpstr>
      <vt:lpstr>Sheet1!UnitsErr</vt:lpstr>
    </vt:vector>
  </TitlesOfParts>
  <Company>Electroimpact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scotts</dc:creator>
  <cp:lastModifiedBy>Todd Rudberg</cp:lastModifiedBy>
  <cp:lastPrinted>2006-08-08T01:58:34Z</cp:lastPrinted>
  <dcterms:created xsi:type="dcterms:W3CDTF">2005-05-06T20:30:52Z</dcterms:created>
  <dcterms:modified xsi:type="dcterms:W3CDTF">2024-04-12T20:58:34Z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0x010100F2D16FDC522FEB41A3D56AB3C97F9C72</vt:lpwstr>
  </property>
  <property fmtid="{D5CDD505-2E9C-101B-9397-08002B2CF9AE}" pid="3" name="PDB_Ident">
    <vt:lpwstr> </vt:lpwstr>
  </property>
  <property fmtid="{D5CDD505-2E9C-101B-9397-08002B2CF9AE}" pid="4" name="PDB_Name">
    <vt:lpwstr>XL-005286</vt:lpwstr>
  </property>
  <property fmtid="{D5CDD505-2E9C-101B-9397-08002B2CF9AE}" pid="5" name="PDB_Desc">
    <vt:lpwstr>EI-2-Results_r3</vt:lpwstr>
  </property>
  <property fmtid="{D5CDD505-2E9C-101B-9397-08002B2CF9AE}" pid="6" name="PDB_Revision">
    <vt:lpwstr>002</vt:lpwstr>
  </property>
</Properties>
</file>